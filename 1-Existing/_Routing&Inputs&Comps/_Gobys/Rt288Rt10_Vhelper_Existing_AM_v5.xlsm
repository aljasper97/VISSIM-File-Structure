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ricfp01\AT_RIC\RIC_RDWY\113154_CDOT_OnCall\37_Route288andRoute10\3 Project Data\3-03 Traffic Analysis\VISSIM\ExistingConditions\AM\loading\"/>
    </mc:Choice>
  </mc:AlternateContent>
  <xr:revisionPtr revIDLastSave="0" documentId="13_ncr:1_{D6C2A37E-4248-4074-8DD5-EE08FAF5AAE2}" xr6:coauthVersionLast="46" xr6:coauthVersionMax="46" xr10:uidLastSave="{00000000-0000-0000-0000-000000000000}"/>
  <bookViews>
    <workbookView xWindow="-28920" yWindow="-120" windowWidth="29040" windowHeight="15840" tabRatio="884" activeTab="1" xr2:uid="{5A0AE262-4EA4-4A11-9DE3-63AA817B2B43}"/>
  </bookViews>
  <sheets>
    <sheet name="Routing_Link_Mapping" sheetId="21" r:id="rId1"/>
    <sheet name="Distributions" sheetId="18" r:id="rId2"/>
    <sheet name="Inputs" sheetId="7" r:id="rId3"/>
    <sheet name="Compositions" sheetId="8" r:id="rId4"/>
    <sheet name="Car" sheetId="24" r:id="rId5"/>
    <sheet name="Truck" sheetId="2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" i="8" l="1"/>
  <c r="F13" i="8"/>
  <c r="F12" i="8"/>
  <c r="F5" i="8"/>
  <c r="F16" i="8"/>
  <c r="D12" i="8"/>
  <c r="F20" i="8"/>
  <c r="D21" i="8"/>
  <c r="D20" i="8"/>
  <c r="D16" i="8"/>
  <c r="D23" i="8"/>
  <c r="F21" i="8"/>
  <c r="F22" i="8"/>
  <c r="D2" i="8"/>
  <c r="F4" i="8"/>
  <c r="F27" i="8"/>
  <c r="F6" i="8"/>
  <c r="D6" i="8"/>
  <c r="D22" i="8"/>
  <c r="D15" i="8"/>
  <c r="F9" i="8"/>
  <c r="D13" i="8"/>
  <c r="D7" i="8"/>
  <c r="F15" i="8"/>
  <c r="D11" i="8"/>
  <c r="D25" i="8"/>
  <c r="F3" i="8"/>
  <c r="D4" i="8"/>
  <c r="D24" i="8"/>
  <c r="D27" i="8"/>
  <c r="D9" i="8"/>
  <c r="D14" i="8"/>
  <c r="D10" i="8"/>
  <c r="D3" i="8"/>
  <c r="F24" i="8"/>
  <c r="F17" i="8"/>
  <c r="D17" i="8"/>
  <c r="F23" i="8"/>
  <c r="F18" i="8"/>
  <c r="D8" i="8"/>
  <c r="F25" i="8"/>
  <c r="D19" i="8"/>
  <c r="F14" i="8"/>
  <c r="F10" i="8"/>
  <c r="F7" i="8"/>
  <c r="F2" i="8"/>
  <c r="F26" i="8"/>
  <c r="D18" i="8"/>
  <c r="D26" i="8"/>
  <c r="D5" i="8"/>
  <c r="F11" i="8"/>
  <c r="F8" i="8"/>
  <c r="L6" i="18" l="1"/>
  <c r="L7" i="18"/>
  <c r="L8" i="18" l="1"/>
  <c r="L9" i="18" l="1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10" i="18"/>
  <c r="C4" i="18"/>
  <c r="C5" i="18"/>
  <c r="C3" i="18"/>
  <c r="L4" i="18" l="1"/>
  <c r="L28" i="18"/>
  <c r="N28" i="18" s="1"/>
  <c r="L12" i="18"/>
  <c r="L14" i="18"/>
  <c r="L16" i="18"/>
  <c r="L18" i="18"/>
  <c r="L22" i="18"/>
  <c r="R22" i="18" s="1"/>
  <c r="L24" i="18"/>
  <c r="N24" i="18" s="1"/>
  <c r="L26" i="18"/>
  <c r="R26" i="18" s="1"/>
  <c r="L3" i="18"/>
  <c r="N3" i="18" s="1"/>
  <c r="L5" i="18"/>
  <c r="L10" i="18"/>
  <c r="L20" i="18"/>
  <c r="N20" i="18" s="1"/>
  <c r="L11" i="18"/>
  <c r="L13" i="18"/>
  <c r="L17" i="18"/>
  <c r="L19" i="18"/>
  <c r="L21" i="18"/>
  <c r="P21" i="18" s="1"/>
  <c r="L23" i="18"/>
  <c r="N23" i="18" s="1"/>
  <c r="L25" i="18"/>
  <c r="P25" i="18" s="1"/>
  <c r="L27" i="18"/>
  <c r="N27" i="18" s="1"/>
  <c r="N7" i="18"/>
  <c r="L15" i="18" l="1"/>
  <c r="P22" i="18"/>
  <c r="N21" i="18"/>
  <c r="N25" i="18"/>
  <c r="R27" i="18"/>
  <c r="R23" i="18"/>
  <c r="R7" i="18"/>
  <c r="S27" i="18"/>
  <c r="Q26" i="18"/>
  <c r="O25" i="18"/>
  <c r="S23" i="18"/>
  <c r="Q22" i="18"/>
  <c r="O21" i="18"/>
  <c r="S7" i="18"/>
  <c r="S28" i="18"/>
  <c r="Q27" i="18"/>
  <c r="O26" i="18"/>
  <c r="S24" i="18"/>
  <c r="Q23" i="18"/>
  <c r="O22" i="18"/>
  <c r="S20" i="18"/>
  <c r="Q7" i="18"/>
  <c r="R28" i="18"/>
  <c r="P27" i="18"/>
  <c r="N26" i="18"/>
  <c r="R24" i="18"/>
  <c r="P23" i="18"/>
  <c r="N22" i="18"/>
  <c r="R20" i="18"/>
  <c r="P7" i="18"/>
  <c r="Q28" i="18"/>
  <c r="O27" i="18"/>
  <c r="S25" i="18"/>
  <c r="Q24" i="18"/>
  <c r="O23" i="18"/>
  <c r="S21" i="18"/>
  <c r="Q20" i="18"/>
  <c r="O7" i="18"/>
  <c r="P26" i="18"/>
  <c r="P28" i="18"/>
  <c r="R25" i="18"/>
  <c r="P24" i="18"/>
  <c r="R21" i="18"/>
  <c r="P20" i="18"/>
  <c r="O28" i="18"/>
  <c r="S26" i="18"/>
  <c r="Q25" i="18"/>
  <c r="O24" i="18"/>
  <c r="S22" i="18"/>
  <c r="Q21" i="18"/>
  <c r="O20" i="18"/>
  <c r="G24" i="8" l="1"/>
  <c r="G25" i="8"/>
  <c r="G26" i="8"/>
  <c r="G27" i="8"/>
  <c r="G23" i="8"/>
  <c r="Q3" i="18" l="1"/>
  <c r="R3" i="18"/>
  <c r="S3" i="18"/>
  <c r="O3" i="18"/>
  <c r="P3" i="18"/>
  <c r="N12" i="18"/>
  <c r="O12" i="18"/>
  <c r="P12" i="18"/>
  <c r="Q12" i="18"/>
  <c r="R12" i="18"/>
  <c r="S12" i="18"/>
  <c r="N11" i="18"/>
  <c r="O11" i="18"/>
  <c r="P11" i="18"/>
  <c r="R11" i="18"/>
  <c r="Q11" i="18"/>
  <c r="S11" i="18"/>
  <c r="R18" i="18"/>
  <c r="S18" i="18"/>
  <c r="N18" i="18"/>
  <c r="O18" i="18"/>
  <c r="P18" i="18"/>
  <c r="Q18" i="18"/>
  <c r="R10" i="18"/>
  <c r="S10" i="18"/>
  <c r="N10" i="18"/>
  <c r="O10" i="18"/>
  <c r="Q10" i="18"/>
  <c r="P10" i="18"/>
  <c r="P17" i="18"/>
  <c r="Q17" i="18"/>
  <c r="R17" i="18"/>
  <c r="S17" i="18"/>
  <c r="N17" i="18"/>
  <c r="O17" i="18"/>
  <c r="N16" i="18"/>
  <c r="O16" i="18"/>
  <c r="P16" i="18"/>
  <c r="Q16" i="18"/>
  <c r="R16" i="18"/>
  <c r="S16" i="18"/>
  <c r="N8" i="18"/>
  <c r="O8" i="18"/>
  <c r="P8" i="18"/>
  <c r="Q8" i="18"/>
  <c r="R8" i="18"/>
  <c r="S8" i="18"/>
  <c r="R19" i="18"/>
  <c r="N19" i="18"/>
  <c r="O19" i="18"/>
  <c r="P19" i="18"/>
  <c r="Q19" i="18"/>
  <c r="S19" i="18"/>
  <c r="P9" i="18"/>
  <c r="Q9" i="18"/>
  <c r="N9" i="18"/>
  <c r="R9" i="18"/>
  <c r="S9" i="18"/>
  <c r="O9" i="18"/>
  <c r="N15" i="18"/>
  <c r="R15" i="18"/>
  <c r="O15" i="18"/>
  <c r="P15" i="18"/>
  <c r="Q15" i="18"/>
  <c r="S15" i="18"/>
  <c r="R6" i="18"/>
  <c r="S6" i="18"/>
  <c r="P6" i="18"/>
  <c r="N6" i="18"/>
  <c r="O6" i="18"/>
  <c r="Q6" i="18"/>
  <c r="P5" i="18"/>
  <c r="Q5" i="18"/>
  <c r="R5" i="18"/>
  <c r="S5" i="18"/>
  <c r="N5" i="18"/>
  <c r="O5" i="18"/>
  <c r="R14" i="18"/>
  <c r="S14" i="18"/>
  <c r="N14" i="18"/>
  <c r="O14" i="18"/>
  <c r="Q14" i="18"/>
  <c r="P14" i="18"/>
  <c r="P13" i="18"/>
  <c r="Q13" i="18"/>
  <c r="R13" i="18"/>
  <c r="S13" i="18"/>
  <c r="N13" i="18"/>
  <c r="O13" i="18"/>
  <c r="N4" i="18"/>
  <c r="O4" i="18"/>
  <c r="P4" i="18"/>
  <c r="Q4" i="18"/>
  <c r="R4" i="18"/>
  <c r="S4" i="18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C16" i="8" s="1"/>
  <c r="B22" i="7"/>
  <c r="A22" i="7" s="1"/>
  <c r="B23" i="7"/>
  <c r="A23" i="7" s="1"/>
  <c r="B24" i="7"/>
  <c r="B25" i="7"/>
  <c r="A25" i="7" s="1"/>
  <c r="B26" i="7"/>
  <c r="B27" i="7"/>
  <c r="A27" i="7" s="1"/>
  <c r="A24" i="7"/>
  <c r="B5" i="7"/>
  <c r="A20" i="7"/>
  <c r="C12" i="8" l="1"/>
  <c r="A21" i="7"/>
  <c r="C26" i="8"/>
  <c r="C10" i="8"/>
  <c r="C22" i="8"/>
  <c r="C14" i="8"/>
  <c r="C25" i="8"/>
  <c r="C17" i="8"/>
  <c r="C21" i="8"/>
  <c r="C13" i="8"/>
  <c r="C24" i="8"/>
  <c r="C20" i="8"/>
  <c r="A26" i="7"/>
  <c r="C27" i="8"/>
  <c r="C23" i="8"/>
  <c r="C19" i="8"/>
  <c r="C15" i="8"/>
  <c r="C11" i="8"/>
  <c r="C18" i="8"/>
  <c r="E27" i="7"/>
  <c r="F27" i="7"/>
  <c r="G27" i="7"/>
  <c r="H27" i="7"/>
  <c r="I27" i="7"/>
  <c r="J27" i="7"/>
  <c r="G24" i="7"/>
  <c r="H24" i="7"/>
  <c r="I24" i="7"/>
  <c r="J24" i="7"/>
  <c r="F24" i="7"/>
  <c r="E24" i="7"/>
  <c r="J26" i="7"/>
  <c r="E26" i="7"/>
  <c r="F26" i="7"/>
  <c r="G26" i="7"/>
  <c r="H26" i="7"/>
  <c r="I26" i="7"/>
  <c r="I25" i="7"/>
  <c r="J25" i="7"/>
  <c r="E25" i="7"/>
  <c r="H25" i="7"/>
  <c r="F25" i="7"/>
  <c r="G25" i="7"/>
  <c r="A10" i="7"/>
  <c r="A11" i="7"/>
  <c r="A13" i="7"/>
  <c r="A14" i="7"/>
  <c r="A15" i="7"/>
  <c r="A16" i="7"/>
  <c r="A17" i="7"/>
  <c r="A18" i="7"/>
  <c r="A19" i="7"/>
  <c r="A12" i="7"/>
  <c r="B3" i="7"/>
  <c r="A3" i="7" s="1"/>
  <c r="B4" i="7"/>
  <c r="A4" i="7" s="1"/>
  <c r="A5" i="7"/>
  <c r="B6" i="7"/>
  <c r="A6" i="7" s="1"/>
  <c r="B7" i="7"/>
  <c r="A7" i="7" s="1"/>
  <c r="B8" i="7"/>
  <c r="A8" i="7" s="1"/>
  <c r="A9" i="7"/>
  <c r="C9" i="8" l="1"/>
  <c r="C7" i="8"/>
  <c r="C5" i="8"/>
  <c r="C4" i="8"/>
  <c r="C6" i="8"/>
  <c r="C8" i="8"/>
  <c r="F14" i="7"/>
  <c r="G12" i="7"/>
  <c r="H12" i="7"/>
  <c r="I12" i="7"/>
  <c r="F12" i="7"/>
  <c r="J12" i="7"/>
  <c r="E12" i="7"/>
  <c r="I21" i="7"/>
  <c r="J21" i="7"/>
  <c r="H21" i="7"/>
  <c r="E21" i="7"/>
  <c r="F21" i="7"/>
  <c r="G21" i="7"/>
  <c r="J18" i="7"/>
  <c r="E18" i="7"/>
  <c r="F18" i="7"/>
  <c r="G18" i="7"/>
  <c r="H18" i="7"/>
  <c r="I18" i="7"/>
  <c r="E11" i="7"/>
  <c r="F11" i="7"/>
  <c r="G11" i="7"/>
  <c r="H11" i="7"/>
  <c r="I11" i="7"/>
  <c r="J11" i="7"/>
  <c r="I5" i="7"/>
  <c r="J5" i="7"/>
  <c r="H5" i="7"/>
  <c r="E5" i="7"/>
  <c r="F5" i="7"/>
  <c r="G5" i="7"/>
  <c r="E19" i="7"/>
  <c r="F19" i="7"/>
  <c r="G19" i="7"/>
  <c r="H19" i="7"/>
  <c r="I19" i="7"/>
  <c r="J19" i="7"/>
  <c r="G16" i="7"/>
  <c r="H16" i="7"/>
  <c r="I16" i="7"/>
  <c r="J16" i="7"/>
  <c r="E16" i="7"/>
  <c r="F16" i="7"/>
  <c r="E23" i="7"/>
  <c r="F23" i="7"/>
  <c r="G23" i="7"/>
  <c r="H23" i="7"/>
  <c r="I23" i="7"/>
  <c r="J23" i="7"/>
  <c r="J22" i="7"/>
  <c r="E22" i="7"/>
  <c r="F22" i="7"/>
  <c r="G22" i="7"/>
  <c r="H22" i="7"/>
  <c r="I22" i="7"/>
  <c r="G20" i="7"/>
  <c r="H20" i="7"/>
  <c r="I20" i="7"/>
  <c r="J20" i="7"/>
  <c r="F20" i="7"/>
  <c r="E20" i="7"/>
  <c r="I17" i="7"/>
  <c r="J17" i="7"/>
  <c r="E17" i="7"/>
  <c r="H17" i="7"/>
  <c r="F17" i="7"/>
  <c r="G17" i="7"/>
  <c r="G8" i="7"/>
  <c r="H8" i="7"/>
  <c r="I8" i="7"/>
  <c r="J8" i="7"/>
  <c r="F8" i="7"/>
  <c r="E8" i="7"/>
  <c r="E14" i="7"/>
  <c r="J14" i="7"/>
  <c r="G14" i="7"/>
  <c r="H14" i="7"/>
  <c r="I14" i="7"/>
  <c r="I9" i="7"/>
  <c r="H9" i="7"/>
  <c r="J9" i="7"/>
  <c r="E9" i="7"/>
  <c r="F9" i="7"/>
  <c r="G9" i="7"/>
  <c r="J6" i="7"/>
  <c r="E6" i="7"/>
  <c r="F6" i="7"/>
  <c r="G6" i="7"/>
  <c r="H6" i="7"/>
  <c r="I6" i="7"/>
  <c r="E10" i="7"/>
  <c r="F10" i="7"/>
  <c r="G10" i="7"/>
  <c r="H10" i="7"/>
  <c r="J10" i="7"/>
  <c r="I10" i="7"/>
  <c r="E7" i="7"/>
  <c r="F7" i="7"/>
  <c r="G7" i="7"/>
  <c r="H7" i="7"/>
  <c r="I7" i="7"/>
  <c r="J7" i="7"/>
  <c r="E15" i="7"/>
  <c r="F15" i="7"/>
  <c r="G15" i="7"/>
  <c r="H15" i="7"/>
  <c r="I15" i="7"/>
  <c r="J15" i="7"/>
  <c r="I13" i="7"/>
  <c r="J13" i="7"/>
  <c r="H13" i="7"/>
  <c r="E13" i="7"/>
  <c r="F13" i="7"/>
  <c r="G13" i="7"/>
  <c r="AD1" i="24"/>
  <c r="AE1" i="24"/>
  <c r="AF1" i="24"/>
  <c r="AG1" i="24"/>
  <c r="AH1" i="24"/>
  <c r="AI1" i="24"/>
  <c r="AJ1" i="24"/>
  <c r="A33" i="24"/>
  <c r="A34" i="24"/>
  <c r="A35" i="24"/>
  <c r="A36" i="24"/>
  <c r="AD1" i="29"/>
  <c r="AE1" i="29"/>
  <c r="AF1" i="29"/>
  <c r="AG1" i="29"/>
  <c r="AH1" i="29"/>
  <c r="AI1" i="29"/>
  <c r="AJ1" i="29"/>
  <c r="A33" i="29"/>
  <c r="A34" i="29"/>
  <c r="A35" i="29"/>
  <c r="A36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C1" i="29"/>
  <c r="AB1" i="29"/>
  <c r="AA1" i="29"/>
  <c r="Z1" i="29"/>
  <c r="Y1" i="29"/>
  <c r="X1" i="29"/>
  <c r="W1" i="29"/>
  <c r="V1" i="29"/>
  <c r="U1" i="29"/>
  <c r="T1" i="29"/>
  <c r="S1" i="29"/>
  <c r="R1" i="29"/>
  <c r="Q1" i="29"/>
  <c r="P1" i="29"/>
  <c r="O1" i="29"/>
  <c r="N1" i="29"/>
  <c r="M1" i="29"/>
  <c r="L1" i="29"/>
  <c r="K1" i="29"/>
  <c r="J1" i="29"/>
  <c r="I1" i="29"/>
  <c r="H1" i="29"/>
  <c r="G1" i="29"/>
  <c r="F1" i="29"/>
  <c r="E1" i="29"/>
  <c r="D1" i="29"/>
  <c r="C1" i="29"/>
  <c r="D1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C1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" i="24"/>
  <c r="J3" i="7" l="1"/>
  <c r="F3" i="7"/>
  <c r="E3" i="7"/>
  <c r="G3" i="7"/>
  <c r="H3" i="7"/>
  <c r="I3" i="7"/>
  <c r="G4" i="7"/>
  <c r="H4" i="7"/>
  <c r="I4" i="7"/>
  <c r="J4" i="7"/>
  <c r="E4" i="7"/>
  <c r="F4" i="7"/>
  <c r="G2" i="8" l="1"/>
  <c r="G9" i="8" l="1"/>
  <c r="G21" i="8" l="1"/>
  <c r="G22" i="8"/>
  <c r="G11" i="8"/>
  <c r="G12" i="8"/>
  <c r="G13" i="8"/>
  <c r="G14" i="8"/>
  <c r="G15" i="8"/>
  <c r="G16" i="8"/>
  <c r="G17" i="8"/>
  <c r="G18" i="8"/>
  <c r="G19" i="8"/>
  <c r="G20" i="8"/>
  <c r="G10" i="8"/>
  <c r="G3" i="8"/>
  <c r="G4" i="8"/>
  <c r="G5" i="8"/>
  <c r="G6" i="8"/>
  <c r="G7" i="8"/>
  <c r="G8" i="8"/>
  <c r="B2" i="7" l="1"/>
  <c r="A2" i="7" l="1"/>
  <c r="C3" i="8"/>
  <c r="C2" i="8"/>
  <c r="E2" i="7"/>
  <c r="J2" i="7"/>
  <c r="I2" i="7"/>
  <c r="H2" i="7"/>
  <c r="G2" i="7"/>
  <c r="F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tc={D91DD3FB-A5E7-4FE3-B6E3-B070D7847E14}</author>
    <author>tc={41831017-3C20-4B3A-909F-488572C97949}</author>
  </authors>
  <commentList>
    <comment ref="C1" authorId="0" shapeId="0" xr:uid="{D91DD3FB-A5E7-4FE3-B6E3-B070D7847E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Distribution ID</t>
      </text>
    </comment>
    <comment ref="E1" authorId="1" shapeId="0" xr:uid="{41831017-3C20-4B3A-909F-488572C97949}">
      <text>
        <t>[Threaded comment]
Your version of Excel allows you to read this threaded comment; however, any edits to it will get removed if the file is opened in a newer version of Excel. Learn more: https://go.microsoft.com/fwlink/?linkid=870924
Comment:
    0-3600 is seeding period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tc={FC7FE930-F3AE-4FB2-9682-1726B76EBCA0}</author>
    <author>tc={1D591B43-79A0-49E5-9C86-7B87648488C6}</author>
  </authors>
  <commentList>
    <comment ref="E1" authorId="0" shapeId="0" xr:uid="{FC7FE930-F3AE-4FB2-9682-1726B76EBCA0}">
      <text>
        <t>[Threaded comment]
Your version of Excel allows you to read this threaded comment; however, any edits to it will get removed if the file is opened in a newer version of Excel. Learn more: https://go.microsoft.com/fwlink/?linkid=870924
Comment:
    VISSIM DSD ID</t>
      </text>
    </comment>
    <comment ref="G1" authorId="1" shapeId="0" xr:uid="{1D591B43-79A0-49E5-9C86-7B87648488C6}">
      <text>
        <t>[Threaded comment]
Your version of Excel allows you to read this threaded comment; however, any edits to it will get removed if the file is opened in a newer version of Excel. Learn more: https://go.microsoft.com/fwlink/?linkid=870924
Comment:
    Equal to passenger car speed</t>
      </text>
    </comment>
  </commentList>
</comments>
</file>

<file path=xl/sharedStrings.xml><?xml version="1.0" encoding="utf-8"?>
<sst xmlns="http://schemas.openxmlformats.org/spreadsheetml/2006/main" count="84" uniqueCount="55">
  <si>
    <t>Composition</t>
  </si>
  <si>
    <t>Origin Zone</t>
  </si>
  <si>
    <t>Location</t>
  </si>
  <si>
    <t>Zone</t>
  </si>
  <si>
    <t>Name</t>
  </si>
  <si>
    <t>0-900</t>
  </si>
  <si>
    <t>900-1800</t>
  </si>
  <si>
    <t>1800-2700</t>
  </si>
  <si>
    <t>2700-3600</t>
  </si>
  <si>
    <t>3600-4500</t>
  </si>
  <si>
    <t>4500-5400</t>
  </si>
  <si>
    <t>Link</t>
  </si>
  <si>
    <t>Existing</t>
  </si>
  <si>
    <t>AM</t>
  </si>
  <si>
    <t>Approach</t>
  </si>
  <si>
    <t>Freeway Maping</t>
  </si>
  <si>
    <t>Entry Link</t>
  </si>
  <si>
    <t>Exit Link</t>
  </si>
  <si>
    <t>Scenario Name:</t>
  </si>
  <si>
    <t>Period:</t>
  </si>
  <si>
    <t>15-minute HOURLY Flow Rates from Raw Counts:</t>
  </si>
  <si>
    <t>Unbalanced Peak-Hour Volume</t>
  </si>
  <si>
    <t>15-minute Ratios vs. Unbalanced Peak-Hour Volume</t>
  </si>
  <si>
    <t>EB White Pine Rd</t>
  </si>
  <si>
    <t>WB White Pine Rd</t>
  </si>
  <si>
    <t>SB 288</t>
  </si>
  <si>
    <t>NB 288</t>
  </si>
  <si>
    <t>On-Ramp from Courthouse Rd</t>
  </si>
  <si>
    <t>On-Ramp from Chester Rd</t>
  </si>
  <si>
    <t>EB Courthouse Rd</t>
  </si>
  <si>
    <t>EB Halls Run Rd</t>
  </si>
  <si>
    <t>EB Deerfield Dr</t>
  </si>
  <si>
    <t>NB Route 10</t>
  </si>
  <si>
    <t>SB Stable Gate Dr</t>
  </si>
  <si>
    <t>EB Jury Dr</t>
  </si>
  <si>
    <t>WB Cold Water Run</t>
  </si>
  <si>
    <t>NB Circuit General Dist</t>
  </si>
  <si>
    <t>WB Courthouse Rd</t>
  </si>
  <si>
    <t>EB Roundabout Way</t>
  </si>
  <si>
    <t>SB Lucy Corr Village Entrance</t>
  </si>
  <si>
    <t>NB Government Center Pkwy</t>
  </si>
  <si>
    <t>WB Lucy Corr Blvd</t>
  </si>
  <si>
    <t>NB Stable Gate Dr</t>
  </si>
  <si>
    <t>NB Krause Rd</t>
  </si>
  <si>
    <t>NB Lucy Corr Village Entrance</t>
  </si>
  <si>
    <t>WB Roundabout Way</t>
  </si>
  <si>
    <t>SB Route 10</t>
  </si>
  <si>
    <t>NB Fallow Dr</t>
  </si>
  <si>
    <t>M-1</t>
  </si>
  <si>
    <t>R-1</t>
  </si>
  <si>
    <t>M-2</t>
  </si>
  <si>
    <t>R-7</t>
  </si>
  <si>
    <t>Int. ID/Sheet Number</t>
  </si>
  <si>
    <t>Link ID</t>
  </si>
  <si>
    <t>SB Circuit and General 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</si>
</sst>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2" fontId="0" fillId="0" borderId="0" xfId="0" applyNumberFormat="1"/>
    <xf numFmtId="0" fontId="0" fillId="0" borderId="0" xfId="0" applyFill="1"/>
    <xf numFmtId="0" fontId="1" fillId="2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4" borderId="0" xfId="0" applyFont="1" applyFill="1"/>
    <xf numFmtId="0" fontId="4" fillId="0" borderId="0" xfId="0" applyFont="1"/>
    <xf numFmtId="2" fontId="4" fillId="0" borderId="0" xfId="0" applyNumberFormat="1" applyFont="1"/>
    <xf numFmtId="0" fontId="4" fillId="0" borderId="0" xfId="0" applyFont="1" applyFill="1"/>
    <xf numFmtId="0" fontId="1" fillId="0" borderId="0" xfId="0" applyFont="1" applyFill="1"/>
    <xf numFmtId="18" fontId="4" fillId="0" borderId="0" xfId="0" applyNumberFormat="1" applyFont="1"/>
    <xf numFmtId="0" fontId="4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1" fontId="5" fillId="3" borderId="0" xfId="0" applyNumberFormat="1" applyFont="1" applyFill="1"/>
    <xf numFmtId="164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165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</xdr:row>
          <xdr:rowOff>0</xdr:rowOff>
        </xdr:from>
        <xdr:to>
          <xdr:col>11</xdr:col>
          <xdr:colOff>457200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txt Files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son, Patrick" id="{B6BC6420-CF1E-4377-A7C8-5BF7EAF2C2EF}" userId="S::Patrick.Johnson@kimley-horn.com::5ed061a0-4142-4f32-94d9-b3e8365663d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0-08-07T16:29:24.39" personId="{B6BC6420-CF1E-4377-A7C8-5BF7EAF2C2EF}" id="{D91DD3FB-A5E7-4FE3-B6E3-B070D7847E14}">
    <text>Distribution ID</text>
  </threadedComment>
  <threadedComment ref="E1" dT="2020-07-02T16:57:51.14" personId="{B6BC6420-CF1E-4377-A7C8-5BF7EAF2C2EF}" id="{41831017-3C20-4B3A-909F-488572C97949}">
    <text>0-3600 is seeding period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" dT="2020-07-02T16:48:14.80" personId="{B6BC6420-CF1E-4377-A7C8-5BF7EAF2C2EF}" id="{FC7FE930-F3AE-4FB2-9682-1726B76EBCA0}">
    <text>VISSIM DSD ID</text>
  </threadedComment>
  <threadedComment ref="G1" dT="2020-07-02T16:52:02.59" personId="{B6BC6420-CF1E-4377-A7C8-5BF7EAF2C2EF}" id="{1D591B43-79A0-49E5-9C86-7B87648488C6}">
    <text>Equal to passenger car speed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1063-E73C-412C-A60D-286695604AE9}">
  <sheetPr codeName="Sheet13">
    <tabColor rgb="FFFFFF00"/>
  </sheetPr>
  <dimension ref="A1:O36"/>
  <sheetViews>
    <sheetView zoomScale="70" zoomScaleNormal="70" workbookViewId="0">
      <selection activeCell="O15" sqref="O15"/>
    </sheetView>
  </sheetViews>
  <sheetFormatPr defaultRowHeight="15" x14ac:dyDescent="0.25"/>
  <cols>
    <col min="5" max="5" width="14.42578125" bestFit="1" customWidth="1"/>
    <col min="7" max="7" width="7.7109375" bestFit="1" customWidth="1"/>
    <col min="14" max="14" width="14" bestFit="1" customWidth="1"/>
  </cols>
  <sheetData>
    <row r="1" spans="1:15" x14ac:dyDescent="0.25">
      <c r="A1" t="s">
        <v>15</v>
      </c>
    </row>
    <row r="2" spans="1:15" x14ac:dyDescent="0.25">
      <c r="A2" t="s">
        <v>3</v>
      </c>
      <c r="B2" t="s">
        <v>16</v>
      </c>
      <c r="C2" t="s">
        <v>17</v>
      </c>
      <c r="N2" t="s">
        <v>18</v>
      </c>
      <c r="O2" t="s">
        <v>12</v>
      </c>
    </row>
    <row r="3" spans="1:15" x14ac:dyDescent="0.25">
      <c r="A3">
        <v>1</v>
      </c>
      <c r="B3">
        <v>165</v>
      </c>
      <c r="C3">
        <v>164</v>
      </c>
      <c r="N3" t="s">
        <v>19</v>
      </c>
      <c r="O3" t="s">
        <v>13</v>
      </c>
    </row>
    <row r="4" spans="1:15" x14ac:dyDescent="0.25">
      <c r="A4">
        <v>2</v>
      </c>
      <c r="B4">
        <v>168</v>
      </c>
      <c r="C4">
        <v>166</v>
      </c>
    </row>
    <row r="5" spans="1:15" x14ac:dyDescent="0.25">
      <c r="A5">
        <v>3</v>
      </c>
      <c r="B5">
        <v>161</v>
      </c>
      <c r="C5">
        <v>160</v>
      </c>
    </row>
    <row r="6" spans="1:15" x14ac:dyDescent="0.25">
      <c r="A6" s="2">
        <v>4</v>
      </c>
      <c r="B6" s="2">
        <v>86</v>
      </c>
      <c r="C6" s="2">
        <v>87</v>
      </c>
    </row>
    <row r="7" spans="1:15" x14ac:dyDescent="0.25">
      <c r="A7" s="2">
        <v>5</v>
      </c>
      <c r="B7" s="2">
        <v>87</v>
      </c>
      <c r="C7" s="2">
        <v>86</v>
      </c>
    </row>
    <row r="8" spans="1:15" x14ac:dyDescent="0.25">
      <c r="A8" s="2">
        <v>6</v>
      </c>
      <c r="B8" s="2">
        <v>80</v>
      </c>
      <c r="C8" s="2">
        <v>79</v>
      </c>
    </row>
    <row r="9" spans="1:15" x14ac:dyDescent="0.25">
      <c r="A9" s="2">
        <v>7</v>
      </c>
      <c r="B9" s="2">
        <v>79</v>
      </c>
      <c r="C9" s="2">
        <v>80</v>
      </c>
    </row>
    <row r="10" spans="1:15" x14ac:dyDescent="0.25">
      <c r="A10">
        <v>8</v>
      </c>
      <c r="C10">
        <v>138</v>
      </c>
    </row>
    <row r="11" spans="1:15" x14ac:dyDescent="0.25">
      <c r="A11">
        <v>9</v>
      </c>
      <c r="C11">
        <v>142</v>
      </c>
    </row>
    <row r="12" spans="1:15" x14ac:dyDescent="0.25">
      <c r="A12">
        <v>10</v>
      </c>
      <c r="B12">
        <v>134</v>
      </c>
    </row>
    <row r="13" spans="1:15" x14ac:dyDescent="0.25">
      <c r="A13">
        <v>11</v>
      </c>
      <c r="B13">
        <v>132</v>
      </c>
    </row>
    <row r="14" spans="1:15" x14ac:dyDescent="0.25">
      <c r="A14">
        <v>12</v>
      </c>
      <c r="C14">
        <v>175</v>
      </c>
    </row>
    <row r="15" spans="1:15" x14ac:dyDescent="0.25">
      <c r="A15">
        <v>13</v>
      </c>
      <c r="C15">
        <v>177</v>
      </c>
    </row>
    <row r="16" spans="1:15" x14ac:dyDescent="0.25">
      <c r="A16">
        <v>14</v>
      </c>
      <c r="B16">
        <v>178</v>
      </c>
    </row>
    <row r="17" spans="1:3" x14ac:dyDescent="0.25">
      <c r="A17">
        <v>15</v>
      </c>
      <c r="B17">
        <v>176</v>
      </c>
    </row>
    <row r="18" spans="1:3" x14ac:dyDescent="0.25">
      <c r="A18">
        <v>16</v>
      </c>
      <c r="B18">
        <v>123</v>
      </c>
      <c r="C18">
        <v>126</v>
      </c>
    </row>
    <row r="19" spans="1:3" x14ac:dyDescent="0.25">
      <c r="A19">
        <v>17</v>
      </c>
      <c r="B19">
        <v>125</v>
      </c>
      <c r="C19">
        <v>124</v>
      </c>
    </row>
    <row r="20" spans="1:3" x14ac:dyDescent="0.25">
      <c r="A20">
        <v>18</v>
      </c>
      <c r="B20">
        <v>113</v>
      </c>
      <c r="C20">
        <v>114</v>
      </c>
    </row>
    <row r="21" spans="1:3" x14ac:dyDescent="0.25">
      <c r="A21">
        <v>19</v>
      </c>
      <c r="B21">
        <v>101</v>
      </c>
      <c r="C21">
        <v>102</v>
      </c>
    </row>
    <row r="22" spans="1:3" x14ac:dyDescent="0.25">
      <c r="A22">
        <v>20</v>
      </c>
      <c r="B22">
        <v>104</v>
      </c>
      <c r="C22">
        <v>103</v>
      </c>
    </row>
    <row r="23" spans="1:3" x14ac:dyDescent="0.25">
      <c r="A23">
        <v>21</v>
      </c>
      <c r="B23">
        <v>97</v>
      </c>
      <c r="C23">
        <v>96</v>
      </c>
    </row>
    <row r="24" spans="1:3" x14ac:dyDescent="0.25">
      <c r="A24">
        <v>22</v>
      </c>
      <c r="B24">
        <v>129</v>
      </c>
      <c r="C24">
        <v>128</v>
      </c>
    </row>
    <row r="25" spans="1:3" x14ac:dyDescent="0.25">
      <c r="A25">
        <v>23</v>
      </c>
      <c r="B25">
        <v>108</v>
      </c>
      <c r="C25">
        <v>107</v>
      </c>
    </row>
    <row r="26" spans="1:3" x14ac:dyDescent="0.25">
      <c r="A26">
        <v>24</v>
      </c>
      <c r="B26">
        <v>111</v>
      </c>
      <c r="C26">
        <v>112</v>
      </c>
    </row>
    <row r="27" spans="1:3" x14ac:dyDescent="0.25">
      <c r="A27">
        <v>25</v>
      </c>
      <c r="B27">
        <v>51</v>
      </c>
      <c r="C27">
        <v>52</v>
      </c>
    </row>
    <row r="28" spans="1:3" x14ac:dyDescent="0.25">
      <c r="A28">
        <v>26</v>
      </c>
      <c r="B28">
        <v>68</v>
      </c>
      <c r="C28">
        <v>67</v>
      </c>
    </row>
    <row r="29" spans="1:3" x14ac:dyDescent="0.25">
      <c r="A29">
        <v>27</v>
      </c>
      <c r="B29">
        <v>69</v>
      </c>
      <c r="C29">
        <v>70</v>
      </c>
    </row>
    <row r="30" spans="1:3" x14ac:dyDescent="0.25">
      <c r="A30">
        <v>28</v>
      </c>
      <c r="B30">
        <v>72</v>
      </c>
      <c r="C30">
        <v>82</v>
      </c>
    </row>
    <row r="31" spans="1:3" x14ac:dyDescent="0.25">
      <c r="A31">
        <v>29</v>
      </c>
      <c r="B31">
        <v>77</v>
      </c>
      <c r="C31">
        <v>76</v>
      </c>
    </row>
    <row r="32" spans="1:3" x14ac:dyDescent="0.25">
      <c r="A32">
        <v>30</v>
      </c>
      <c r="B32">
        <v>183</v>
      </c>
      <c r="C32">
        <v>184</v>
      </c>
    </row>
    <row r="33" spans="1:3" x14ac:dyDescent="0.25">
      <c r="A33">
        <v>31</v>
      </c>
      <c r="B33">
        <v>130</v>
      </c>
      <c r="C33">
        <v>131</v>
      </c>
    </row>
    <row r="34" spans="1:3" x14ac:dyDescent="0.25">
      <c r="A34">
        <v>32</v>
      </c>
      <c r="B34">
        <v>66</v>
      </c>
      <c r="C34">
        <v>65</v>
      </c>
    </row>
    <row r="35" spans="1:3" x14ac:dyDescent="0.25">
      <c r="A35">
        <v>33</v>
      </c>
      <c r="B35">
        <v>191</v>
      </c>
      <c r="C35">
        <v>192</v>
      </c>
    </row>
    <row r="36" spans="1:3" x14ac:dyDescent="0.25">
      <c r="A36">
        <v>34</v>
      </c>
      <c r="B36">
        <v>185</v>
      </c>
      <c r="C36">
        <v>186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Worksheets_to_txt">
                <anchor moveWithCells="1" sizeWithCells="1">
                  <from>
                    <xdr:col>8</xdr:col>
                    <xdr:colOff>200025</xdr:colOff>
                    <xdr:row>1</xdr:row>
                    <xdr:rowOff>0</xdr:rowOff>
                  </from>
                  <to>
                    <xdr:col>11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6F95-900A-4853-8273-269A534D814F}">
  <sheetPr codeName="Sheet4">
    <tabColor rgb="FFFFC000"/>
  </sheetPr>
  <dimension ref="A1:S28"/>
  <sheetViews>
    <sheetView tabSelected="1" workbookViewId="0">
      <selection activeCell="U9" sqref="U9"/>
    </sheetView>
  </sheetViews>
  <sheetFormatPr defaultRowHeight="15" x14ac:dyDescent="0.25"/>
  <cols>
    <col min="3" max="3" width="10.140625" customWidth="1"/>
    <col min="4" max="4" width="44.7109375" bestFit="1" customWidth="1"/>
    <col min="5" max="10" width="10.7109375" bestFit="1" customWidth="1"/>
    <col min="12" max="12" width="11.7109375" customWidth="1"/>
    <col min="14" max="14" width="12.5703125" bestFit="1" customWidth="1"/>
  </cols>
  <sheetData>
    <row r="1" spans="1:19" x14ac:dyDescent="0.25">
      <c r="A1" t="s">
        <v>20</v>
      </c>
      <c r="N1" t="s">
        <v>22</v>
      </c>
    </row>
    <row r="2" spans="1:19" ht="45" x14ac:dyDescent="0.25">
      <c r="A2" t="s">
        <v>11</v>
      </c>
      <c r="B2" t="s">
        <v>52</v>
      </c>
      <c r="C2" t="s">
        <v>14</v>
      </c>
      <c r="D2" t="s">
        <v>4</v>
      </c>
      <c r="E2" s="17">
        <v>0.29166666666666702</v>
      </c>
      <c r="F2" s="17">
        <v>0.30208333333333298</v>
      </c>
      <c r="G2" s="17">
        <v>0.3125</v>
      </c>
      <c r="H2" s="17">
        <v>0.32291666666666702</v>
      </c>
      <c r="I2" s="17">
        <v>0.33333333333333331</v>
      </c>
      <c r="J2" s="17">
        <v>0.34375</v>
      </c>
      <c r="L2" s="13" t="s">
        <v>21</v>
      </c>
      <c r="N2" s="12">
        <v>0.29166666666666669</v>
      </c>
      <c r="O2" s="12">
        <v>0.30208333333333331</v>
      </c>
      <c r="P2" s="12">
        <v>0.3125</v>
      </c>
      <c r="Q2" s="12">
        <v>0.32291666666666669</v>
      </c>
      <c r="R2" s="12">
        <v>0.33333333333333331</v>
      </c>
      <c r="S2" s="12">
        <v>0.34375</v>
      </c>
    </row>
    <row r="3" spans="1:19" x14ac:dyDescent="0.25">
      <c r="A3">
        <v>165</v>
      </c>
      <c r="B3">
        <v>1</v>
      </c>
      <c r="C3" t="str">
        <f>LEFT($D3,2)</f>
        <v>EB</v>
      </c>
      <c r="D3" t="s">
        <v>23</v>
      </c>
      <c r="E3" s="14">
        <v>28</v>
      </c>
      <c r="F3" s="14">
        <v>29</v>
      </c>
      <c r="G3" s="14">
        <v>31</v>
      </c>
      <c r="H3" s="14">
        <v>31</v>
      </c>
      <c r="I3" s="14">
        <v>47</v>
      </c>
      <c r="J3" s="14">
        <v>46</v>
      </c>
      <c r="L3">
        <f>SUM(G3:J3)</f>
        <v>155</v>
      </c>
      <c r="N3" s="1">
        <f>(4*E3)/$L3</f>
        <v>0.72258064516129028</v>
      </c>
      <c r="O3" s="1">
        <f t="shared" ref="O3:O28" si="0">(4*F3)/$L3</f>
        <v>0.74838709677419357</v>
      </c>
      <c r="P3" s="1">
        <f t="shared" ref="P3:P28" si="1">(4*G3)/$L3</f>
        <v>0.8</v>
      </c>
      <c r="Q3" s="1">
        <f t="shared" ref="Q3:Q28" si="2">(4*H3)/$L3</f>
        <v>0.8</v>
      </c>
      <c r="R3" s="1">
        <f t="shared" ref="R3:R28" si="3">(4*I3)/$L3</f>
        <v>1.2129032258064516</v>
      </c>
      <c r="S3" s="1">
        <f t="shared" ref="S3:S28" si="4">(4*J3)/$L3</f>
        <v>1.1870967741935483</v>
      </c>
    </row>
    <row r="4" spans="1:19" x14ac:dyDescent="0.25">
      <c r="A4">
        <v>168</v>
      </c>
      <c r="B4">
        <v>1</v>
      </c>
      <c r="C4" t="str">
        <f t="shared" ref="C4:C5" si="5">LEFT($D4,2)</f>
        <v>WB</v>
      </c>
      <c r="D4" t="s">
        <v>24</v>
      </c>
      <c r="E4" s="14">
        <v>30</v>
      </c>
      <c r="F4" s="14">
        <v>39</v>
      </c>
      <c r="G4" s="14">
        <v>48</v>
      </c>
      <c r="H4" s="14">
        <v>28</v>
      </c>
      <c r="I4" s="14">
        <v>51</v>
      </c>
      <c r="J4" s="14">
        <v>34</v>
      </c>
      <c r="L4">
        <f t="shared" ref="L4:L28" si="6">SUM(G4:J4)</f>
        <v>161</v>
      </c>
      <c r="N4" s="1">
        <f t="shared" ref="N4:N28" si="7">(4*E4)/$L4</f>
        <v>0.74534161490683226</v>
      </c>
      <c r="O4" s="1">
        <f t="shared" si="0"/>
        <v>0.96894409937888204</v>
      </c>
      <c r="P4" s="1">
        <f t="shared" si="1"/>
        <v>1.1925465838509317</v>
      </c>
      <c r="Q4" s="1">
        <f t="shared" si="2"/>
        <v>0.69565217391304346</v>
      </c>
      <c r="R4" s="1">
        <f t="shared" si="3"/>
        <v>1.2670807453416149</v>
      </c>
      <c r="S4" s="1">
        <f t="shared" si="4"/>
        <v>0.84472049689440998</v>
      </c>
    </row>
    <row r="5" spans="1:19" x14ac:dyDescent="0.25">
      <c r="A5">
        <v>161</v>
      </c>
      <c r="B5">
        <v>1</v>
      </c>
      <c r="C5" t="str">
        <f t="shared" si="5"/>
        <v>SB</v>
      </c>
      <c r="D5" t="s">
        <v>46</v>
      </c>
      <c r="E5" s="14">
        <v>174</v>
      </c>
      <c r="F5" s="14">
        <v>220</v>
      </c>
      <c r="G5" s="14">
        <v>330</v>
      </c>
      <c r="H5" s="14">
        <v>368</v>
      </c>
      <c r="I5" s="14">
        <v>389</v>
      </c>
      <c r="J5" s="14">
        <v>323</v>
      </c>
      <c r="L5">
        <f t="shared" si="6"/>
        <v>1410</v>
      </c>
      <c r="N5" s="1">
        <f t="shared" si="7"/>
        <v>0.49361702127659574</v>
      </c>
      <c r="O5" s="1">
        <f t="shared" si="0"/>
        <v>0.62411347517730498</v>
      </c>
      <c r="P5" s="1">
        <f t="shared" si="1"/>
        <v>0.93617021276595747</v>
      </c>
      <c r="Q5" s="1">
        <f t="shared" si="2"/>
        <v>1.0439716312056737</v>
      </c>
      <c r="R5" s="1">
        <f t="shared" si="3"/>
        <v>1.1035460992907802</v>
      </c>
      <c r="S5" s="1">
        <f t="shared" si="4"/>
        <v>0.91631205673758864</v>
      </c>
    </row>
    <row r="6" spans="1:19" x14ac:dyDescent="0.25">
      <c r="A6">
        <v>134</v>
      </c>
      <c r="B6" s="18" t="s">
        <v>48</v>
      </c>
      <c r="D6" s="4" t="s">
        <v>25</v>
      </c>
      <c r="E6" s="16">
        <v>528</v>
      </c>
      <c r="F6" s="16">
        <v>515</v>
      </c>
      <c r="G6" s="16">
        <v>619</v>
      </c>
      <c r="H6" s="16">
        <v>709</v>
      </c>
      <c r="I6" s="16">
        <v>702.5</v>
      </c>
      <c r="J6" s="16">
        <v>619</v>
      </c>
      <c r="L6">
        <f t="shared" si="6"/>
        <v>2649.5</v>
      </c>
      <c r="N6" s="1">
        <f t="shared" si="7"/>
        <v>0.79713153425174565</v>
      </c>
      <c r="O6" s="1">
        <f t="shared" si="0"/>
        <v>0.77750518965842608</v>
      </c>
      <c r="P6" s="1">
        <f t="shared" si="1"/>
        <v>0.93451594640498203</v>
      </c>
      <c r="Q6" s="1">
        <f t="shared" si="2"/>
        <v>1.0703906397433478</v>
      </c>
      <c r="R6" s="1">
        <f t="shared" si="3"/>
        <v>1.0605774674466881</v>
      </c>
      <c r="S6" s="1">
        <f t="shared" si="4"/>
        <v>0.93451594640498203</v>
      </c>
    </row>
    <row r="7" spans="1:19" x14ac:dyDescent="0.25">
      <c r="A7">
        <v>132</v>
      </c>
      <c r="B7" s="18" t="s">
        <v>49</v>
      </c>
      <c r="D7" s="4" t="s">
        <v>27</v>
      </c>
      <c r="E7" s="16">
        <v>121</v>
      </c>
      <c r="F7" s="16">
        <v>130</v>
      </c>
      <c r="G7" s="16">
        <v>146</v>
      </c>
      <c r="H7" s="16">
        <v>171.5</v>
      </c>
      <c r="I7" s="16">
        <v>173</v>
      </c>
      <c r="J7" s="16">
        <v>144</v>
      </c>
      <c r="L7">
        <f t="shared" si="6"/>
        <v>634.5</v>
      </c>
      <c r="N7" s="1">
        <f t="shared" si="7"/>
        <v>0.76280535855003939</v>
      </c>
      <c r="O7" s="1">
        <f t="shared" si="0"/>
        <v>0.81954294720252163</v>
      </c>
      <c r="P7" s="1">
        <f t="shared" si="1"/>
        <v>0.92040977147360126</v>
      </c>
      <c r="Q7" s="1">
        <f t="shared" si="2"/>
        <v>1.0811662726556344</v>
      </c>
      <c r="R7" s="1">
        <f t="shared" si="3"/>
        <v>1.0906225374310481</v>
      </c>
      <c r="S7" s="1">
        <f t="shared" si="4"/>
        <v>0.90780141843971629</v>
      </c>
    </row>
    <row r="8" spans="1:19" x14ac:dyDescent="0.25">
      <c r="A8">
        <v>178</v>
      </c>
      <c r="B8" s="18" t="s">
        <v>50</v>
      </c>
      <c r="D8" s="4" t="s">
        <v>26</v>
      </c>
      <c r="E8" s="16">
        <v>428.5</v>
      </c>
      <c r="F8" s="16">
        <v>440.5</v>
      </c>
      <c r="G8" s="16">
        <v>573</v>
      </c>
      <c r="H8" s="16">
        <v>594</v>
      </c>
      <c r="I8" s="16">
        <v>587</v>
      </c>
      <c r="J8" s="16">
        <v>518</v>
      </c>
      <c r="L8">
        <f t="shared" si="6"/>
        <v>2272</v>
      </c>
      <c r="N8" s="1">
        <f t="shared" si="7"/>
        <v>0.75440140845070425</v>
      </c>
      <c r="O8" s="1">
        <f t="shared" si="0"/>
        <v>0.7755281690140845</v>
      </c>
      <c r="P8" s="1">
        <f t="shared" si="1"/>
        <v>1.0088028169014085</v>
      </c>
      <c r="Q8" s="1">
        <f t="shared" si="2"/>
        <v>1.045774647887324</v>
      </c>
      <c r="R8" s="1">
        <f t="shared" si="3"/>
        <v>1.033450704225352</v>
      </c>
      <c r="S8" s="1">
        <f t="shared" si="4"/>
        <v>0.9119718309859155</v>
      </c>
    </row>
    <row r="9" spans="1:19" x14ac:dyDescent="0.25">
      <c r="A9">
        <v>176</v>
      </c>
      <c r="B9" s="18" t="s">
        <v>51</v>
      </c>
      <c r="D9" s="4" t="s">
        <v>28</v>
      </c>
      <c r="E9" s="16">
        <v>76.5</v>
      </c>
      <c r="F9" s="16">
        <v>94</v>
      </c>
      <c r="G9" s="16">
        <v>118</v>
      </c>
      <c r="H9" s="16">
        <v>132.5</v>
      </c>
      <c r="I9" s="16">
        <v>106.5</v>
      </c>
      <c r="J9" s="16">
        <v>104.5</v>
      </c>
      <c r="L9">
        <f t="shared" si="6"/>
        <v>461.5</v>
      </c>
      <c r="N9" s="1">
        <f t="shared" si="7"/>
        <v>0.66305525460455039</v>
      </c>
      <c r="O9" s="1">
        <f t="shared" si="0"/>
        <v>0.81473456121343446</v>
      </c>
      <c r="P9" s="1">
        <f t="shared" si="1"/>
        <v>1.0227518959913326</v>
      </c>
      <c r="Q9" s="1">
        <f t="shared" si="2"/>
        <v>1.1484290357529794</v>
      </c>
      <c r="R9" s="1">
        <f t="shared" si="3"/>
        <v>0.92307692307692313</v>
      </c>
      <c r="S9" s="1">
        <f t="shared" si="4"/>
        <v>0.90574214517876495</v>
      </c>
    </row>
    <row r="10" spans="1:19" x14ac:dyDescent="0.25">
      <c r="A10">
        <v>123</v>
      </c>
      <c r="B10">
        <v>17</v>
      </c>
      <c r="C10" t="str">
        <f>LEFT($D10,2)</f>
        <v>EB</v>
      </c>
      <c r="D10" t="s">
        <v>29</v>
      </c>
      <c r="E10" s="14">
        <v>32</v>
      </c>
      <c r="F10" s="14">
        <v>53</v>
      </c>
      <c r="G10" s="14">
        <v>48</v>
      </c>
      <c r="H10" s="14">
        <v>74</v>
      </c>
      <c r="I10" s="14">
        <v>80</v>
      </c>
      <c r="J10" s="14">
        <v>81</v>
      </c>
      <c r="L10">
        <f t="shared" si="6"/>
        <v>283</v>
      </c>
      <c r="N10" s="1">
        <f t="shared" si="7"/>
        <v>0.45229681978798586</v>
      </c>
      <c r="O10" s="1">
        <f t="shared" si="0"/>
        <v>0.74911660777385158</v>
      </c>
      <c r="P10" s="1">
        <f t="shared" si="1"/>
        <v>0.67844522968197885</v>
      </c>
      <c r="Q10" s="1">
        <f t="shared" si="2"/>
        <v>1.0459363957597174</v>
      </c>
      <c r="R10" s="1">
        <f t="shared" si="3"/>
        <v>1.1307420494699647</v>
      </c>
      <c r="S10" s="1">
        <f t="shared" si="4"/>
        <v>1.1448763250883391</v>
      </c>
    </row>
    <row r="11" spans="1:19" x14ac:dyDescent="0.25">
      <c r="A11">
        <v>125</v>
      </c>
      <c r="B11">
        <v>17</v>
      </c>
      <c r="C11" t="str">
        <f t="shared" ref="C11:C28" si="8">LEFT($D11,2)</f>
        <v>NB</v>
      </c>
      <c r="D11" t="s">
        <v>47</v>
      </c>
      <c r="E11" s="14">
        <v>4</v>
      </c>
      <c r="F11" s="14">
        <v>3</v>
      </c>
      <c r="G11" s="14">
        <v>4</v>
      </c>
      <c r="H11" s="14">
        <v>5</v>
      </c>
      <c r="I11" s="14">
        <v>7</v>
      </c>
      <c r="J11" s="14">
        <v>5</v>
      </c>
      <c r="L11">
        <f t="shared" si="6"/>
        <v>21</v>
      </c>
      <c r="N11" s="1">
        <f t="shared" si="7"/>
        <v>0.76190476190476186</v>
      </c>
      <c r="O11" s="1">
        <f t="shared" si="0"/>
        <v>0.5714285714285714</v>
      </c>
      <c r="P11" s="1">
        <f t="shared" si="1"/>
        <v>0.76190476190476186</v>
      </c>
      <c r="Q11" s="1">
        <f t="shared" si="2"/>
        <v>0.95238095238095233</v>
      </c>
      <c r="R11" s="1">
        <f t="shared" si="3"/>
        <v>1.3333333333333333</v>
      </c>
      <c r="S11" s="1">
        <f t="shared" si="4"/>
        <v>0.95238095238095233</v>
      </c>
    </row>
    <row r="12" spans="1:19" x14ac:dyDescent="0.25">
      <c r="A12">
        <v>113</v>
      </c>
      <c r="B12">
        <v>3</v>
      </c>
      <c r="C12" t="str">
        <f t="shared" si="8"/>
        <v>EB</v>
      </c>
      <c r="D12" t="s">
        <v>30</v>
      </c>
      <c r="E12" s="14">
        <v>0</v>
      </c>
      <c r="F12" s="14">
        <v>2</v>
      </c>
      <c r="G12" s="14">
        <v>1</v>
      </c>
      <c r="H12" s="14">
        <v>3</v>
      </c>
      <c r="I12" s="14">
        <v>2</v>
      </c>
      <c r="J12" s="14">
        <v>0</v>
      </c>
      <c r="L12">
        <f t="shared" si="6"/>
        <v>6</v>
      </c>
      <c r="N12" s="1">
        <f t="shared" si="7"/>
        <v>0</v>
      </c>
      <c r="O12" s="1">
        <f t="shared" si="0"/>
        <v>1.3333333333333333</v>
      </c>
      <c r="P12" s="1">
        <f t="shared" si="1"/>
        <v>0.66666666666666663</v>
      </c>
      <c r="Q12" s="1">
        <f t="shared" si="2"/>
        <v>2</v>
      </c>
      <c r="R12" s="1">
        <f t="shared" si="3"/>
        <v>1.3333333333333333</v>
      </c>
      <c r="S12" s="1">
        <f t="shared" si="4"/>
        <v>0</v>
      </c>
    </row>
    <row r="13" spans="1:19" x14ac:dyDescent="0.25">
      <c r="A13">
        <v>101</v>
      </c>
      <c r="B13">
        <v>4</v>
      </c>
      <c r="C13" t="str">
        <f t="shared" si="8"/>
        <v>EB</v>
      </c>
      <c r="D13" t="s">
        <v>31</v>
      </c>
      <c r="E13" s="14">
        <v>6</v>
      </c>
      <c r="F13" s="14">
        <v>3</v>
      </c>
      <c r="G13" s="14">
        <v>2</v>
      </c>
      <c r="H13" s="14">
        <v>10</v>
      </c>
      <c r="I13" s="14">
        <v>6</v>
      </c>
      <c r="J13" s="14">
        <v>6</v>
      </c>
      <c r="L13">
        <f t="shared" si="6"/>
        <v>24</v>
      </c>
      <c r="N13" s="1">
        <f t="shared" si="7"/>
        <v>1</v>
      </c>
      <c r="O13" s="1">
        <f t="shared" si="0"/>
        <v>0.5</v>
      </c>
      <c r="P13" s="1">
        <f t="shared" si="1"/>
        <v>0.33333333333333331</v>
      </c>
      <c r="Q13" s="1">
        <f t="shared" si="2"/>
        <v>1.6666666666666667</v>
      </c>
      <c r="R13" s="1">
        <f t="shared" si="3"/>
        <v>1</v>
      </c>
      <c r="S13" s="1">
        <f t="shared" si="4"/>
        <v>1</v>
      </c>
    </row>
    <row r="14" spans="1:19" x14ac:dyDescent="0.25">
      <c r="A14">
        <v>104</v>
      </c>
      <c r="B14">
        <v>4</v>
      </c>
      <c r="C14" t="str">
        <f t="shared" si="8"/>
        <v>NB</v>
      </c>
      <c r="D14" t="s">
        <v>32</v>
      </c>
      <c r="E14" s="14">
        <v>307</v>
      </c>
      <c r="F14" s="14">
        <v>409</v>
      </c>
      <c r="G14" s="14">
        <v>448</v>
      </c>
      <c r="H14" s="14">
        <v>449</v>
      </c>
      <c r="I14" s="14">
        <v>408</v>
      </c>
      <c r="J14" s="14">
        <v>369</v>
      </c>
      <c r="L14">
        <f t="shared" si="6"/>
        <v>1674</v>
      </c>
      <c r="N14" s="1">
        <f t="shared" si="7"/>
        <v>0.73357228195937874</v>
      </c>
      <c r="O14" s="1">
        <f t="shared" si="0"/>
        <v>0.97729988052568695</v>
      </c>
      <c r="P14" s="1">
        <f t="shared" si="1"/>
        <v>1.070489844683393</v>
      </c>
      <c r="Q14" s="1">
        <f t="shared" si="2"/>
        <v>1.0728793309438471</v>
      </c>
      <c r="R14" s="1">
        <f t="shared" si="3"/>
        <v>0.97491039426523296</v>
      </c>
      <c r="S14" s="1">
        <f t="shared" si="4"/>
        <v>0.88172043010752688</v>
      </c>
    </row>
    <row r="15" spans="1:19" x14ac:dyDescent="0.25">
      <c r="A15">
        <v>97</v>
      </c>
      <c r="B15">
        <v>11</v>
      </c>
      <c r="C15" t="str">
        <f t="shared" si="8"/>
        <v>SB</v>
      </c>
      <c r="D15" t="s">
        <v>54</v>
      </c>
      <c r="E15" s="14">
        <v>1</v>
      </c>
      <c r="F15" s="14">
        <v>0</v>
      </c>
      <c r="G15" s="14">
        <v>0</v>
      </c>
      <c r="H15" s="14">
        <v>2</v>
      </c>
      <c r="I15" s="14">
        <v>4</v>
      </c>
      <c r="J15" s="14">
        <v>4</v>
      </c>
      <c r="L15">
        <f t="shared" si="6"/>
        <v>10</v>
      </c>
      <c r="N15" s="1">
        <f t="shared" si="7"/>
        <v>0.4</v>
      </c>
      <c r="O15" s="1">
        <f t="shared" si="0"/>
        <v>0</v>
      </c>
      <c r="P15" s="1">
        <f t="shared" si="1"/>
        <v>0</v>
      </c>
      <c r="Q15" s="1">
        <f t="shared" si="2"/>
        <v>0.8</v>
      </c>
      <c r="R15" s="1">
        <f t="shared" si="3"/>
        <v>1.6</v>
      </c>
      <c r="S15" s="1">
        <f t="shared" si="4"/>
        <v>1.6</v>
      </c>
    </row>
    <row r="16" spans="1:19" x14ac:dyDescent="0.25">
      <c r="A16">
        <v>129</v>
      </c>
      <c r="B16">
        <v>12</v>
      </c>
      <c r="C16" t="str">
        <f t="shared" si="8"/>
        <v>SB</v>
      </c>
      <c r="D16" t="s">
        <v>33</v>
      </c>
      <c r="E16" s="14">
        <v>1</v>
      </c>
      <c r="F16" s="14">
        <v>1</v>
      </c>
      <c r="G16" s="14">
        <v>0</v>
      </c>
      <c r="H16" s="14">
        <v>0</v>
      </c>
      <c r="I16" s="14">
        <v>1</v>
      </c>
      <c r="J16" s="14">
        <v>3</v>
      </c>
      <c r="L16">
        <f t="shared" si="6"/>
        <v>4</v>
      </c>
      <c r="N16" s="1">
        <f t="shared" si="7"/>
        <v>1</v>
      </c>
      <c r="O16" s="1">
        <f t="shared" si="0"/>
        <v>1</v>
      </c>
      <c r="P16" s="1">
        <f t="shared" si="1"/>
        <v>0</v>
      </c>
      <c r="Q16" s="1">
        <f t="shared" si="2"/>
        <v>0</v>
      </c>
      <c r="R16" s="1">
        <f t="shared" si="3"/>
        <v>1</v>
      </c>
      <c r="S16" s="1">
        <f t="shared" si="4"/>
        <v>3</v>
      </c>
    </row>
    <row r="17" spans="1:19" x14ac:dyDescent="0.25">
      <c r="A17">
        <v>108</v>
      </c>
      <c r="B17">
        <v>10</v>
      </c>
      <c r="C17" t="str">
        <f t="shared" si="8"/>
        <v>WB</v>
      </c>
      <c r="D17" t="s">
        <v>35</v>
      </c>
      <c r="E17" s="14">
        <v>1</v>
      </c>
      <c r="F17" s="14">
        <v>0</v>
      </c>
      <c r="G17" s="14">
        <v>1</v>
      </c>
      <c r="H17" s="14">
        <v>0</v>
      </c>
      <c r="I17" s="14">
        <v>2</v>
      </c>
      <c r="J17" s="14">
        <v>1</v>
      </c>
      <c r="L17">
        <f t="shared" si="6"/>
        <v>4</v>
      </c>
      <c r="N17" s="1">
        <f t="shared" si="7"/>
        <v>1</v>
      </c>
      <c r="O17" s="1">
        <f t="shared" si="0"/>
        <v>0</v>
      </c>
      <c r="P17" s="1">
        <f t="shared" si="1"/>
        <v>1</v>
      </c>
      <c r="Q17" s="1">
        <f t="shared" si="2"/>
        <v>0</v>
      </c>
      <c r="R17" s="1">
        <f t="shared" si="3"/>
        <v>2</v>
      </c>
      <c r="S17" s="1">
        <f t="shared" si="4"/>
        <v>1</v>
      </c>
    </row>
    <row r="18" spans="1:19" x14ac:dyDescent="0.25">
      <c r="A18">
        <v>111</v>
      </c>
      <c r="B18">
        <v>9</v>
      </c>
      <c r="C18" t="str">
        <f t="shared" si="8"/>
        <v>EB</v>
      </c>
      <c r="D18" t="s">
        <v>34</v>
      </c>
      <c r="E18" s="14">
        <v>2</v>
      </c>
      <c r="F18" s="14">
        <v>0</v>
      </c>
      <c r="G18" s="14">
        <v>1</v>
      </c>
      <c r="H18" s="14">
        <v>2</v>
      </c>
      <c r="I18" s="14">
        <v>1</v>
      </c>
      <c r="J18" s="14">
        <v>1</v>
      </c>
      <c r="L18">
        <f t="shared" si="6"/>
        <v>5</v>
      </c>
      <c r="N18" s="1">
        <f t="shared" si="7"/>
        <v>1.6</v>
      </c>
      <c r="O18" s="1">
        <f t="shared" si="0"/>
        <v>0</v>
      </c>
      <c r="P18" s="1">
        <f t="shared" si="1"/>
        <v>0.8</v>
      </c>
      <c r="Q18" s="1">
        <f t="shared" si="2"/>
        <v>1.6</v>
      </c>
      <c r="R18" s="1">
        <f t="shared" si="3"/>
        <v>0.8</v>
      </c>
      <c r="S18" s="1">
        <f t="shared" si="4"/>
        <v>0.8</v>
      </c>
    </row>
    <row r="19" spans="1:19" x14ac:dyDescent="0.25">
      <c r="A19">
        <v>51</v>
      </c>
      <c r="B19">
        <v>5</v>
      </c>
      <c r="C19" t="str">
        <f t="shared" si="8"/>
        <v>NB</v>
      </c>
      <c r="D19" t="s">
        <v>36</v>
      </c>
      <c r="E19" s="14">
        <v>0</v>
      </c>
      <c r="F19" s="14">
        <v>2</v>
      </c>
      <c r="G19" s="14">
        <v>0</v>
      </c>
      <c r="H19" s="14">
        <v>0</v>
      </c>
      <c r="I19" s="14">
        <v>5</v>
      </c>
      <c r="J19" s="14">
        <v>4</v>
      </c>
      <c r="L19">
        <f t="shared" si="6"/>
        <v>9</v>
      </c>
      <c r="N19" s="1">
        <f t="shared" si="7"/>
        <v>0</v>
      </c>
      <c r="O19" s="1">
        <f t="shared" si="0"/>
        <v>0.88888888888888884</v>
      </c>
      <c r="P19" s="1">
        <f t="shared" si="1"/>
        <v>0</v>
      </c>
      <c r="Q19" s="1">
        <f t="shared" si="2"/>
        <v>0</v>
      </c>
      <c r="R19" s="1">
        <f t="shared" si="3"/>
        <v>2.2222222222222223</v>
      </c>
      <c r="S19" s="1">
        <f t="shared" si="4"/>
        <v>1.7777777777777777</v>
      </c>
    </row>
    <row r="20" spans="1:19" x14ac:dyDescent="0.25">
      <c r="A20">
        <v>68</v>
      </c>
      <c r="B20">
        <v>8</v>
      </c>
      <c r="C20" t="str">
        <f t="shared" si="8"/>
        <v>WB</v>
      </c>
      <c r="D20" t="s">
        <v>37</v>
      </c>
      <c r="E20" s="14">
        <v>4</v>
      </c>
      <c r="F20" s="14">
        <v>7</v>
      </c>
      <c r="G20" s="14">
        <v>22</v>
      </c>
      <c r="H20" s="14">
        <v>41</v>
      </c>
      <c r="I20" s="14">
        <v>88</v>
      </c>
      <c r="J20" s="14">
        <v>120</v>
      </c>
      <c r="L20">
        <f t="shared" si="6"/>
        <v>271</v>
      </c>
      <c r="N20" s="1">
        <f t="shared" si="7"/>
        <v>5.9040590405904057E-2</v>
      </c>
      <c r="O20" s="1">
        <f t="shared" si="0"/>
        <v>0.10332103321033211</v>
      </c>
      <c r="P20" s="1">
        <f t="shared" si="1"/>
        <v>0.32472324723247231</v>
      </c>
      <c r="Q20" s="1">
        <f t="shared" si="2"/>
        <v>0.60516605166051662</v>
      </c>
      <c r="R20" s="1">
        <f t="shared" si="3"/>
        <v>1.2988929889298892</v>
      </c>
      <c r="S20" s="1">
        <f t="shared" si="4"/>
        <v>1.7712177121771218</v>
      </c>
    </row>
    <row r="21" spans="1:19" x14ac:dyDescent="0.25">
      <c r="A21">
        <v>69</v>
      </c>
      <c r="B21">
        <v>16</v>
      </c>
      <c r="C21" t="str">
        <f t="shared" si="8"/>
        <v>EB</v>
      </c>
      <c r="D21" t="s">
        <v>38</v>
      </c>
      <c r="E21" s="14">
        <v>2</v>
      </c>
      <c r="F21" s="14">
        <v>9</v>
      </c>
      <c r="G21" s="14">
        <v>3</v>
      </c>
      <c r="H21" s="14">
        <v>5</v>
      </c>
      <c r="I21" s="14">
        <v>3</v>
      </c>
      <c r="J21" s="14">
        <v>1</v>
      </c>
      <c r="L21">
        <f t="shared" si="6"/>
        <v>12</v>
      </c>
      <c r="N21" s="1">
        <f t="shared" si="7"/>
        <v>0.66666666666666663</v>
      </c>
      <c r="O21" s="1">
        <f t="shared" si="0"/>
        <v>3</v>
      </c>
      <c r="P21" s="1">
        <f t="shared" si="1"/>
        <v>1</v>
      </c>
      <c r="Q21" s="1">
        <f t="shared" si="2"/>
        <v>1.6666666666666667</v>
      </c>
      <c r="R21" s="1">
        <f t="shared" si="3"/>
        <v>1</v>
      </c>
      <c r="S21" s="1">
        <f t="shared" si="4"/>
        <v>0.33333333333333331</v>
      </c>
    </row>
    <row r="22" spans="1:19" x14ac:dyDescent="0.25">
      <c r="A22">
        <v>72</v>
      </c>
      <c r="B22">
        <v>14</v>
      </c>
      <c r="C22" t="str">
        <f t="shared" si="8"/>
        <v>SB</v>
      </c>
      <c r="D22" t="s">
        <v>39</v>
      </c>
      <c r="E22" s="14">
        <v>1</v>
      </c>
      <c r="F22" s="14">
        <v>0</v>
      </c>
      <c r="G22" s="14">
        <v>1</v>
      </c>
      <c r="H22" s="14">
        <v>0</v>
      </c>
      <c r="I22" s="14">
        <v>1</v>
      </c>
      <c r="J22" s="14">
        <v>0</v>
      </c>
      <c r="L22">
        <f t="shared" si="6"/>
        <v>2</v>
      </c>
      <c r="N22" s="1">
        <f t="shared" si="7"/>
        <v>2</v>
      </c>
      <c r="O22" s="1">
        <f t="shared" si="0"/>
        <v>0</v>
      </c>
      <c r="P22" s="1">
        <f t="shared" si="1"/>
        <v>2</v>
      </c>
      <c r="Q22" s="1">
        <f t="shared" si="2"/>
        <v>0</v>
      </c>
      <c r="R22" s="1">
        <f t="shared" si="3"/>
        <v>2</v>
      </c>
      <c r="S22" s="1">
        <f t="shared" si="4"/>
        <v>0</v>
      </c>
    </row>
    <row r="23" spans="1:19" x14ac:dyDescent="0.25">
      <c r="A23">
        <v>77</v>
      </c>
      <c r="B23">
        <v>15</v>
      </c>
      <c r="C23" t="str">
        <f t="shared" si="8"/>
        <v>NB</v>
      </c>
      <c r="D23" t="s">
        <v>40</v>
      </c>
      <c r="E23" s="14">
        <v>21</v>
      </c>
      <c r="F23" s="14">
        <v>21</v>
      </c>
      <c r="G23" s="14">
        <v>24</v>
      </c>
      <c r="H23" s="14">
        <v>36</v>
      </c>
      <c r="I23" s="14">
        <v>70</v>
      </c>
      <c r="J23" s="14">
        <v>84</v>
      </c>
      <c r="L23">
        <f t="shared" si="6"/>
        <v>214</v>
      </c>
      <c r="N23" s="1">
        <f t="shared" si="7"/>
        <v>0.3925233644859813</v>
      </c>
      <c r="O23" s="1">
        <f t="shared" si="0"/>
        <v>0.3925233644859813</v>
      </c>
      <c r="P23" s="1">
        <f t="shared" si="1"/>
        <v>0.44859813084112149</v>
      </c>
      <c r="Q23" s="1">
        <f t="shared" si="2"/>
        <v>0.67289719626168221</v>
      </c>
      <c r="R23" s="1">
        <f t="shared" si="3"/>
        <v>1.308411214953271</v>
      </c>
      <c r="S23" s="1">
        <f t="shared" si="4"/>
        <v>1.5700934579439252</v>
      </c>
    </row>
    <row r="24" spans="1:19" x14ac:dyDescent="0.25">
      <c r="A24">
        <v>183</v>
      </c>
      <c r="B24">
        <v>15</v>
      </c>
      <c r="C24" t="str">
        <f t="shared" si="8"/>
        <v>WB</v>
      </c>
      <c r="D24" t="s">
        <v>41</v>
      </c>
      <c r="E24" s="14">
        <v>0</v>
      </c>
      <c r="F24" s="14">
        <v>0</v>
      </c>
      <c r="G24" s="14">
        <v>0</v>
      </c>
      <c r="H24" s="14">
        <v>0</v>
      </c>
      <c r="I24" s="14">
        <v>1</v>
      </c>
      <c r="J24" s="14">
        <v>2</v>
      </c>
      <c r="L24">
        <f t="shared" si="6"/>
        <v>3</v>
      </c>
      <c r="N24" s="1">
        <f t="shared" si="7"/>
        <v>0</v>
      </c>
      <c r="O24" s="1">
        <f t="shared" si="0"/>
        <v>0</v>
      </c>
      <c r="P24" s="1">
        <f t="shared" si="1"/>
        <v>0</v>
      </c>
      <c r="Q24" s="1">
        <f t="shared" si="2"/>
        <v>0</v>
      </c>
      <c r="R24" s="1">
        <f t="shared" si="3"/>
        <v>1.3333333333333333</v>
      </c>
      <c r="S24" s="1">
        <f t="shared" si="4"/>
        <v>2.6666666666666665</v>
      </c>
    </row>
    <row r="25" spans="1:19" x14ac:dyDescent="0.25">
      <c r="A25">
        <v>130</v>
      </c>
      <c r="B25">
        <v>12</v>
      </c>
      <c r="C25" t="str">
        <f t="shared" si="8"/>
        <v>NB</v>
      </c>
      <c r="D25" t="s">
        <v>42</v>
      </c>
      <c r="E25" s="14">
        <v>1</v>
      </c>
      <c r="F25" s="14">
        <v>2</v>
      </c>
      <c r="G25" s="14">
        <v>4</v>
      </c>
      <c r="H25" s="14">
        <v>3</v>
      </c>
      <c r="I25" s="14">
        <v>1</v>
      </c>
      <c r="J25" s="14">
        <v>3</v>
      </c>
      <c r="L25">
        <f t="shared" si="6"/>
        <v>11</v>
      </c>
      <c r="N25" s="1">
        <f t="shared" si="7"/>
        <v>0.36363636363636365</v>
      </c>
      <c r="O25" s="1">
        <f t="shared" si="0"/>
        <v>0.72727272727272729</v>
      </c>
      <c r="P25" s="1">
        <f t="shared" si="1"/>
        <v>1.4545454545454546</v>
      </c>
      <c r="Q25" s="1">
        <f t="shared" si="2"/>
        <v>1.0909090909090908</v>
      </c>
      <c r="R25" s="1">
        <f t="shared" si="3"/>
        <v>0.36363636363636365</v>
      </c>
      <c r="S25" s="1">
        <f t="shared" si="4"/>
        <v>1.0909090909090908</v>
      </c>
    </row>
    <row r="26" spans="1:19" x14ac:dyDescent="0.25">
      <c r="A26">
        <v>66</v>
      </c>
      <c r="B26">
        <v>8</v>
      </c>
      <c r="C26" t="str">
        <f t="shared" si="8"/>
        <v>NB</v>
      </c>
      <c r="D26" t="s">
        <v>43</v>
      </c>
      <c r="E26" s="14">
        <v>35</v>
      </c>
      <c r="F26" s="14">
        <v>45</v>
      </c>
      <c r="G26" s="14">
        <v>55</v>
      </c>
      <c r="H26" s="14">
        <v>74</v>
      </c>
      <c r="I26" s="14">
        <v>71</v>
      </c>
      <c r="J26" s="14">
        <v>71</v>
      </c>
      <c r="L26">
        <f t="shared" si="6"/>
        <v>271</v>
      </c>
      <c r="N26" s="1">
        <f t="shared" si="7"/>
        <v>0.51660516605166051</v>
      </c>
      <c r="O26" s="1">
        <f t="shared" si="0"/>
        <v>0.66420664206642066</v>
      </c>
      <c r="P26" s="1">
        <f t="shared" si="1"/>
        <v>0.81180811808118081</v>
      </c>
      <c r="Q26" s="1">
        <f t="shared" si="2"/>
        <v>1.0922509225092252</v>
      </c>
      <c r="R26" s="1">
        <f t="shared" si="3"/>
        <v>1.0479704797047971</v>
      </c>
      <c r="S26" s="1">
        <f t="shared" si="4"/>
        <v>1.0479704797047971</v>
      </c>
    </row>
    <row r="27" spans="1:19" x14ac:dyDescent="0.25">
      <c r="A27">
        <v>191</v>
      </c>
      <c r="B27">
        <v>14</v>
      </c>
      <c r="C27" t="str">
        <f t="shared" si="8"/>
        <v>NB</v>
      </c>
      <c r="D27" t="s">
        <v>44</v>
      </c>
      <c r="E27" s="14">
        <v>0</v>
      </c>
      <c r="F27" s="14">
        <v>0</v>
      </c>
      <c r="G27" s="14">
        <v>1</v>
      </c>
      <c r="H27" s="14">
        <v>0</v>
      </c>
      <c r="I27" s="14">
        <v>1</v>
      </c>
      <c r="J27" s="14">
        <v>0</v>
      </c>
      <c r="L27">
        <f t="shared" si="6"/>
        <v>2</v>
      </c>
      <c r="N27" s="1">
        <f t="shared" si="7"/>
        <v>0</v>
      </c>
      <c r="O27" s="1">
        <f t="shared" si="0"/>
        <v>0</v>
      </c>
      <c r="P27" s="1">
        <f t="shared" si="1"/>
        <v>2</v>
      </c>
      <c r="Q27" s="1">
        <f t="shared" si="2"/>
        <v>0</v>
      </c>
      <c r="R27" s="1">
        <f t="shared" si="3"/>
        <v>2</v>
      </c>
      <c r="S27" s="1">
        <f t="shared" si="4"/>
        <v>0</v>
      </c>
    </row>
    <row r="28" spans="1:19" x14ac:dyDescent="0.25">
      <c r="A28">
        <v>185</v>
      </c>
      <c r="B28">
        <v>16</v>
      </c>
      <c r="C28" t="str">
        <f t="shared" si="8"/>
        <v>WB</v>
      </c>
      <c r="D28" t="s">
        <v>45</v>
      </c>
      <c r="E28" s="14">
        <v>2</v>
      </c>
      <c r="F28" s="14">
        <v>2</v>
      </c>
      <c r="G28" s="14">
        <v>5</v>
      </c>
      <c r="H28" s="14">
        <v>4</v>
      </c>
      <c r="I28" s="14">
        <v>8</v>
      </c>
      <c r="J28" s="14">
        <v>8</v>
      </c>
      <c r="L28">
        <f t="shared" si="6"/>
        <v>25</v>
      </c>
      <c r="N28" s="1">
        <f t="shared" si="7"/>
        <v>0.32</v>
      </c>
      <c r="O28" s="1">
        <f t="shared" si="0"/>
        <v>0.32</v>
      </c>
      <c r="P28" s="1">
        <f t="shared" si="1"/>
        <v>0.8</v>
      </c>
      <c r="Q28" s="1">
        <f t="shared" si="2"/>
        <v>0.64</v>
      </c>
      <c r="R28" s="1">
        <f t="shared" si="3"/>
        <v>1.28</v>
      </c>
      <c r="S28" s="1">
        <f t="shared" si="4"/>
        <v>1.28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5766-849F-4BFE-AB1B-1B4FA6EA08EB}">
  <sheetPr codeName="Sheet8">
    <tabColor theme="7"/>
  </sheetPr>
  <dimension ref="A1:J27"/>
  <sheetViews>
    <sheetView workbookViewId="0">
      <selection activeCell="J15" sqref="J15"/>
    </sheetView>
  </sheetViews>
  <sheetFormatPr defaultRowHeight="15" x14ac:dyDescent="0.25"/>
  <cols>
    <col min="2" max="2" width="8.7109375" customWidth="1"/>
    <col min="3" max="3" width="24.42578125" bestFit="1" customWidth="1"/>
    <col min="4" max="4" width="12.28515625" bestFit="1" customWidth="1"/>
    <col min="5" max="10" width="10.5703125" bestFit="1" customWidth="1"/>
  </cols>
  <sheetData>
    <row r="1" spans="1:10" x14ac:dyDescent="0.25">
      <c r="A1" s="3" t="s">
        <v>53</v>
      </c>
      <c r="B1" s="3" t="s">
        <v>3</v>
      </c>
      <c r="C1" s="3" t="s">
        <v>4</v>
      </c>
      <c r="D1" s="3" t="s">
        <v>0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</row>
    <row r="2" spans="1:10" x14ac:dyDescent="0.25">
      <c r="A2">
        <f>VLOOKUP(B2,Routing_Link_Mapping!A:B,2,0)</f>
        <v>165</v>
      </c>
      <c r="B2" s="8">
        <f>VLOOKUP(D2,Compositions!A:B,2,0)</f>
        <v>1</v>
      </c>
      <c r="C2" s="15" t="s">
        <v>23</v>
      </c>
      <c r="D2" s="8">
        <v>1</v>
      </c>
      <c r="E2" s="19">
        <f ca="1">SUM(VLOOKUP(Inputs!$D2,Compositions!$A:$F,4,0),VLOOKUP(Inputs!$D2,Compositions!$A:$F,6,0))*_xlfn.XLOOKUP($C2,Distributions!$D$3:$D$28,Distributions!$N$3:$N$28)</f>
        <v>111.94906239999997</v>
      </c>
      <c r="F2" s="19">
        <f ca="1">SUM(VLOOKUP(Inputs!$D2,Compositions!$A:$F,4,0),VLOOKUP(Inputs!$D2,Compositions!$A:$F,6,0))*_xlfn.XLOOKUP($C2,Distributions!$D$3:$D$28,Distributions!$O$3:$O$28)</f>
        <v>115.94724319999999</v>
      </c>
      <c r="G2" s="19">
        <f ca="1">SUM(VLOOKUP(Inputs!$D2,Compositions!$A:$F,4,0),VLOOKUP(Inputs!$D2,Compositions!$A:$F,6,0))*_xlfn.XLOOKUP($C2,Distributions!$D$3:$D$28,Distributions!$P$3:$P$28)</f>
        <v>123.94360479999999</v>
      </c>
      <c r="H2" s="19">
        <f ca="1">SUM(VLOOKUP(Inputs!$D2,Compositions!$A:$F,4,0),VLOOKUP(Inputs!$D2,Compositions!$A:$F,6,0))*_xlfn.XLOOKUP($C2,Distributions!$D$3:$D$28,Distributions!$Q$3:$Q$28)</f>
        <v>123.94360479999999</v>
      </c>
      <c r="I2" s="19">
        <f ca="1">SUM(VLOOKUP(Inputs!$D2,Compositions!$A:$F,4,0),VLOOKUP(Inputs!$D2,Compositions!$A:$F,6,0))*_xlfn.XLOOKUP($C2,Distributions!$D$3:$D$28,Distributions!$R$3:$R$28)</f>
        <v>187.91449759999998</v>
      </c>
      <c r="J2" s="19">
        <f ca="1">SUM(VLOOKUP(Inputs!$D2,Compositions!$A:$F,4,0),VLOOKUP(Inputs!$D2,Compositions!$A:$F,6,0))*_xlfn.XLOOKUP($C2,Distributions!$D$3:$D$28,Distributions!$S$3:$S$28)</f>
        <v>183.91631679999995</v>
      </c>
    </row>
    <row r="3" spans="1:10" x14ac:dyDescent="0.25">
      <c r="A3">
        <f>VLOOKUP(B3,Routing_Link_Mapping!A:B,2,0)</f>
        <v>168</v>
      </c>
      <c r="B3" s="8">
        <f>VLOOKUP(D3,Compositions!A:B,2,0)</f>
        <v>2</v>
      </c>
      <c r="C3" s="15" t="s">
        <v>24</v>
      </c>
      <c r="D3" s="8">
        <v>2</v>
      </c>
      <c r="E3" s="19">
        <f ca="1">SUM(VLOOKUP(Inputs!$D3,Compositions!$A:$F,4,0),VLOOKUP(Inputs!$D3,Compositions!$A:$F,6,0))*_xlfn.XLOOKUP($C3,Distributions!$D$3:$D$28,Distributions!$N$3:$N$28)</f>
        <v>120.00224571428572</v>
      </c>
      <c r="F3" s="19">
        <f ca="1">SUM(VLOOKUP(Inputs!$D3,Compositions!$A:$F,4,0),VLOOKUP(Inputs!$D3,Compositions!$A:$F,6,0))*_xlfn.XLOOKUP($C3,Distributions!$D$3:$D$28,Distributions!$O$3:$O$28)</f>
        <v>156.00291942857146</v>
      </c>
      <c r="G3" s="19">
        <f ca="1">SUM(VLOOKUP(Inputs!$D3,Compositions!$A:$F,4,0),VLOOKUP(Inputs!$D3,Compositions!$A:$F,6,0))*_xlfn.XLOOKUP($C3,Distributions!$D$3:$D$28,Distributions!$P$3:$P$28)</f>
        <v>192.00359314285717</v>
      </c>
      <c r="H3" s="19">
        <f ca="1">SUM(VLOOKUP(Inputs!$D3,Compositions!$A:$F,4,0),VLOOKUP(Inputs!$D3,Compositions!$A:$F,6,0))*_xlfn.XLOOKUP($C3,Distributions!$D$3:$D$28,Distributions!$Q$3:$Q$28)</f>
        <v>112.00209600000001</v>
      </c>
      <c r="I3" s="19">
        <f ca="1">SUM(VLOOKUP(Inputs!$D3,Compositions!$A:$F,4,0),VLOOKUP(Inputs!$D3,Compositions!$A:$F,6,0))*_xlfn.XLOOKUP($C3,Distributions!$D$3:$D$28,Distributions!$R$3:$R$28)</f>
        <v>204.00381771428573</v>
      </c>
      <c r="J3" s="19">
        <f ca="1">SUM(VLOOKUP(Inputs!$D3,Compositions!$A:$F,4,0),VLOOKUP(Inputs!$D3,Compositions!$A:$F,6,0))*_xlfn.XLOOKUP($C3,Distributions!$D$3:$D$28,Distributions!$S$3:$S$28)</f>
        <v>136.00254514285714</v>
      </c>
    </row>
    <row r="4" spans="1:10" x14ac:dyDescent="0.25">
      <c r="A4">
        <f>VLOOKUP(B4,Routing_Link_Mapping!A:B,2,0)</f>
        <v>161</v>
      </c>
      <c r="B4" s="8">
        <f>VLOOKUP(D4,Compositions!A:B,2,0)</f>
        <v>3</v>
      </c>
      <c r="C4" s="15" t="s">
        <v>46</v>
      </c>
      <c r="D4" s="8">
        <v>3</v>
      </c>
      <c r="E4" s="19">
        <f ca="1">SUM(VLOOKUP(Inputs!$D4,Compositions!$A:$F,4,0),VLOOKUP(Inputs!$D4,Compositions!$A:$F,6,0))*_xlfn.XLOOKUP($C4,Distributions!$D$3:$D$28,Distributions!$N$3:$N$28)</f>
        <v>713.7219434382979</v>
      </c>
      <c r="F4" s="19">
        <f ca="1">SUM(VLOOKUP(Inputs!$D4,Compositions!$A:$F,4,0),VLOOKUP(Inputs!$D4,Compositions!$A:$F,6,0))*_xlfn.XLOOKUP($C4,Distributions!$D$3:$D$28,Distributions!$O$3:$O$28)</f>
        <v>902.40705492198583</v>
      </c>
      <c r="G4" s="19">
        <f ca="1">SUM(VLOOKUP(Inputs!$D4,Compositions!$A:$F,4,0),VLOOKUP(Inputs!$D4,Compositions!$A:$F,6,0))*_xlfn.XLOOKUP($C4,Distributions!$D$3:$D$28,Distributions!$P$3:$P$28)</f>
        <v>1353.6105823829789</v>
      </c>
      <c r="H4" s="19">
        <f ca="1">SUM(VLOOKUP(Inputs!$D4,Compositions!$A:$F,4,0),VLOOKUP(Inputs!$D4,Compositions!$A:$F,6,0))*_xlfn.XLOOKUP($C4,Distributions!$D$3:$D$28,Distributions!$Q$3:$Q$28)</f>
        <v>1509.4808918695035</v>
      </c>
      <c r="I4" s="19">
        <f ca="1">SUM(VLOOKUP(Inputs!$D4,Compositions!$A:$F,4,0),VLOOKUP(Inputs!$D4,Compositions!$A:$F,6,0))*_xlfn.XLOOKUP($C4,Distributions!$D$3:$D$28,Distributions!$R$3:$R$28)</f>
        <v>1595.619747112057</v>
      </c>
      <c r="J4" s="19">
        <f ca="1">SUM(VLOOKUP(Inputs!$D4,Compositions!$A:$F,4,0),VLOOKUP(Inputs!$D4,Compositions!$A:$F,6,0))*_xlfn.XLOOKUP($C4,Distributions!$D$3:$D$28,Distributions!$S$3:$S$28)</f>
        <v>1324.8976306354612</v>
      </c>
    </row>
    <row r="5" spans="1:10" x14ac:dyDescent="0.25">
      <c r="A5">
        <f>VLOOKUP(B5,Routing_Link_Mapping!A:B,2,0)</f>
        <v>134</v>
      </c>
      <c r="B5" s="8">
        <f>VLOOKUP(D5,Compositions!A:B,2,0)</f>
        <v>10</v>
      </c>
      <c r="C5" s="15" t="s">
        <v>25</v>
      </c>
      <c r="D5" s="8">
        <v>4</v>
      </c>
      <c r="E5" s="19">
        <f ca="1">SUM(VLOOKUP(Inputs!$D5,Compositions!$A:$F,4,0),VLOOKUP(Inputs!$D5,Compositions!$A:$F,6,0))*_xlfn.XLOOKUP($C5,Distributions!$D$3:$D$28,Distributions!$N$3:$N$28)</f>
        <v>1606.4765919245142</v>
      </c>
      <c r="F5" s="19">
        <f ca="1">SUM(VLOOKUP(Inputs!$D5,Compositions!$A:$F,4,0),VLOOKUP(Inputs!$D5,Compositions!$A:$F,6,0))*_xlfn.XLOOKUP($C5,Distributions!$D$3:$D$28,Distributions!$O$3:$O$28)</f>
        <v>1566.9231909869786</v>
      </c>
      <c r="G5" s="19">
        <f ca="1">SUM(VLOOKUP(Inputs!$D5,Compositions!$A:$F,4,0),VLOOKUP(Inputs!$D5,Compositions!$A:$F,6,0))*_xlfn.XLOOKUP($C5,Distributions!$D$3:$D$28,Distributions!$P$3:$P$28)</f>
        <v>1883.3503984872618</v>
      </c>
      <c r="H5" s="19">
        <f ca="1">SUM(VLOOKUP(Inputs!$D5,Compositions!$A:$F,4,0),VLOOKUP(Inputs!$D5,Compositions!$A:$F,6,0))*_xlfn.XLOOKUP($C5,Distributions!$D$3:$D$28,Distributions!$Q$3:$Q$28)</f>
        <v>2157.1816357471221</v>
      </c>
      <c r="I5" s="19">
        <f ca="1">SUM(VLOOKUP(Inputs!$D5,Compositions!$A:$F,4,0),VLOOKUP(Inputs!$D5,Compositions!$A:$F,6,0))*_xlfn.XLOOKUP($C5,Distributions!$D$3:$D$28,Distributions!$R$3:$R$28)</f>
        <v>2137.4049352783545</v>
      </c>
      <c r="J5" s="19">
        <f ca="1">SUM(VLOOKUP(Inputs!$D5,Compositions!$A:$F,4,0),VLOOKUP(Inputs!$D5,Compositions!$A:$F,6,0))*_xlfn.XLOOKUP($C5,Distributions!$D$3:$D$28,Distributions!$S$3:$S$28)</f>
        <v>1883.3503984872618</v>
      </c>
    </row>
    <row r="6" spans="1:10" x14ac:dyDescent="0.25">
      <c r="A6">
        <f>VLOOKUP(B6,Routing_Link_Mapping!A:B,2,0)</f>
        <v>132</v>
      </c>
      <c r="B6" s="8">
        <f>VLOOKUP(D6,Compositions!A:B,2,0)</f>
        <v>11</v>
      </c>
      <c r="C6" s="15" t="s">
        <v>27</v>
      </c>
      <c r="D6" s="8">
        <v>5</v>
      </c>
      <c r="E6" s="19">
        <f ca="1">SUM(VLOOKUP(Inputs!$D6,Compositions!$A:$F,4,0),VLOOKUP(Inputs!$D6,Compositions!$A:$F,6,0))*_xlfn.XLOOKUP($C6,Distributions!$D$3:$D$28,Distributions!$N$3:$N$28)</f>
        <v>484.37951015918037</v>
      </c>
      <c r="F6" s="19">
        <f ca="1">SUM(VLOOKUP(Inputs!$D6,Compositions!$A:$F,4,0),VLOOKUP(Inputs!$D6,Compositions!$A:$F,6,0))*_xlfn.XLOOKUP($C6,Distributions!$D$3:$D$28,Distributions!$O$3:$O$28)</f>
        <v>520.40773818754917</v>
      </c>
      <c r="G6" s="19">
        <f ca="1">SUM(VLOOKUP(Inputs!$D6,Compositions!$A:$F,4,0),VLOOKUP(Inputs!$D6,Compositions!$A:$F,6,0))*_xlfn.XLOOKUP($C6,Distributions!$D$3:$D$28,Distributions!$P$3:$P$28)</f>
        <v>584.45792134909368</v>
      </c>
      <c r="H6" s="19">
        <f ca="1">SUM(VLOOKUP(Inputs!$D6,Compositions!$A:$F,4,0),VLOOKUP(Inputs!$D6,Compositions!$A:$F,6,0))*_xlfn.XLOOKUP($C6,Distributions!$D$3:$D$28,Distributions!$Q$3:$Q$28)</f>
        <v>686.53790076280529</v>
      </c>
      <c r="I6" s="19">
        <f ca="1">SUM(VLOOKUP(Inputs!$D6,Compositions!$A:$F,4,0),VLOOKUP(Inputs!$D6,Compositions!$A:$F,6,0))*_xlfn.XLOOKUP($C6,Distributions!$D$3:$D$28,Distributions!$R$3:$R$28)</f>
        <v>692.54260543420003</v>
      </c>
      <c r="J6" s="19">
        <f ca="1">SUM(VLOOKUP(Inputs!$D6,Compositions!$A:$F,4,0),VLOOKUP(Inputs!$D6,Compositions!$A:$F,6,0))*_xlfn.XLOOKUP($C6,Distributions!$D$3:$D$28,Distributions!$S$3:$S$28)</f>
        <v>576.45164845390059</v>
      </c>
    </row>
    <row r="7" spans="1:10" x14ac:dyDescent="0.25">
      <c r="A7">
        <f>VLOOKUP(B7,Routing_Link_Mapping!A:B,2,0)</f>
        <v>178</v>
      </c>
      <c r="B7" s="8">
        <f>VLOOKUP(D7,Compositions!A:B,2,0)</f>
        <v>14</v>
      </c>
      <c r="C7" s="15" t="s">
        <v>26</v>
      </c>
      <c r="D7" s="8">
        <v>6</v>
      </c>
      <c r="E7" s="19">
        <f ca="1">SUM(VLOOKUP(Inputs!$D7,Compositions!$A:$F,4,0),VLOOKUP(Inputs!$D7,Compositions!$A:$F,6,0))*_xlfn.XLOOKUP($C7,Distributions!$D$3:$D$28,Distributions!$N$3:$N$28)</f>
        <v>946.39600788996461</v>
      </c>
      <c r="F7" s="19">
        <f ca="1">SUM(VLOOKUP(Inputs!$D7,Compositions!$A:$F,4,0),VLOOKUP(Inputs!$D7,Compositions!$A:$F,6,0))*_xlfn.XLOOKUP($C7,Distributions!$D$3:$D$28,Distributions!$O$3:$O$28)</f>
        <v>972.89951336179558</v>
      </c>
      <c r="G7" s="19">
        <f ca="1">SUM(VLOOKUP(Inputs!$D7,Compositions!$A:$F,4,0),VLOOKUP(Inputs!$D7,Compositions!$A:$F,6,0))*_xlfn.XLOOKUP($C7,Distributions!$D$3:$D$28,Distributions!$P$3:$P$28)</f>
        <v>1265.5423862799294</v>
      </c>
      <c r="H7" s="19">
        <f ca="1">SUM(VLOOKUP(Inputs!$D7,Compositions!$A:$F,4,0),VLOOKUP(Inputs!$D7,Compositions!$A:$F,6,0))*_xlfn.XLOOKUP($C7,Distributions!$D$3:$D$28,Distributions!$Q$3:$Q$28)</f>
        <v>1311.9235208556336</v>
      </c>
      <c r="I7" s="19">
        <f ca="1">SUM(VLOOKUP(Inputs!$D7,Compositions!$A:$F,4,0),VLOOKUP(Inputs!$D7,Compositions!$A:$F,6,0))*_xlfn.XLOOKUP($C7,Distributions!$D$3:$D$28,Distributions!$R$3:$R$28)</f>
        <v>1296.463142663732</v>
      </c>
      <c r="J7" s="19">
        <f ca="1">SUM(VLOOKUP(Inputs!$D7,Compositions!$A:$F,4,0),VLOOKUP(Inputs!$D7,Compositions!$A:$F,6,0))*_xlfn.XLOOKUP($C7,Distributions!$D$3:$D$28,Distributions!$S$3:$S$28)</f>
        <v>1144.0679862007039</v>
      </c>
    </row>
    <row r="8" spans="1:10" x14ac:dyDescent="0.25">
      <c r="A8">
        <f>VLOOKUP(B8,Routing_Link_Mapping!A:B,2,0)</f>
        <v>176</v>
      </c>
      <c r="B8" s="8">
        <f>VLOOKUP(D8,Compositions!A:B,2,0)</f>
        <v>15</v>
      </c>
      <c r="C8" s="15" t="s">
        <v>28</v>
      </c>
      <c r="D8" s="8">
        <v>7</v>
      </c>
      <c r="E8" s="19">
        <f ca="1">SUM(VLOOKUP(Inputs!$D8,Compositions!$A:$F,4,0),VLOOKUP(Inputs!$D8,Compositions!$A:$F,6,0))*_xlfn.XLOOKUP($C8,Distributions!$D$3:$D$28,Distributions!$N$3:$N$28)</f>
        <v>304.99198693391105</v>
      </c>
      <c r="F8" s="19">
        <f ca="1">SUM(VLOOKUP(Inputs!$D8,Compositions!$A:$F,4,0),VLOOKUP(Inputs!$D8,Compositions!$A:$F,6,0))*_xlfn.XLOOKUP($C8,Distributions!$D$3:$D$28,Distributions!$O$3:$O$28)</f>
        <v>374.76139570964239</v>
      </c>
      <c r="G8" s="19">
        <f ca="1">SUM(VLOOKUP(Inputs!$D8,Compositions!$A:$F,4,0),VLOOKUP(Inputs!$D8,Compositions!$A:$F,6,0))*_xlfn.XLOOKUP($C8,Distributions!$D$3:$D$28,Distributions!$P$3:$P$28)</f>
        <v>470.4451563163596</v>
      </c>
      <c r="H8" s="19">
        <f ca="1">SUM(VLOOKUP(Inputs!$D8,Compositions!$A:$F,4,0),VLOOKUP(Inputs!$D8,Compositions!$A:$F,6,0))*_xlfn.XLOOKUP($C8,Distributions!$D$3:$D$28,Distributions!$Q$3:$Q$28)</f>
        <v>528.2540950162512</v>
      </c>
      <c r="I8" s="19">
        <f ca="1">SUM(VLOOKUP(Inputs!$D8,Compositions!$A:$F,4,0),VLOOKUP(Inputs!$D8,Compositions!$A:$F,6,0))*_xlfn.XLOOKUP($C8,Distributions!$D$3:$D$28,Distributions!$R$3:$R$28)</f>
        <v>424.59668769230757</v>
      </c>
      <c r="J8" s="19">
        <f ca="1">SUM(VLOOKUP(Inputs!$D8,Compositions!$A:$F,4,0),VLOOKUP(Inputs!$D8,Compositions!$A:$F,6,0))*_xlfn.XLOOKUP($C8,Distributions!$D$3:$D$28,Distributions!$S$3:$S$28)</f>
        <v>416.62304097508115</v>
      </c>
    </row>
    <row r="9" spans="1:10" x14ac:dyDescent="0.25">
      <c r="A9">
        <f>VLOOKUP(B9,Routing_Link_Mapping!A:B,2,0)</f>
        <v>123</v>
      </c>
      <c r="B9" s="8">
        <f>VLOOKUP(D9,Compositions!A:B,2,0)</f>
        <v>16</v>
      </c>
      <c r="C9" s="15" t="s">
        <v>29</v>
      </c>
      <c r="D9" s="8">
        <v>8</v>
      </c>
      <c r="E9" s="19">
        <f ca="1">SUM(VLOOKUP(Inputs!$D9,Compositions!$A:$F,4,0),VLOOKUP(Inputs!$D9,Compositions!$A:$F,6,0))*_xlfn.XLOOKUP($C9,Distributions!$D$3:$D$28,Distributions!$N$3:$N$28)</f>
        <v>139.34744921554773</v>
      </c>
      <c r="F9" s="19">
        <f ca="1">SUM(VLOOKUP(Inputs!$D9,Compositions!$A:$F,4,0),VLOOKUP(Inputs!$D9,Compositions!$A:$F,6,0))*_xlfn.XLOOKUP($C9,Distributions!$D$3:$D$28,Distributions!$O$3:$O$28)</f>
        <v>230.79421276325093</v>
      </c>
      <c r="G9" s="19">
        <f ca="1">SUM(VLOOKUP(Inputs!$D9,Compositions!$A:$F,4,0),VLOOKUP(Inputs!$D9,Compositions!$A:$F,6,0))*_xlfn.XLOOKUP($C9,Distributions!$D$3:$D$28,Distributions!$P$3:$P$28)</f>
        <v>209.02117382332162</v>
      </c>
      <c r="H9" s="19">
        <f ca="1">SUM(VLOOKUP(Inputs!$D9,Compositions!$A:$F,4,0),VLOOKUP(Inputs!$D9,Compositions!$A:$F,6,0))*_xlfn.XLOOKUP($C9,Distributions!$D$3:$D$28,Distributions!$Q$3:$Q$28)</f>
        <v>322.24097631095418</v>
      </c>
      <c r="I9" s="19">
        <f ca="1">SUM(VLOOKUP(Inputs!$D9,Compositions!$A:$F,4,0),VLOOKUP(Inputs!$D9,Compositions!$A:$F,6,0))*_xlfn.XLOOKUP($C9,Distributions!$D$3:$D$28,Distributions!$R$3:$R$28)</f>
        <v>348.36862303886932</v>
      </c>
      <c r="J9" s="19">
        <f ca="1">SUM(VLOOKUP(Inputs!$D9,Compositions!$A:$F,4,0),VLOOKUP(Inputs!$D9,Compositions!$A:$F,6,0))*_xlfn.XLOOKUP($C9,Distributions!$D$3:$D$28,Distributions!$S$3:$S$28)</f>
        <v>352.72323082685517</v>
      </c>
    </row>
    <row r="10" spans="1:10" x14ac:dyDescent="0.25">
      <c r="A10">
        <f>VLOOKUP(B10,Routing_Link_Mapping!A:B,2,0)</f>
        <v>125</v>
      </c>
      <c r="B10" s="8">
        <f>VLOOKUP(D10,Compositions!A:B,2,0)</f>
        <v>17</v>
      </c>
      <c r="C10" s="15" t="s">
        <v>47</v>
      </c>
      <c r="D10" s="8">
        <v>9</v>
      </c>
      <c r="E10" s="19">
        <f ca="1">SUM(VLOOKUP(Inputs!$D10,Compositions!$A:$F,4,0),VLOOKUP(Inputs!$D10,Compositions!$A:$F,6,0))*_xlfn.XLOOKUP($C10,Distributions!$D$3:$D$28,Distributions!$N$3:$N$28)</f>
        <v>16.035827047619048</v>
      </c>
      <c r="F10" s="19">
        <f ca="1">SUM(VLOOKUP(Inputs!$D10,Compositions!$A:$F,4,0),VLOOKUP(Inputs!$D10,Compositions!$A:$F,6,0))*_xlfn.XLOOKUP($C10,Distributions!$D$3:$D$28,Distributions!$O$3:$O$28)</f>
        <v>12.026870285714287</v>
      </c>
      <c r="G10" s="19">
        <f ca="1">SUM(VLOOKUP(Inputs!$D10,Compositions!$A:$F,4,0),VLOOKUP(Inputs!$D10,Compositions!$A:$F,6,0))*_xlfn.XLOOKUP($C10,Distributions!$D$3:$D$28,Distributions!$P$3:$P$28)</f>
        <v>16.035827047619048</v>
      </c>
      <c r="H10" s="19">
        <f ca="1">SUM(VLOOKUP(Inputs!$D10,Compositions!$A:$F,4,0),VLOOKUP(Inputs!$D10,Compositions!$A:$F,6,0))*_xlfn.XLOOKUP($C10,Distributions!$D$3:$D$28,Distributions!$Q$3:$Q$28)</f>
        <v>20.04478380952381</v>
      </c>
      <c r="I10" s="19">
        <f ca="1">SUM(VLOOKUP(Inputs!$D10,Compositions!$A:$F,4,0),VLOOKUP(Inputs!$D10,Compositions!$A:$F,6,0))*_xlfn.XLOOKUP($C10,Distributions!$D$3:$D$28,Distributions!$R$3:$R$28)</f>
        <v>28.062697333333336</v>
      </c>
      <c r="J10" s="19">
        <f ca="1">SUM(VLOOKUP(Inputs!$D10,Compositions!$A:$F,4,0),VLOOKUP(Inputs!$D10,Compositions!$A:$F,6,0))*_xlfn.XLOOKUP($C10,Distributions!$D$3:$D$28,Distributions!$S$3:$S$28)</f>
        <v>20.04478380952381</v>
      </c>
    </row>
    <row r="11" spans="1:10" x14ac:dyDescent="0.25">
      <c r="A11">
        <f>VLOOKUP(B11,Routing_Link_Mapping!A:B,2,0)</f>
        <v>113</v>
      </c>
      <c r="B11" s="8">
        <f>VLOOKUP(D11,Compositions!A:B,2,0)</f>
        <v>18</v>
      </c>
      <c r="C11" s="15" t="s">
        <v>30</v>
      </c>
      <c r="D11" s="8">
        <v>10</v>
      </c>
      <c r="E11" s="19">
        <f ca="1">SUM(VLOOKUP(Inputs!$D11,Compositions!$A:$F,4,0),VLOOKUP(Inputs!$D11,Compositions!$A:$F,6,0))*_xlfn.XLOOKUP($C11,Distributions!$D$3:$D$28,Distributions!$N$3:$N$28)</f>
        <v>0</v>
      </c>
      <c r="F11" s="19">
        <f ca="1">SUM(VLOOKUP(Inputs!$D11,Compositions!$A:$F,4,0),VLOOKUP(Inputs!$D11,Compositions!$A:$F,6,0))*_xlfn.XLOOKUP($C11,Distributions!$D$3:$D$28,Distributions!$O$3:$O$28)</f>
        <v>31.628171999999999</v>
      </c>
      <c r="G11" s="19">
        <f ca="1">SUM(VLOOKUP(Inputs!$D11,Compositions!$A:$F,4,0),VLOOKUP(Inputs!$D11,Compositions!$A:$F,6,0))*_xlfn.XLOOKUP($C11,Distributions!$D$3:$D$28,Distributions!$P$3:$P$28)</f>
        <v>15.814086</v>
      </c>
      <c r="H11" s="19">
        <f ca="1">SUM(VLOOKUP(Inputs!$D11,Compositions!$A:$F,4,0),VLOOKUP(Inputs!$D11,Compositions!$A:$F,6,0))*_xlfn.XLOOKUP($C11,Distributions!$D$3:$D$28,Distributions!$Q$3:$Q$28)</f>
        <v>47.442258000000002</v>
      </c>
      <c r="I11" s="19">
        <f ca="1">SUM(VLOOKUP(Inputs!$D11,Compositions!$A:$F,4,0),VLOOKUP(Inputs!$D11,Compositions!$A:$F,6,0))*_xlfn.XLOOKUP($C11,Distributions!$D$3:$D$28,Distributions!$R$3:$R$28)</f>
        <v>31.628171999999999</v>
      </c>
      <c r="J11" s="19">
        <f ca="1">SUM(VLOOKUP(Inputs!$D11,Compositions!$A:$F,4,0),VLOOKUP(Inputs!$D11,Compositions!$A:$F,6,0))*_xlfn.XLOOKUP($C11,Distributions!$D$3:$D$28,Distributions!$S$3:$S$28)</f>
        <v>0</v>
      </c>
    </row>
    <row r="12" spans="1:10" x14ac:dyDescent="0.25">
      <c r="A12">
        <f>VLOOKUP(B12,Routing_Link_Mapping!A:B,2,0)</f>
        <v>101</v>
      </c>
      <c r="B12" s="8">
        <f>VLOOKUP(D12,Compositions!A:B,2,0)</f>
        <v>19</v>
      </c>
      <c r="C12" s="15" t="s">
        <v>31</v>
      </c>
      <c r="D12" s="8">
        <v>11</v>
      </c>
      <c r="E12" s="19">
        <f ca="1">SUM(VLOOKUP(Inputs!$D12,Compositions!$A:$F,4,0),VLOOKUP(Inputs!$D12,Compositions!$A:$F,6,0))*_xlfn.XLOOKUP($C12,Distributions!$D$3:$D$28,Distributions!$N$3:$N$28)</f>
        <v>24.178017999999998</v>
      </c>
      <c r="F12" s="19">
        <f ca="1">SUM(VLOOKUP(Inputs!$D12,Compositions!$A:$F,4,0),VLOOKUP(Inputs!$D12,Compositions!$A:$F,6,0))*_xlfn.XLOOKUP($C12,Distributions!$D$3:$D$28,Distributions!$O$3:$O$28)</f>
        <v>12.089008999999999</v>
      </c>
      <c r="G12" s="19">
        <f ca="1">SUM(VLOOKUP(Inputs!$D12,Compositions!$A:$F,4,0),VLOOKUP(Inputs!$D12,Compositions!$A:$F,6,0))*_xlfn.XLOOKUP($C12,Distributions!$D$3:$D$28,Distributions!$P$3:$P$28)</f>
        <v>8.0593393333333321</v>
      </c>
      <c r="H12" s="19">
        <f ca="1">SUM(VLOOKUP(Inputs!$D12,Compositions!$A:$F,4,0),VLOOKUP(Inputs!$D12,Compositions!$A:$F,6,0))*_xlfn.XLOOKUP($C12,Distributions!$D$3:$D$28,Distributions!$Q$3:$Q$28)</f>
        <v>40.296696666666662</v>
      </c>
      <c r="I12" s="19">
        <f ca="1">SUM(VLOOKUP(Inputs!$D12,Compositions!$A:$F,4,0),VLOOKUP(Inputs!$D12,Compositions!$A:$F,6,0))*_xlfn.XLOOKUP($C12,Distributions!$D$3:$D$28,Distributions!$R$3:$R$28)</f>
        <v>24.178017999999998</v>
      </c>
      <c r="J12" s="19">
        <f ca="1">SUM(VLOOKUP(Inputs!$D12,Compositions!$A:$F,4,0),VLOOKUP(Inputs!$D12,Compositions!$A:$F,6,0))*_xlfn.XLOOKUP($C12,Distributions!$D$3:$D$28,Distributions!$S$3:$S$28)</f>
        <v>24.178017999999998</v>
      </c>
    </row>
    <row r="13" spans="1:10" x14ac:dyDescent="0.25">
      <c r="A13">
        <f>VLOOKUP(B13,Routing_Link_Mapping!A:B,2,0)</f>
        <v>104</v>
      </c>
      <c r="B13" s="8">
        <f>VLOOKUP(D13,Compositions!A:B,2,0)</f>
        <v>20</v>
      </c>
      <c r="C13" s="15" t="s">
        <v>32</v>
      </c>
      <c r="D13" s="8">
        <v>12</v>
      </c>
      <c r="E13" s="19">
        <f ca="1">SUM(VLOOKUP(Inputs!$D13,Compositions!$A:$F,4,0),VLOOKUP(Inputs!$D13,Compositions!$A:$F,6,0))*_xlfn.XLOOKUP($C13,Distributions!$D$3:$D$28,Distributions!$N$3:$N$28)</f>
        <v>1198.0720598853045</v>
      </c>
      <c r="F13" s="19">
        <f ca="1">SUM(VLOOKUP(Inputs!$D13,Compositions!$A:$F,4,0),VLOOKUP(Inputs!$D13,Compositions!$A:$F,6,0))*_xlfn.XLOOKUP($C13,Distributions!$D$3:$D$28,Distributions!$O$3:$O$28)</f>
        <v>1596.128574896057</v>
      </c>
      <c r="G13" s="19">
        <f ca="1">SUM(VLOOKUP(Inputs!$D13,Compositions!$A:$F,4,0),VLOOKUP(Inputs!$D13,Compositions!$A:$F,6,0))*_xlfn.XLOOKUP($C13,Distributions!$D$3:$D$28,Distributions!$P$3:$P$28)</f>
        <v>1748.3266541648743</v>
      </c>
      <c r="H13" s="19">
        <f ca="1">SUM(VLOOKUP(Inputs!$D13,Compositions!$A:$F,4,0),VLOOKUP(Inputs!$D13,Compositions!$A:$F,6,0))*_xlfn.XLOOKUP($C13,Distributions!$D$3:$D$28,Distributions!$Q$3:$Q$28)</f>
        <v>1752.2291690179209</v>
      </c>
      <c r="I13" s="19">
        <f ca="1">SUM(VLOOKUP(Inputs!$D13,Compositions!$A:$F,4,0),VLOOKUP(Inputs!$D13,Compositions!$A:$F,6,0))*_xlfn.XLOOKUP($C13,Distributions!$D$3:$D$28,Distributions!$R$3:$R$28)</f>
        <v>1592.2260600430104</v>
      </c>
      <c r="J13" s="19">
        <f ca="1">SUM(VLOOKUP(Inputs!$D13,Compositions!$A:$F,4,0),VLOOKUP(Inputs!$D13,Compositions!$A:$F,6,0))*_xlfn.XLOOKUP($C13,Distributions!$D$3:$D$28,Distributions!$S$3:$S$28)</f>
        <v>1440.0279807741933</v>
      </c>
    </row>
    <row r="14" spans="1:10" x14ac:dyDescent="0.25">
      <c r="A14">
        <f>VLOOKUP(B14,Routing_Link_Mapping!A:B,2,0)</f>
        <v>97</v>
      </c>
      <c r="B14" s="8">
        <f>VLOOKUP(D14,Compositions!A:B,2,0)</f>
        <v>21</v>
      </c>
      <c r="C14" s="15" t="s">
        <v>54</v>
      </c>
      <c r="D14" s="8">
        <v>13</v>
      </c>
      <c r="E14" s="19">
        <f ca="1">SUM(VLOOKUP(Inputs!$D14,Compositions!$A:$F,4,0),VLOOKUP(Inputs!$D14,Compositions!$A:$F,6,0))*_xlfn.XLOOKUP($C14,Distributions!$D$3:$D$28,Distributions!$N$3:$N$28)</f>
        <v>4.0563964000000006</v>
      </c>
      <c r="F14" s="19">
        <f ca="1">SUM(VLOOKUP(Inputs!$D14,Compositions!$A:$F,4,0),VLOOKUP(Inputs!$D14,Compositions!$A:$F,6,0))*_xlfn.XLOOKUP($C14,Distributions!$D$3:$D$28,Distributions!$O$3:$O$28)</f>
        <v>0</v>
      </c>
      <c r="G14" s="19">
        <f ca="1">SUM(VLOOKUP(Inputs!$D14,Compositions!$A:$F,4,0),VLOOKUP(Inputs!$D14,Compositions!$A:$F,6,0))*_xlfn.XLOOKUP($C14,Distributions!$D$3:$D$28,Distributions!$P$3:$P$28)</f>
        <v>0</v>
      </c>
      <c r="H14" s="19">
        <f ca="1">SUM(VLOOKUP(Inputs!$D14,Compositions!$A:$F,4,0),VLOOKUP(Inputs!$D14,Compositions!$A:$F,6,0))*_xlfn.XLOOKUP($C14,Distributions!$D$3:$D$28,Distributions!$Q$3:$Q$28)</f>
        <v>8.1127928000000011</v>
      </c>
      <c r="I14" s="19">
        <f ca="1">SUM(VLOOKUP(Inputs!$D14,Compositions!$A:$F,4,0),VLOOKUP(Inputs!$D14,Compositions!$A:$F,6,0))*_xlfn.XLOOKUP($C14,Distributions!$D$3:$D$28,Distributions!$R$3:$R$28)</f>
        <v>16.225585600000002</v>
      </c>
      <c r="J14" s="19">
        <f ca="1">SUM(VLOOKUP(Inputs!$D14,Compositions!$A:$F,4,0),VLOOKUP(Inputs!$D14,Compositions!$A:$F,6,0))*_xlfn.XLOOKUP($C14,Distributions!$D$3:$D$28,Distributions!$S$3:$S$28)</f>
        <v>16.225585600000002</v>
      </c>
    </row>
    <row r="15" spans="1:10" x14ac:dyDescent="0.25">
      <c r="A15">
        <f>VLOOKUP(B15,Routing_Link_Mapping!A:B,2,0)</f>
        <v>129</v>
      </c>
      <c r="B15" s="8">
        <f>VLOOKUP(D15,Compositions!A:B,2,0)</f>
        <v>22</v>
      </c>
      <c r="C15" s="15" t="s">
        <v>33</v>
      </c>
      <c r="D15" s="8">
        <v>14</v>
      </c>
      <c r="E15" s="19">
        <f ca="1">SUM(VLOOKUP(Inputs!$D15,Compositions!$A:$F,4,0),VLOOKUP(Inputs!$D15,Compositions!$A:$F,6,0))*_xlfn.XLOOKUP($C15,Distributions!$D$3:$D$28,Distributions!$N$3:$N$28)</f>
        <v>4.334969000000001</v>
      </c>
      <c r="F15" s="19">
        <f ca="1">SUM(VLOOKUP(Inputs!$D15,Compositions!$A:$F,4,0),VLOOKUP(Inputs!$D15,Compositions!$A:$F,6,0))*_xlfn.XLOOKUP($C15,Distributions!$D$3:$D$28,Distributions!$O$3:$O$28)</f>
        <v>4.334969000000001</v>
      </c>
      <c r="G15" s="19">
        <f ca="1">SUM(VLOOKUP(Inputs!$D15,Compositions!$A:$F,4,0),VLOOKUP(Inputs!$D15,Compositions!$A:$F,6,0))*_xlfn.XLOOKUP($C15,Distributions!$D$3:$D$28,Distributions!$P$3:$P$28)</f>
        <v>0</v>
      </c>
      <c r="H15" s="19">
        <f ca="1">SUM(VLOOKUP(Inputs!$D15,Compositions!$A:$F,4,0),VLOOKUP(Inputs!$D15,Compositions!$A:$F,6,0))*_xlfn.XLOOKUP($C15,Distributions!$D$3:$D$28,Distributions!$Q$3:$Q$28)</f>
        <v>0</v>
      </c>
      <c r="I15" s="19">
        <f ca="1">SUM(VLOOKUP(Inputs!$D15,Compositions!$A:$F,4,0),VLOOKUP(Inputs!$D15,Compositions!$A:$F,6,0))*_xlfn.XLOOKUP($C15,Distributions!$D$3:$D$28,Distributions!$R$3:$R$28)</f>
        <v>4.334969000000001</v>
      </c>
      <c r="J15" s="19">
        <f ca="1">SUM(VLOOKUP(Inputs!$D15,Compositions!$A:$F,4,0),VLOOKUP(Inputs!$D15,Compositions!$A:$F,6,0))*_xlfn.XLOOKUP($C15,Distributions!$D$3:$D$28,Distributions!$S$3:$S$28)</f>
        <v>13.004907000000003</v>
      </c>
    </row>
    <row r="16" spans="1:10" x14ac:dyDescent="0.25">
      <c r="A16">
        <f>VLOOKUP(B16,Routing_Link_Mapping!A:B,2,0)</f>
        <v>108</v>
      </c>
      <c r="B16" s="8">
        <f>VLOOKUP(D16,Compositions!A:B,2,0)</f>
        <v>23</v>
      </c>
      <c r="C16" s="15" t="s">
        <v>35</v>
      </c>
      <c r="D16" s="8">
        <v>15</v>
      </c>
      <c r="E16" s="19">
        <f ca="1">SUM(VLOOKUP(Inputs!$D16,Compositions!$A:$F,4,0),VLOOKUP(Inputs!$D16,Compositions!$A:$F,6,0))*_xlfn.XLOOKUP($C16,Distributions!$D$3:$D$28,Distributions!$N$3:$N$28)</f>
        <v>4.1282680000000003</v>
      </c>
      <c r="F16" s="19">
        <f ca="1">SUM(VLOOKUP(Inputs!$D16,Compositions!$A:$F,4,0),VLOOKUP(Inputs!$D16,Compositions!$A:$F,6,0))*_xlfn.XLOOKUP($C16,Distributions!$D$3:$D$28,Distributions!$O$3:$O$28)</f>
        <v>0</v>
      </c>
      <c r="G16" s="19">
        <f ca="1">SUM(VLOOKUP(Inputs!$D16,Compositions!$A:$F,4,0),VLOOKUP(Inputs!$D16,Compositions!$A:$F,6,0))*_xlfn.XLOOKUP($C16,Distributions!$D$3:$D$28,Distributions!$P$3:$P$28)</f>
        <v>4.1282680000000003</v>
      </c>
      <c r="H16" s="19">
        <f ca="1">SUM(VLOOKUP(Inputs!$D16,Compositions!$A:$F,4,0),VLOOKUP(Inputs!$D16,Compositions!$A:$F,6,0))*_xlfn.XLOOKUP($C16,Distributions!$D$3:$D$28,Distributions!$Q$3:$Q$28)</f>
        <v>0</v>
      </c>
      <c r="I16" s="19">
        <f ca="1">SUM(VLOOKUP(Inputs!$D16,Compositions!$A:$F,4,0),VLOOKUP(Inputs!$D16,Compositions!$A:$F,6,0))*_xlfn.XLOOKUP($C16,Distributions!$D$3:$D$28,Distributions!$R$3:$R$28)</f>
        <v>8.2565360000000005</v>
      </c>
      <c r="J16" s="19">
        <f ca="1">SUM(VLOOKUP(Inputs!$D16,Compositions!$A:$F,4,0),VLOOKUP(Inputs!$D16,Compositions!$A:$F,6,0))*_xlfn.XLOOKUP($C16,Distributions!$D$3:$D$28,Distributions!$S$3:$S$28)</f>
        <v>4.1282680000000003</v>
      </c>
    </row>
    <row r="17" spans="1:10" x14ac:dyDescent="0.25">
      <c r="A17">
        <f>VLOOKUP(B17,Routing_Link_Mapping!A:B,2,0)</f>
        <v>111</v>
      </c>
      <c r="B17" s="8">
        <f>VLOOKUP(D17,Compositions!A:B,2,0)</f>
        <v>24</v>
      </c>
      <c r="C17" s="15" t="s">
        <v>34</v>
      </c>
      <c r="D17" s="8">
        <v>16</v>
      </c>
      <c r="E17" s="19">
        <f ca="1">SUM(VLOOKUP(Inputs!$D17,Compositions!$A:$F,4,0),VLOOKUP(Inputs!$D17,Compositions!$A:$F,6,0))*_xlfn.XLOOKUP($C17,Distributions!$D$3:$D$28,Distributions!$N$3:$N$28)</f>
        <v>8.0336288000000007</v>
      </c>
      <c r="F17" s="19">
        <f ca="1">SUM(VLOOKUP(Inputs!$D17,Compositions!$A:$F,4,0),VLOOKUP(Inputs!$D17,Compositions!$A:$F,6,0))*_xlfn.XLOOKUP($C17,Distributions!$D$3:$D$28,Distributions!$O$3:$O$28)</f>
        <v>0</v>
      </c>
      <c r="G17" s="19">
        <f ca="1">SUM(VLOOKUP(Inputs!$D17,Compositions!$A:$F,4,0),VLOOKUP(Inputs!$D17,Compositions!$A:$F,6,0))*_xlfn.XLOOKUP($C17,Distributions!$D$3:$D$28,Distributions!$P$3:$P$28)</f>
        <v>4.0168144000000003</v>
      </c>
      <c r="H17" s="19">
        <f ca="1">SUM(VLOOKUP(Inputs!$D17,Compositions!$A:$F,4,0),VLOOKUP(Inputs!$D17,Compositions!$A:$F,6,0))*_xlfn.XLOOKUP($C17,Distributions!$D$3:$D$28,Distributions!$Q$3:$Q$28)</f>
        <v>8.0336288000000007</v>
      </c>
      <c r="I17" s="19">
        <f ca="1">SUM(VLOOKUP(Inputs!$D17,Compositions!$A:$F,4,0),VLOOKUP(Inputs!$D17,Compositions!$A:$F,6,0))*_xlfn.XLOOKUP($C17,Distributions!$D$3:$D$28,Distributions!$R$3:$R$28)</f>
        <v>4.0168144000000003</v>
      </c>
      <c r="J17" s="19">
        <f ca="1">SUM(VLOOKUP(Inputs!$D17,Compositions!$A:$F,4,0),VLOOKUP(Inputs!$D17,Compositions!$A:$F,6,0))*_xlfn.XLOOKUP($C17,Distributions!$D$3:$D$28,Distributions!$S$3:$S$28)</f>
        <v>4.0168144000000003</v>
      </c>
    </row>
    <row r="18" spans="1:10" x14ac:dyDescent="0.25">
      <c r="A18">
        <f>VLOOKUP(B18,Routing_Link_Mapping!A:B,2,0)</f>
        <v>51</v>
      </c>
      <c r="B18" s="8">
        <f>VLOOKUP(D18,Compositions!A:B,2,0)</f>
        <v>25</v>
      </c>
      <c r="C18" s="15" t="s">
        <v>36</v>
      </c>
      <c r="D18" s="8">
        <v>17</v>
      </c>
      <c r="E18" s="19">
        <f ca="1">SUM(VLOOKUP(Inputs!$D18,Compositions!$A:$F,4,0),VLOOKUP(Inputs!$D18,Compositions!$A:$F,6,0))*_xlfn.XLOOKUP($C18,Distributions!$D$3:$D$28,Distributions!$N$3:$N$28)</f>
        <v>0</v>
      </c>
      <c r="F18" s="19">
        <f ca="1">SUM(VLOOKUP(Inputs!$D18,Compositions!$A:$F,4,0),VLOOKUP(Inputs!$D18,Compositions!$A:$F,6,0))*_xlfn.XLOOKUP($C18,Distributions!$D$3:$D$28,Distributions!$O$3:$O$28)</f>
        <v>7.9972764444444451</v>
      </c>
      <c r="G18" s="19">
        <f ca="1">SUM(VLOOKUP(Inputs!$D18,Compositions!$A:$F,4,0),VLOOKUP(Inputs!$D18,Compositions!$A:$F,6,0))*_xlfn.XLOOKUP($C18,Distributions!$D$3:$D$28,Distributions!$P$3:$P$28)</f>
        <v>0</v>
      </c>
      <c r="H18" s="19">
        <f ca="1">SUM(VLOOKUP(Inputs!$D18,Compositions!$A:$F,4,0),VLOOKUP(Inputs!$D18,Compositions!$A:$F,6,0))*_xlfn.XLOOKUP($C18,Distributions!$D$3:$D$28,Distributions!$Q$3:$Q$28)</f>
        <v>0</v>
      </c>
      <c r="I18" s="19">
        <f ca="1">SUM(VLOOKUP(Inputs!$D18,Compositions!$A:$F,4,0),VLOOKUP(Inputs!$D18,Compositions!$A:$F,6,0))*_xlfn.XLOOKUP($C18,Distributions!$D$3:$D$28,Distributions!$R$3:$R$28)</f>
        <v>19.993191111111116</v>
      </c>
      <c r="J18" s="19">
        <f ca="1">SUM(VLOOKUP(Inputs!$D18,Compositions!$A:$F,4,0),VLOOKUP(Inputs!$D18,Compositions!$A:$F,6,0))*_xlfn.XLOOKUP($C18,Distributions!$D$3:$D$28,Distributions!$S$3:$S$28)</f>
        <v>15.99455288888889</v>
      </c>
    </row>
    <row r="19" spans="1:10" x14ac:dyDescent="0.25">
      <c r="A19">
        <f>VLOOKUP(B19,Routing_Link_Mapping!A:B,2,0)</f>
        <v>68</v>
      </c>
      <c r="B19" s="8">
        <f>VLOOKUP(D19,Compositions!A:B,2,0)</f>
        <v>26</v>
      </c>
      <c r="C19" s="15" t="s">
        <v>37</v>
      </c>
      <c r="D19" s="8">
        <v>18</v>
      </c>
      <c r="E19" s="19">
        <f ca="1">SUM(VLOOKUP(Inputs!$D19,Compositions!$A:$F,4,0),VLOOKUP(Inputs!$D19,Compositions!$A:$F,6,0))*_xlfn.XLOOKUP($C19,Distributions!$D$3:$D$28,Distributions!$N$3:$N$28)</f>
        <v>17.898362214022139</v>
      </c>
      <c r="F19" s="19">
        <f ca="1">SUM(VLOOKUP(Inputs!$D19,Compositions!$A:$F,4,0),VLOOKUP(Inputs!$D19,Compositions!$A:$F,6,0))*_xlfn.XLOOKUP($C19,Distributions!$D$3:$D$28,Distributions!$O$3:$O$28)</f>
        <v>31.322133874538743</v>
      </c>
      <c r="G19" s="19">
        <f ca="1">SUM(VLOOKUP(Inputs!$D19,Compositions!$A:$F,4,0),VLOOKUP(Inputs!$D19,Compositions!$A:$F,6,0))*_xlfn.XLOOKUP($C19,Distributions!$D$3:$D$28,Distributions!$P$3:$P$28)</f>
        <v>98.440992177121757</v>
      </c>
      <c r="H19" s="19">
        <f ca="1">SUM(VLOOKUP(Inputs!$D19,Compositions!$A:$F,4,0),VLOOKUP(Inputs!$D19,Compositions!$A:$F,6,0))*_xlfn.XLOOKUP($C19,Distributions!$D$3:$D$28,Distributions!$Q$3:$Q$28)</f>
        <v>183.45821269372692</v>
      </c>
      <c r="I19" s="19">
        <f ca="1">SUM(VLOOKUP(Inputs!$D19,Compositions!$A:$F,4,0),VLOOKUP(Inputs!$D19,Compositions!$A:$F,6,0))*_xlfn.XLOOKUP($C19,Distributions!$D$3:$D$28,Distributions!$R$3:$R$28)</f>
        <v>393.76396870848703</v>
      </c>
      <c r="J19" s="19">
        <f ca="1">SUM(VLOOKUP(Inputs!$D19,Compositions!$A:$F,4,0),VLOOKUP(Inputs!$D19,Compositions!$A:$F,6,0))*_xlfn.XLOOKUP($C19,Distributions!$D$3:$D$28,Distributions!$S$3:$S$28)</f>
        <v>536.95086642066417</v>
      </c>
    </row>
    <row r="20" spans="1:10" x14ac:dyDescent="0.25">
      <c r="A20">
        <f>VLOOKUP(B20,Routing_Link_Mapping!A:B,2,0)</f>
        <v>69</v>
      </c>
      <c r="B20" s="8">
        <f>VLOOKUP(D20,Compositions!A:B,2,0)</f>
        <v>27</v>
      </c>
      <c r="C20" s="15" t="s">
        <v>38</v>
      </c>
      <c r="D20" s="8">
        <v>19</v>
      </c>
      <c r="E20" s="19">
        <f ca="1">SUM(VLOOKUP(Inputs!$D20,Compositions!$A:$F,4,0),VLOOKUP(Inputs!$D20,Compositions!$A:$F,6,0))*_xlfn.XLOOKUP($C20,Distributions!$D$3:$D$28,Distributions!$N$3:$N$28)</f>
        <v>8.0668126666666673</v>
      </c>
      <c r="F20" s="19">
        <f ca="1">SUM(VLOOKUP(Inputs!$D20,Compositions!$A:$F,4,0),VLOOKUP(Inputs!$D20,Compositions!$A:$F,6,0))*_xlfn.XLOOKUP($C20,Distributions!$D$3:$D$28,Distributions!$O$3:$O$28)</f>
        <v>36.300657000000001</v>
      </c>
      <c r="G20" s="19">
        <f ca="1">SUM(VLOOKUP(Inputs!$D20,Compositions!$A:$F,4,0),VLOOKUP(Inputs!$D20,Compositions!$A:$F,6,0))*_xlfn.XLOOKUP($C20,Distributions!$D$3:$D$28,Distributions!$P$3:$P$28)</f>
        <v>12.100219000000001</v>
      </c>
      <c r="H20" s="19">
        <f ca="1">SUM(VLOOKUP(Inputs!$D20,Compositions!$A:$F,4,0),VLOOKUP(Inputs!$D20,Compositions!$A:$F,6,0))*_xlfn.XLOOKUP($C20,Distributions!$D$3:$D$28,Distributions!$Q$3:$Q$28)</f>
        <v>20.16703166666667</v>
      </c>
      <c r="I20" s="19">
        <f ca="1">SUM(VLOOKUP(Inputs!$D20,Compositions!$A:$F,4,0),VLOOKUP(Inputs!$D20,Compositions!$A:$F,6,0))*_xlfn.XLOOKUP($C20,Distributions!$D$3:$D$28,Distributions!$R$3:$R$28)</f>
        <v>12.100219000000001</v>
      </c>
      <c r="J20" s="19">
        <f ca="1">SUM(VLOOKUP(Inputs!$D20,Compositions!$A:$F,4,0),VLOOKUP(Inputs!$D20,Compositions!$A:$F,6,0))*_xlfn.XLOOKUP($C20,Distributions!$D$3:$D$28,Distributions!$S$3:$S$28)</f>
        <v>4.0334063333333336</v>
      </c>
    </row>
    <row r="21" spans="1:10" x14ac:dyDescent="0.25">
      <c r="A21">
        <f>VLOOKUP(B21,Routing_Link_Mapping!A:B,2,0)</f>
        <v>72</v>
      </c>
      <c r="B21" s="8">
        <f>VLOOKUP(D21,Compositions!A:B,2,0)</f>
        <v>28</v>
      </c>
      <c r="C21" s="15" t="s">
        <v>39</v>
      </c>
      <c r="D21" s="8">
        <v>20</v>
      </c>
      <c r="E21" s="19">
        <f ca="1">SUM(VLOOKUP(Inputs!$D21,Compositions!$A:$F,4,0),VLOOKUP(Inputs!$D21,Compositions!$A:$F,6,0))*_xlfn.XLOOKUP($C21,Distributions!$D$3:$D$28,Distributions!$N$3:$N$28)</f>
        <v>4.234026000000001</v>
      </c>
      <c r="F21" s="19">
        <f ca="1">SUM(VLOOKUP(Inputs!$D21,Compositions!$A:$F,4,0),VLOOKUP(Inputs!$D21,Compositions!$A:$F,6,0))*_xlfn.XLOOKUP($C21,Distributions!$D$3:$D$28,Distributions!$O$3:$O$28)</f>
        <v>0</v>
      </c>
      <c r="G21" s="19">
        <f ca="1">SUM(VLOOKUP(Inputs!$D21,Compositions!$A:$F,4,0),VLOOKUP(Inputs!$D21,Compositions!$A:$F,6,0))*_xlfn.XLOOKUP($C21,Distributions!$D$3:$D$28,Distributions!$P$3:$P$28)</f>
        <v>4.234026000000001</v>
      </c>
      <c r="H21" s="19">
        <f ca="1">SUM(VLOOKUP(Inputs!$D21,Compositions!$A:$F,4,0),VLOOKUP(Inputs!$D21,Compositions!$A:$F,6,0))*_xlfn.XLOOKUP($C21,Distributions!$D$3:$D$28,Distributions!$Q$3:$Q$28)</f>
        <v>0</v>
      </c>
      <c r="I21" s="19">
        <f ca="1">SUM(VLOOKUP(Inputs!$D21,Compositions!$A:$F,4,0),VLOOKUP(Inputs!$D21,Compositions!$A:$F,6,0))*_xlfn.XLOOKUP($C21,Distributions!$D$3:$D$28,Distributions!$R$3:$R$28)</f>
        <v>4.234026000000001</v>
      </c>
      <c r="J21" s="19">
        <f ca="1">SUM(VLOOKUP(Inputs!$D21,Compositions!$A:$F,4,0),VLOOKUP(Inputs!$D21,Compositions!$A:$F,6,0))*_xlfn.XLOOKUP($C21,Distributions!$D$3:$D$28,Distributions!$S$3:$S$28)</f>
        <v>0</v>
      </c>
    </row>
    <row r="22" spans="1:10" x14ac:dyDescent="0.25">
      <c r="A22">
        <f>VLOOKUP(B22,Routing_Link_Mapping!A:B,2,0)</f>
        <v>77</v>
      </c>
      <c r="B22" s="8">
        <f>VLOOKUP(D22,Compositions!A:B,2,0)</f>
        <v>29</v>
      </c>
      <c r="C22" s="15" t="s">
        <v>40</v>
      </c>
      <c r="D22" s="8">
        <v>21</v>
      </c>
      <c r="E22" s="19">
        <f ca="1">SUM(VLOOKUP(Inputs!$D22,Compositions!$A:$F,4,0),VLOOKUP(Inputs!$D22,Compositions!$A:$F,6,0))*_xlfn.XLOOKUP($C22,Distributions!$D$3:$D$28,Distributions!$N$3:$N$28)</f>
        <v>80.032462934579428</v>
      </c>
      <c r="F22" s="19">
        <f ca="1">SUM(VLOOKUP(Inputs!$D22,Compositions!$A:$F,4,0),VLOOKUP(Inputs!$D22,Compositions!$A:$F,6,0))*_xlfn.XLOOKUP($C22,Distributions!$D$3:$D$28,Distributions!$O$3:$O$28)</f>
        <v>80.032462934579428</v>
      </c>
      <c r="G22" s="19">
        <f ca="1">SUM(VLOOKUP(Inputs!$D22,Compositions!$A:$F,4,0),VLOOKUP(Inputs!$D22,Compositions!$A:$F,6,0))*_xlfn.XLOOKUP($C22,Distributions!$D$3:$D$28,Distributions!$P$3:$P$28)</f>
        <v>91.465671925233636</v>
      </c>
      <c r="H22" s="19">
        <f ca="1">SUM(VLOOKUP(Inputs!$D22,Compositions!$A:$F,4,0),VLOOKUP(Inputs!$D22,Compositions!$A:$F,6,0))*_xlfn.XLOOKUP($C22,Distributions!$D$3:$D$28,Distributions!$Q$3:$Q$28)</f>
        <v>137.19850788785047</v>
      </c>
      <c r="I22" s="19">
        <f ca="1">SUM(VLOOKUP(Inputs!$D22,Compositions!$A:$F,4,0),VLOOKUP(Inputs!$D22,Compositions!$A:$F,6,0))*_xlfn.XLOOKUP($C22,Distributions!$D$3:$D$28,Distributions!$R$3:$R$28)</f>
        <v>266.77487644859809</v>
      </c>
      <c r="J22" s="19">
        <f ca="1">SUM(VLOOKUP(Inputs!$D22,Compositions!$A:$F,4,0),VLOOKUP(Inputs!$D22,Compositions!$A:$F,6,0))*_xlfn.XLOOKUP($C22,Distributions!$D$3:$D$28,Distributions!$S$3:$S$28)</f>
        <v>320.12985173831771</v>
      </c>
    </row>
    <row r="23" spans="1:10" x14ac:dyDescent="0.25">
      <c r="A23">
        <f>VLOOKUP(B23,Routing_Link_Mapping!A:B,2,0)</f>
        <v>183</v>
      </c>
      <c r="B23" s="8">
        <f>VLOOKUP(D23,Compositions!A:B,2,0)</f>
        <v>30</v>
      </c>
      <c r="C23" s="15" t="s">
        <v>41</v>
      </c>
      <c r="D23" s="8">
        <v>22</v>
      </c>
      <c r="E23" s="19">
        <f ca="1">SUM(VLOOKUP(Inputs!$D23,Compositions!$A:$F,4,0),VLOOKUP(Inputs!$D23,Compositions!$A:$F,6,0))*_xlfn.XLOOKUP($C23,Distributions!$D$3:$D$28,Distributions!$N$3:$N$28)</f>
        <v>0</v>
      </c>
      <c r="F23" s="19">
        <f ca="1">SUM(VLOOKUP(Inputs!$D23,Compositions!$A:$F,4,0),VLOOKUP(Inputs!$D23,Compositions!$A:$F,6,0))*_xlfn.XLOOKUP($C23,Distributions!$D$3:$D$28,Distributions!$O$3:$O$28)</f>
        <v>0</v>
      </c>
      <c r="G23" s="19">
        <f ca="1">SUM(VLOOKUP(Inputs!$D23,Compositions!$A:$F,4,0),VLOOKUP(Inputs!$D23,Compositions!$A:$F,6,0))*_xlfn.XLOOKUP($C23,Distributions!$D$3:$D$28,Distributions!$P$3:$P$28)</f>
        <v>0</v>
      </c>
      <c r="H23" s="19">
        <f ca="1">SUM(VLOOKUP(Inputs!$D23,Compositions!$A:$F,4,0),VLOOKUP(Inputs!$D23,Compositions!$A:$F,6,0))*_xlfn.XLOOKUP($C23,Distributions!$D$3:$D$28,Distributions!$Q$3:$Q$28)</f>
        <v>0</v>
      </c>
      <c r="I23" s="19">
        <f ca="1">SUM(VLOOKUP(Inputs!$D23,Compositions!$A:$F,4,0),VLOOKUP(Inputs!$D23,Compositions!$A:$F,6,0))*_xlfn.XLOOKUP($C23,Distributions!$D$3:$D$28,Distributions!$R$3:$R$28)</f>
        <v>4.4336920000000006</v>
      </c>
      <c r="J23" s="19">
        <f ca="1">SUM(VLOOKUP(Inputs!$D23,Compositions!$A:$F,4,0),VLOOKUP(Inputs!$D23,Compositions!$A:$F,6,0))*_xlfn.XLOOKUP($C23,Distributions!$D$3:$D$28,Distributions!$S$3:$S$28)</f>
        <v>8.8673840000000013</v>
      </c>
    </row>
    <row r="24" spans="1:10" x14ac:dyDescent="0.25">
      <c r="A24">
        <f>VLOOKUP(B24,Routing_Link_Mapping!A:B,2,0)</f>
        <v>130</v>
      </c>
      <c r="B24" s="8">
        <f>VLOOKUP(D24,Compositions!A:B,2,0)</f>
        <v>31</v>
      </c>
      <c r="C24" s="15" t="s">
        <v>42</v>
      </c>
      <c r="D24" s="8">
        <v>23</v>
      </c>
      <c r="E24" s="19">
        <f ca="1">SUM(VLOOKUP(Inputs!$D24,Compositions!$A:$F,4,0),VLOOKUP(Inputs!$D24,Compositions!$A:$F,6,0))*_xlfn.XLOOKUP($C24,Distributions!$D$3:$D$28,Distributions!$N$3:$N$28)</f>
        <v>5.1119752727272729</v>
      </c>
      <c r="F24" s="19">
        <f ca="1">SUM(VLOOKUP(Inputs!$D24,Compositions!$A:$F,4,0),VLOOKUP(Inputs!$D24,Compositions!$A:$F,6,0))*_xlfn.XLOOKUP($C24,Distributions!$D$3:$D$28,Distributions!$O$3:$O$28)</f>
        <v>10.223950545454546</v>
      </c>
      <c r="G24" s="19">
        <f ca="1">SUM(VLOOKUP(Inputs!$D24,Compositions!$A:$F,4,0),VLOOKUP(Inputs!$D24,Compositions!$A:$F,6,0))*_xlfn.XLOOKUP($C24,Distributions!$D$3:$D$28,Distributions!$P$3:$P$28)</f>
        <v>20.447901090909092</v>
      </c>
      <c r="H24" s="19">
        <f ca="1">SUM(VLOOKUP(Inputs!$D24,Compositions!$A:$F,4,0),VLOOKUP(Inputs!$D24,Compositions!$A:$F,6,0))*_xlfn.XLOOKUP($C24,Distributions!$D$3:$D$28,Distributions!$Q$3:$Q$28)</f>
        <v>15.335925818181819</v>
      </c>
      <c r="I24" s="19">
        <f ca="1">SUM(VLOOKUP(Inputs!$D24,Compositions!$A:$F,4,0),VLOOKUP(Inputs!$D24,Compositions!$A:$F,6,0))*_xlfn.XLOOKUP($C24,Distributions!$D$3:$D$28,Distributions!$R$3:$R$28)</f>
        <v>5.1119752727272729</v>
      </c>
      <c r="J24" s="19">
        <f ca="1">SUM(VLOOKUP(Inputs!$D24,Compositions!$A:$F,4,0),VLOOKUP(Inputs!$D24,Compositions!$A:$F,6,0))*_xlfn.XLOOKUP($C24,Distributions!$D$3:$D$28,Distributions!$S$3:$S$28)</f>
        <v>15.335925818181819</v>
      </c>
    </row>
    <row r="25" spans="1:10" x14ac:dyDescent="0.25">
      <c r="A25">
        <f>VLOOKUP(B25,Routing_Link_Mapping!A:B,2,0)</f>
        <v>66</v>
      </c>
      <c r="B25" s="8">
        <f>VLOOKUP(D25,Compositions!A:B,2,0)</f>
        <v>32</v>
      </c>
      <c r="C25" s="15" t="s">
        <v>43</v>
      </c>
      <c r="D25" s="8">
        <v>24</v>
      </c>
      <c r="E25" s="19">
        <f ca="1">SUM(VLOOKUP(Inputs!$D25,Compositions!$A:$F,4,0),VLOOKUP(Inputs!$D25,Compositions!$A:$F,6,0))*_xlfn.XLOOKUP($C25,Distributions!$D$3:$D$28,Distributions!$N$3:$N$28)</f>
        <v>150.23156472324723</v>
      </c>
      <c r="F25" s="19">
        <f ca="1">SUM(VLOOKUP(Inputs!$D25,Compositions!$A:$F,4,0),VLOOKUP(Inputs!$D25,Compositions!$A:$F,6,0))*_xlfn.XLOOKUP($C25,Distributions!$D$3:$D$28,Distributions!$O$3:$O$28)</f>
        <v>193.15486892988929</v>
      </c>
      <c r="G25" s="19">
        <f ca="1">SUM(VLOOKUP(Inputs!$D25,Compositions!$A:$F,4,0),VLOOKUP(Inputs!$D25,Compositions!$A:$F,6,0))*_xlfn.XLOOKUP($C25,Distributions!$D$3:$D$28,Distributions!$P$3:$P$28)</f>
        <v>236.07817313653138</v>
      </c>
      <c r="H25" s="19">
        <f ca="1">SUM(VLOOKUP(Inputs!$D25,Compositions!$A:$F,4,0),VLOOKUP(Inputs!$D25,Compositions!$A:$F,6,0))*_xlfn.XLOOKUP($C25,Distributions!$D$3:$D$28,Distributions!$Q$3:$Q$28)</f>
        <v>317.63245112915132</v>
      </c>
      <c r="I25" s="19">
        <f ca="1">SUM(VLOOKUP(Inputs!$D25,Compositions!$A:$F,4,0),VLOOKUP(Inputs!$D25,Compositions!$A:$F,6,0))*_xlfn.XLOOKUP($C25,Distributions!$D$3:$D$28,Distributions!$R$3:$R$28)</f>
        <v>304.75545986715866</v>
      </c>
      <c r="J25" s="19">
        <f ca="1">SUM(VLOOKUP(Inputs!$D25,Compositions!$A:$F,4,0),VLOOKUP(Inputs!$D25,Compositions!$A:$F,6,0))*_xlfn.XLOOKUP($C25,Distributions!$D$3:$D$28,Distributions!$S$3:$S$28)</f>
        <v>304.75545986715866</v>
      </c>
    </row>
    <row r="26" spans="1:10" x14ac:dyDescent="0.25">
      <c r="A26">
        <f>VLOOKUP(B26,Routing_Link_Mapping!A:B,2,0)</f>
        <v>191</v>
      </c>
      <c r="B26" s="8">
        <f>VLOOKUP(D26,Compositions!A:B,2,0)</f>
        <v>33</v>
      </c>
      <c r="C26" s="15" t="s">
        <v>44</v>
      </c>
      <c r="D26" s="8">
        <v>25</v>
      </c>
      <c r="E26" s="19">
        <f ca="1">SUM(VLOOKUP(Inputs!$D26,Compositions!$A:$F,4,0),VLOOKUP(Inputs!$D26,Compositions!$A:$F,6,0))*_xlfn.XLOOKUP($C26,Distributions!$D$3:$D$28,Distributions!$N$3:$N$28)</f>
        <v>0</v>
      </c>
      <c r="F26" s="19">
        <f ca="1">SUM(VLOOKUP(Inputs!$D26,Compositions!$A:$F,4,0),VLOOKUP(Inputs!$D26,Compositions!$A:$F,6,0))*_xlfn.XLOOKUP($C26,Distributions!$D$3:$D$28,Distributions!$O$3:$O$28)</f>
        <v>0</v>
      </c>
      <c r="G26" s="19">
        <f ca="1">SUM(VLOOKUP(Inputs!$D26,Compositions!$A:$F,4,0),VLOOKUP(Inputs!$D26,Compositions!$A:$F,6,0))*_xlfn.XLOOKUP($C26,Distributions!$D$3:$D$28,Distributions!$P$3:$P$28)</f>
        <v>2.2695660000000002</v>
      </c>
      <c r="H26" s="19">
        <f ca="1">SUM(VLOOKUP(Inputs!$D26,Compositions!$A:$F,4,0),VLOOKUP(Inputs!$D26,Compositions!$A:$F,6,0))*_xlfn.XLOOKUP($C26,Distributions!$D$3:$D$28,Distributions!$Q$3:$Q$28)</f>
        <v>0</v>
      </c>
      <c r="I26" s="19">
        <f ca="1">SUM(VLOOKUP(Inputs!$D26,Compositions!$A:$F,4,0),VLOOKUP(Inputs!$D26,Compositions!$A:$F,6,0))*_xlfn.XLOOKUP($C26,Distributions!$D$3:$D$28,Distributions!$R$3:$R$28)</f>
        <v>2.2695660000000002</v>
      </c>
      <c r="J26" s="19">
        <f ca="1">SUM(VLOOKUP(Inputs!$D26,Compositions!$A:$F,4,0),VLOOKUP(Inputs!$D26,Compositions!$A:$F,6,0))*_xlfn.XLOOKUP($C26,Distributions!$D$3:$D$28,Distributions!$S$3:$S$28)</f>
        <v>0</v>
      </c>
    </row>
    <row r="27" spans="1:10" x14ac:dyDescent="0.25">
      <c r="A27">
        <f>VLOOKUP(B27,Routing_Link_Mapping!A:B,2,0)</f>
        <v>185</v>
      </c>
      <c r="B27" s="8">
        <f>VLOOKUP(D27,Compositions!A:B,2,0)</f>
        <v>34</v>
      </c>
      <c r="C27" s="15" t="s">
        <v>45</v>
      </c>
      <c r="D27" s="8">
        <v>26</v>
      </c>
      <c r="E27" s="19">
        <f ca="1">SUM(VLOOKUP(Inputs!$D27,Compositions!$A:$F,4,0),VLOOKUP(Inputs!$D27,Compositions!$A:$F,6,0))*_xlfn.XLOOKUP($C27,Distributions!$D$3:$D$28,Distributions!$N$3:$N$28)</f>
        <v>6.4266457599999995</v>
      </c>
      <c r="F27" s="19">
        <f ca="1">SUM(VLOOKUP(Inputs!$D27,Compositions!$A:$F,4,0),VLOOKUP(Inputs!$D27,Compositions!$A:$F,6,0))*_xlfn.XLOOKUP($C27,Distributions!$D$3:$D$28,Distributions!$O$3:$O$28)</f>
        <v>6.4266457599999995</v>
      </c>
      <c r="G27" s="19">
        <f ca="1">SUM(VLOOKUP(Inputs!$D27,Compositions!$A:$F,4,0),VLOOKUP(Inputs!$D27,Compositions!$A:$F,6,0))*_xlfn.XLOOKUP($C27,Distributions!$D$3:$D$28,Distributions!$P$3:$P$28)</f>
        <v>16.066614399999999</v>
      </c>
      <c r="H27" s="19">
        <f ca="1">SUM(VLOOKUP(Inputs!$D27,Compositions!$A:$F,4,0),VLOOKUP(Inputs!$D27,Compositions!$A:$F,6,0))*_xlfn.XLOOKUP($C27,Distributions!$D$3:$D$28,Distributions!$Q$3:$Q$28)</f>
        <v>12.853291519999999</v>
      </c>
      <c r="I27" s="19">
        <f ca="1">SUM(VLOOKUP(Inputs!$D27,Compositions!$A:$F,4,0),VLOOKUP(Inputs!$D27,Compositions!$A:$F,6,0))*_xlfn.XLOOKUP($C27,Distributions!$D$3:$D$28,Distributions!$R$3:$R$28)</f>
        <v>25.706583039999998</v>
      </c>
      <c r="J27" s="19">
        <f ca="1">SUM(VLOOKUP(Inputs!$D27,Compositions!$A:$F,4,0),VLOOKUP(Inputs!$D27,Compositions!$A:$F,6,0))*_xlfn.XLOOKUP($C27,Distributions!$D$3:$D$28,Distributions!$S$3:$S$28)</f>
        <v>25.706583039999998</v>
      </c>
    </row>
  </sheetData>
  <conditionalFormatting sqref="E2:J27">
    <cfRule type="cellIs" dxfId="2" priority="1" operator="greaterThan">
      <formula>6000</formula>
    </cfRule>
  </conditionalFormatting>
  <conditionalFormatting sqref="D2:D27">
    <cfRule type="duplicateValues" dxfId="1" priority="22"/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33094-0D34-404E-BB62-D9ACCEA5B8F7}">
  <sheetPr codeName="Sheet7">
    <tabColor theme="7"/>
  </sheetPr>
  <dimension ref="A1:G27"/>
  <sheetViews>
    <sheetView workbookViewId="0">
      <selection activeCell="E9" sqref="E9"/>
    </sheetView>
  </sheetViews>
  <sheetFormatPr defaultRowHeight="15" x14ac:dyDescent="0.25"/>
  <cols>
    <col min="1" max="1" width="12.140625" customWidth="1"/>
    <col min="2" max="2" width="15" customWidth="1"/>
    <col min="3" max="3" width="42.7109375" customWidth="1"/>
    <col min="4" max="4" width="7.5703125" bestFit="1" customWidth="1"/>
    <col min="5" max="5" width="6.42578125" customWidth="1"/>
    <col min="6" max="6" width="7.5703125" bestFit="1" customWidth="1"/>
    <col min="7" max="7" width="6.42578125" customWidth="1"/>
  </cols>
  <sheetData>
    <row r="1" spans="1:7" x14ac:dyDescent="0.25">
      <c r="A1" s="3" t="s">
        <v>0</v>
      </c>
      <c r="B1" s="3" t="s">
        <v>1</v>
      </c>
      <c r="C1" s="3" t="s">
        <v>2</v>
      </c>
      <c r="D1" s="3">
        <v>100</v>
      </c>
      <c r="E1" s="3">
        <v>100</v>
      </c>
      <c r="F1" s="3">
        <v>200</v>
      </c>
      <c r="G1" s="3">
        <v>200</v>
      </c>
    </row>
    <row r="2" spans="1:7" x14ac:dyDescent="0.25">
      <c r="A2" s="8">
        <v>1</v>
      </c>
      <c r="B2" s="8">
        <v>1</v>
      </c>
      <c r="C2" s="15" t="str">
        <f>VLOOKUP(B2,Inputs!B1:C27,2)</f>
        <v>EB White Pine Rd</v>
      </c>
      <c r="D2" s="9">
        <f ca="1">SUM(INDIRECT("Car!C"&amp;(MATCH($B2,Car!$B$3:$B$1000,0)+2)&amp;":ZZ"&amp;(MATCH($B2,Car!$B$3:$B$1000,0)+2)))</f>
        <v>142.02336899999997</v>
      </c>
      <c r="E2" s="8">
        <v>25</v>
      </c>
      <c r="F2" s="9">
        <f ca="1">SUM(INDIRECT("Truck!C"&amp;(MATCH($B2,Truck!$B$3:$B$1000,0)+2)&amp;":ZZ"&amp;(MATCH($B2,Truck!$B$3:$B$1000,0)+2)))</f>
        <v>12.906136999999999</v>
      </c>
      <c r="G2" s="8">
        <f>E2</f>
        <v>25</v>
      </c>
    </row>
    <row r="3" spans="1:7" x14ac:dyDescent="0.25">
      <c r="A3" s="8">
        <v>2</v>
      </c>
      <c r="B3" s="8">
        <v>2</v>
      </c>
      <c r="C3" s="15" t="str">
        <f>VLOOKUP(B3,Inputs!B2:C27,2)</f>
        <v>WB White Pine Rd</v>
      </c>
      <c r="D3" s="9">
        <f ca="1">SUM(INDIRECT("Car!C"&amp;(MATCH($B3,Car!$B$3:$B$1000,0)+2)&amp;":ZZ"&amp;(MATCH($B3,Car!$B$3:$B$1000,0)+2)))</f>
        <v>155.01415300000002</v>
      </c>
      <c r="E3" s="8">
        <v>25</v>
      </c>
      <c r="F3" s="9">
        <f ca="1">SUM(INDIRECT("Truck!C"&amp;(MATCH($B3,Truck!$B$3:$B$1000,0)+2)&amp;":ZZ"&amp;(MATCH($B3,Truck!$B$3:$B$1000,0)+2)))</f>
        <v>5.9888599999999999</v>
      </c>
      <c r="G3" s="8">
        <f t="shared" ref="G3:G9" si="0">E3</f>
        <v>25</v>
      </c>
    </row>
    <row r="4" spans="1:7" x14ac:dyDescent="0.25">
      <c r="A4" s="8">
        <v>3</v>
      </c>
      <c r="B4" s="8">
        <v>3</v>
      </c>
      <c r="C4" s="15" t="str">
        <f>VLOOKUP(B4,Inputs!B3:C27,2)</f>
        <v>SB Route 10</v>
      </c>
      <c r="D4" s="9">
        <f ca="1">SUM(INDIRECT("Car!C"&amp;(MATCH($B4,Car!$B$3:$B$1000,0)+2)&amp;":ZZ"&amp;(MATCH($B4,Car!$B$3:$B$1000,0)+2)))</f>
        <v>1387.3219630000001</v>
      </c>
      <c r="E4" s="8">
        <v>55</v>
      </c>
      <c r="F4" s="9">
        <f ca="1">SUM(INDIRECT("Truck!C"&amp;(MATCH($B4,Truck!$B$3:$B$1000,0)+2)&amp;":ZZ"&amp;(MATCH($B4,Truck!$B$3:$B$1000,0)+2)))</f>
        <v>58.580249999999999</v>
      </c>
      <c r="G4" s="8">
        <f t="shared" si="0"/>
        <v>55</v>
      </c>
    </row>
    <row r="5" spans="1:7" x14ac:dyDescent="0.25">
      <c r="A5" s="8">
        <v>4</v>
      </c>
      <c r="B5" s="8">
        <v>10</v>
      </c>
      <c r="C5" s="15" t="str">
        <f>VLOOKUP(B5,Inputs!B4:C27,2)</f>
        <v>SB 288</v>
      </c>
      <c r="D5" s="9">
        <f ca="1">SUM(INDIRECT("Car!C"&amp;(MATCH($B5,Car!$B$3:$B$1000,0)+2)&amp;":ZZ"&amp;(MATCH($B5,Car!$B$3:$B$1000,0)+2)))</f>
        <v>1894.0024620000002</v>
      </c>
      <c r="E5" s="8">
        <v>165</v>
      </c>
      <c r="F5" s="9">
        <f ca="1">SUM(INDIRECT("Truck!C"&amp;(MATCH($B5,Truck!$B$3:$B$1000,0)+2)&amp;":ZZ"&amp;(MATCH($B5,Truck!$B$3:$B$1000,0)+2)))</f>
        <v>121.31938</v>
      </c>
      <c r="G5" s="8">
        <f t="shared" si="0"/>
        <v>165</v>
      </c>
    </row>
    <row r="6" spans="1:7" x14ac:dyDescent="0.25">
      <c r="A6" s="8">
        <v>5</v>
      </c>
      <c r="B6" s="8">
        <v>11</v>
      </c>
      <c r="C6" s="15" t="str">
        <f>VLOOKUP(B6,Inputs!B5:C27,2)</f>
        <v>On-Ramp from Courthouse Rd</v>
      </c>
      <c r="D6" s="9">
        <f ca="1">SUM(INDIRECT("Car!C"&amp;(MATCH($B6,Car!$B$3:$B$1000,0)+2)&amp;":ZZ"&amp;(MATCH($B6,Car!$B$3:$B$1000,0)+2)))</f>
        <v>628.99744099999987</v>
      </c>
      <c r="E6" s="8">
        <v>165</v>
      </c>
      <c r="F6" s="9">
        <f ca="1">SUM(INDIRECT("Truck!C"&amp;(MATCH($B6,Truck!$B$3:$B$1000,0)+2)&amp;":ZZ"&amp;(MATCH($B6,Truck!$B$3:$B$1000,0)+2)))</f>
        <v>6.0000780000000011</v>
      </c>
      <c r="G6" s="8">
        <f t="shared" si="0"/>
        <v>165</v>
      </c>
    </row>
    <row r="7" spans="1:7" x14ac:dyDescent="0.25">
      <c r="A7" s="8">
        <v>6</v>
      </c>
      <c r="B7" s="8">
        <v>14</v>
      </c>
      <c r="C7" s="15" t="str">
        <f>VLOOKUP(B7,Inputs!B6:C27,2)</f>
        <v>NB 288</v>
      </c>
      <c r="D7" s="9">
        <f ca="1">SUM(INDIRECT("Car!C"&amp;(MATCH($B7,Car!$B$3:$B$1000,0)+2)&amp;":ZZ"&amp;(MATCH($B7,Car!$B$3:$B$1000,0)+2)))</f>
        <v>1150.9263629999998</v>
      </c>
      <c r="E7" s="8">
        <v>165</v>
      </c>
      <c r="F7" s="9">
        <f ca="1">SUM(INDIRECT("Truck!C"&amp;(MATCH($B7,Truck!$B$3:$B$1000,0)+2)&amp;":ZZ"&amp;(MATCH($B7,Truck!$B$3:$B$1000,0)+2)))</f>
        <v>103.57289599999997</v>
      </c>
      <c r="G7" s="8">
        <f t="shared" si="0"/>
        <v>165</v>
      </c>
    </row>
    <row r="8" spans="1:7" x14ac:dyDescent="0.25">
      <c r="A8" s="8">
        <v>7</v>
      </c>
      <c r="B8" s="8">
        <v>15</v>
      </c>
      <c r="C8" s="15" t="str">
        <f>VLOOKUP(B8,Inputs!B7:C27,2)</f>
        <v>On-Ramp from Chester Rd</v>
      </c>
      <c r="D8" s="9">
        <f ca="1">SUM(INDIRECT("Car!C"&amp;(MATCH($B8,Car!$B$3:$B$1000,0)+2)&amp;":ZZ"&amp;(MATCH($B8,Car!$B$3:$B$1000,0)+2)))</f>
        <v>441.97960799999987</v>
      </c>
      <c r="E8" s="8">
        <v>165</v>
      </c>
      <c r="F8" s="9">
        <f ca="1">SUM(INDIRECT("Truck!C"&amp;(MATCH($B8,Truck!$B$3:$B$1000,0)+2)&amp;":ZZ"&amp;(MATCH($B8,Truck!$B$3:$B$1000,0)+2)))</f>
        <v>18.000136999999999</v>
      </c>
      <c r="G8" s="8">
        <f t="shared" si="0"/>
        <v>165</v>
      </c>
    </row>
    <row r="9" spans="1:7" x14ac:dyDescent="0.25">
      <c r="A9" s="8">
        <v>8</v>
      </c>
      <c r="B9" s="8">
        <v>16</v>
      </c>
      <c r="C9" s="15" t="str">
        <f>VLOOKUP(B9,Inputs!B8:C27,2)</f>
        <v>EB Courthouse Rd</v>
      </c>
      <c r="D9" s="9">
        <f ca="1">SUM(INDIRECT("Car!C"&amp;(MATCH($B9,Car!$B$3:$B$1000,0)+2)&amp;":ZZ"&amp;(MATCH($B9,Car!$B$3:$B$1000,0)+2)))</f>
        <v>298.99785100000008</v>
      </c>
      <c r="E9" s="10">
        <v>45</v>
      </c>
      <c r="F9" s="9">
        <f ca="1">SUM(INDIRECT("Truck!C"&amp;(MATCH($B9,Truck!$B$3:$B$1000,0)+2)&amp;":ZZ"&amp;(MATCH($B9,Truck!$B$3:$B$1000,0)+2)))</f>
        <v>9.0906499999999966</v>
      </c>
      <c r="G9" s="10">
        <f t="shared" si="0"/>
        <v>45</v>
      </c>
    </row>
    <row r="10" spans="1:7" x14ac:dyDescent="0.25">
      <c r="A10" s="8">
        <v>9</v>
      </c>
      <c r="B10" s="8">
        <v>17</v>
      </c>
      <c r="C10" s="15" t="str">
        <f>VLOOKUP(B10,Inputs!B9:C27,2)</f>
        <v>NB Fallow Dr</v>
      </c>
      <c r="D10" s="9">
        <f ca="1">SUM(INDIRECT("Car!C"&amp;(MATCH($B10,Car!$B$3:$B$1000,0)+2)&amp;":ZZ"&amp;(MATCH($B10,Car!$B$3:$B$1000,0)+2)))</f>
        <v>20.000069000000003</v>
      </c>
      <c r="E10" s="8">
        <v>25</v>
      </c>
      <c r="F10" s="9">
        <f ca="1">SUM(INDIRECT("Truck!C"&amp;(MATCH($B10,Truck!$B$3:$B$1000,0)+2)&amp;":ZZ"&amp;(MATCH($B10,Truck!$B$3:$B$1000,0)+2)))</f>
        <v>1.0469539999999999</v>
      </c>
      <c r="G10" s="8">
        <f>E10</f>
        <v>25</v>
      </c>
    </row>
    <row r="11" spans="1:7" x14ac:dyDescent="0.25">
      <c r="A11" s="8">
        <v>10</v>
      </c>
      <c r="B11" s="8">
        <v>18</v>
      </c>
      <c r="C11" s="15" t="str">
        <f>VLOOKUP(B11,Inputs!B10:C27,2)</f>
        <v>EB Halls Run Rd</v>
      </c>
      <c r="D11" s="9">
        <f ca="1">SUM(INDIRECT("Car!C"&amp;(MATCH($B11,Car!$B$3:$B$1000,0)+2)&amp;":ZZ"&amp;(MATCH($B11,Car!$B$3:$B$1000,0)+2)))</f>
        <v>17.994725000000003</v>
      </c>
      <c r="E11" s="8">
        <v>45</v>
      </c>
      <c r="F11" s="9">
        <f ca="1">SUM(INDIRECT("Truck!C"&amp;(MATCH($B11,Truck!$B$3:$B$1000,0)+2)&amp;":ZZ"&amp;(MATCH($B11,Truck!$B$3:$B$1000,0)+2)))</f>
        <v>5.7264039999999996</v>
      </c>
      <c r="G11" s="8">
        <f t="shared" ref="G11:G22" si="1">E11</f>
        <v>45</v>
      </c>
    </row>
    <row r="12" spans="1:7" x14ac:dyDescent="0.25">
      <c r="A12" s="8">
        <v>11</v>
      </c>
      <c r="B12" s="8">
        <v>19</v>
      </c>
      <c r="C12" s="15" t="str">
        <f>VLOOKUP(B12,Inputs!B11:C27,2)</f>
        <v>EB Deerfield Dr</v>
      </c>
      <c r="D12" s="9">
        <f ca="1">SUM(INDIRECT("Car!C"&amp;(MATCH($B12,Car!$B$3:$B$1000,0)+2)&amp;":ZZ"&amp;(MATCH($B12,Car!$B$3:$B$1000,0)+2)))</f>
        <v>23.171118999999997</v>
      </c>
      <c r="E12" s="8">
        <v>25</v>
      </c>
      <c r="F12" s="9">
        <f ca="1">SUM(INDIRECT("Truck!C"&amp;(MATCH($B12,Truck!$B$3:$B$1000,0)+2)&amp;":ZZ"&amp;(MATCH($B12,Truck!$B$3:$B$1000,0)+2)))</f>
        <v>1.0068990000000002</v>
      </c>
      <c r="G12" s="8">
        <f t="shared" si="1"/>
        <v>25</v>
      </c>
    </row>
    <row r="13" spans="1:7" x14ac:dyDescent="0.25">
      <c r="A13" s="8">
        <v>12</v>
      </c>
      <c r="B13" s="8">
        <v>20</v>
      </c>
      <c r="C13" s="15" t="str">
        <f>VLOOKUP(B13,Inputs!B12:C27,2)</f>
        <v>NB Route 10</v>
      </c>
      <c r="D13" s="9">
        <f ca="1">SUM(INDIRECT("Car!C"&amp;(MATCH($B13,Car!$B$3:$B$1000,0)+2)&amp;":ZZ"&amp;(MATCH($B13,Car!$B$3:$B$1000,0)+2)))</f>
        <v>1562.0102319999996</v>
      </c>
      <c r="E13" s="8">
        <v>45</v>
      </c>
      <c r="F13" s="9">
        <f ca="1">SUM(INDIRECT("Truck!C"&amp;(MATCH($B13,Truck!$B$3:$B$1000,0)+2)&amp;":ZZ"&amp;(MATCH($B13,Truck!$B$3:$B$1000,0)+2)))</f>
        <v>71.192233999999999</v>
      </c>
      <c r="G13" s="8">
        <f t="shared" si="1"/>
        <v>45</v>
      </c>
    </row>
    <row r="14" spans="1:7" x14ac:dyDescent="0.25">
      <c r="A14" s="8">
        <v>13</v>
      </c>
      <c r="B14" s="8">
        <v>21</v>
      </c>
      <c r="C14" s="15" t="str">
        <f>VLOOKUP(B14,Inputs!B13:C27,2)</f>
        <v>SB Circuit and General District</v>
      </c>
      <c r="D14" s="9">
        <f ca="1">SUM(INDIRECT("Car!C"&amp;(MATCH($B14,Car!$B$3:$B$1000,0)+2)&amp;":ZZ"&amp;(MATCH($B14,Car!$B$3:$B$1000,0)+2)))</f>
        <v>10.072010000000001</v>
      </c>
      <c r="E14" s="8">
        <v>15</v>
      </c>
      <c r="F14" s="9">
        <f ca="1">SUM(INDIRECT("Truck!C"&amp;(MATCH($B14,Truck!$B$3:$B$1000,0)+2)&amp;":ZZ"&amp;(MATCH($B14,Truck!$B$3:$B$1000,0)+2)))</f>
        <v>6.8981000000000015E-2</v>
      </c>
      <c r="G14" s="8">
        <f t="shared" si="1"/>
        <v>15</v>
      </c>
    </row>
    <row r="15" spans="1:7" x14ac:dyDescent="0.25">
      <c r="A15" s="8">
        <v>14</v>
      </c>
      <c r="B15" s="8">
        <v>22</v>
      </c>
      <c r="C15" s="15" t="str">
        <f>VLOOKUP(B15,Inputs!B14:C27,2)</f>
        <v>SB Stable Gate Dr</v>
      </c>
      <c r="D15" s="9">
        <f ca="1">SUM(INDIRECT("Car!C"&amp;(MATCH($B15,Car!$B$3:$B$1000,0)+2)&amp;":ZZ"&amp;(MATCH($B15,Car!$B$3:$B$1000,0)+2)))</f>
        <v>4.3208470000000005</v>
      </c>
      <c r="E15" s="8">
        <v>15</v>
      </c>
      <c r="F15" s="9">
        <f ca="1">SUM(INDIRECT("Truck!C"&amp;(MATCH($B15,Truck!$B$3:$B$1000,0)+2)&amp;":ZZ"&amp;(MATCH($B15,Truck!$B$3:$B$1000,0)+2)))</f>
        <v>1.4122000000000001E-2</v>
      </c>
      <c r="G15" s="8">
        <f t="shared" si="1"/>
        <v>15</v>
      </c>
    </row>
    <row r="16" spans="1:7" x14ac:dyDescent="0.25">
      <c r="A16" s="8">
        <v>15</v>
      </c>
      <c r="B16" s="8">
        <v>23</v>
      </c>
      <c r="C16" s="15" t="str">
        <f>VLOOKUP(B16,Inputs!B15:C27,2)</f>
        <v>WB Cold Water Run</v>
      </c>
      <c r="D16" s="9">
        <f ca="1">SUM(INDIRECT("Car!C"&amp;(MATCH($B16,Car!$B$3:$B$1000,0)+2)&amp;":ZZ"&amp;(MATCH($B16,Car!$B$3:$B$1000,0)+2)))</f>
        <v>4.0124510000000004</v>
      </c>
      <c r="E16" s="8">
        <v>15</v>
      </c>
      <c r="F16" s="9">
        <f ca="1">SUM(INDIRECT("Truck!C"&amp;(MATCH($B16,Truck!$B$3:$B$1000,0)+2)&amp;":ZZ"&amp;(MATCH($B16,Truck!$B$3:$B$1000,0)+2)))</f>
        <v>0.11581699999999999</v>
      </c>
      <c r="G16" s="8">
        <f t="shared" si="1"/>
        <v>15</v>
      </c>
    </row>
    <row r="17" spans="1:7" x14ac:dyDescent="0.25">
      <c r="A17" s="8">
        <v>16</v>
      </c>
      <c r="B17" s="8">
        <v>24</v>
      </c>
      <c r="C17" s="15" t="str">
        <f>VLOOKUP(B17,Inputs!B16:C27,2)</f>
        <v>EB Jury Dr</v>
      </c>
      <c r="D17" s="9">
        <f ca="1">SUM(INDIRECT("Car!C"&amp;(MATCH($B17,Car!$B$3:$B$1000,0)+2)&amp;":ZZ"&amp;(MATCH($B17,Car!$B$3:$B$1000,0)+2)))</f>
        <v>4.0230790000000001</v>
      </c>
      <c r="E17" s="8">
        <v>15</v>
      </c>
      <c r="F17" s="9">
        <f ca="1">SUM(INDIRECT("Truck!C"&amp;(MATCH($B17,Truck!$B$3:$B$1000,0)+2)&amp;":ZZ"&amp;(MATCH($B17,Truck!$B$3:$B$1000,0)+2)))</f>
        <v>0.99793899999999991</v>
      </c>
      <c r="G17" s="8">
        <f t="shared" si="1"/>
        <v>15</v>
      </c>
    </row>
    <row r="18" spans="1:7" x14ac:dyDescent="0.25">
      <c r="A18" s="8">
        <v>17</v>
      </c>
      <c r="B18" s="8">
        <v>25</v>
      </c>
      <c r="C18" s="15" t="str">
        <f>VLOOKUP(B18,Inputs!B17:C27,2)</f>
        <v>NB Circuit General Dist</v>
      </c>
      <c r="D18" s="9">
        <f ca="1">SUM(INDIRECT("Car!C"&amp;(MATCH($B18,Car!$B$3:$B$1000,0)+2)&amp;":ZZ"&amp;(MATCH($B18,Car!$B$3:$B$1000,0)+2)))</f>
        <v>8.9969360000000016</v>
      </c>
      <c r="E18" s="8">
        <v>25</v>
      </c>
      <c r="F18" s="9">
        <f ca="1">SUM(INDIRECT("Truck!C"&amp;(MATCH($B18,Truck!$B$3:$B$1000,0)+2)&amp;":ZZ"&amp;(MATCH($B18,Truck!$B$3:$B$1000,0)+2)))</f>
        <v>0</v>
      </c>
      <c r="G18" s="8">
        <f t="shared" si="1"/>
        <v>25</v>
      </c>
    </row>
    <row r="19" spans="1:7" x14ac:dyDescent="0.25">
      <c r="A19" s="8">
        <v>18</v>
      </c>
      <c r="B19" s="8">
        <v>26</v>
      </c>
      <c r="C19" s="15" t="str">
        <f>VLOOKUP(B19,Inputs!B18:C27,2)</f>
        <v>WB Courthouse Rd</v>
      </c>
      <c r="D19" s="9">
        <f ca="1">SUM(INDIRECT("Car!C"&amp;(MATCH($B19,Car!$B$3:$B$1000,0)+2)&amp;":ZZ"&amp;(MATCH($B19,Car!$B$3:$B$1000,0)+2)))</f>
        <v>293.74418099999997</v>
      </c>
      <c r="E19" s="8">
        <v>45</v>
      </c>
      <c r="F19" s="9">
        <f ca="1">SUM(INDIRECT("Truck!C"&amp;(MATCH($B19,Truck!$B$3:$B$1000,0)+2)&amp;":ZZ"&amp;(MATCH($B19,Truck!$B$3:$B$1000,0)+2)))</f>
        <v>9.4093289999999978</v>
      </c>
      <c r="G19" s="8">
        <f t="shared" si="1"/>
        <v>45</v>
      </c>
    </row>
    <row r="20" spans="1:7" x14ac:dyDescent="0.25">
      <c r="A20" s="8">
        <v>19</v>
      </c>
      <c r="B20" s="8">
        <v>27</v>
      </c>
      <c r="C20" s="15" t="str">
        <f>VLOOKUP(B20,Inputs!B19:C27,2)</f>
        <v>EB Roundabout Way</v>
      </c>
      <c r="D20" s="9">
        <f ca="1">SUM(INDIRECT("Car!C"&amp;(MATCH($B20,Car!$B$3:$B$1000,0)+2)&amp;":ZZ"&amp;(MATCH($B20,Car!$B$3:$B$1000,0)+2)))</f>
        <v>10.464843</v>
      </c>
      <c r="E20" s="8">
        <v>15</v>
      </c>
      <c r="F20" s="9">
        <f ca="1">SUM(INDIRECT("Truck!C"&amp;(MATCH($B20,Truck!$B$3:$B$1000,0)+2)&amp;":ZZ"&amp;(MATCH($B20,Truck!$B$3:$B$1000,0)+2)))</f>
        <v>1.6353760000000002</v>
      </c>
      <c r="G20" s="8">
        <f t="shared" si="1"/>
        <v>15</v>
      </c>
    </row>
    <row r="21" spans="1:7" x14ac:dyDescent="0.25">
      <c r="A21" s="8">
        <v>20</v>
      </c>
      <c r="B21" s="8">
        <v>28</v>
      </c>
      <c r="C21" s="15" t="str">
        <f>VLOOKUP(B21,Inputs!B20:C27,2)</f>
        <v>SB Lucy Corr Village Entrance</v>
      </c>
      <c r="D21" s="9">
        <f ca="1">SUM(INDIRECT("Car!C"&amp;(MATCH($B21,Car!$B$3:$B$1000,0)+2)&amp;":ZZ"&amp;(MATCH($B21,Car!$B$3:$B$1000,0)+2)))</f>
        <v>2.0924090000000004</v>
      </c>
      <c r="E21" s="8">
        <v>15</v>
      </c>
      <c r="F21" s="9">
        <f ca="1">SUM(INDIRECT("Truck!C"&amp;(MATCH($B21,Truck!$B$3:$B$1000,0)+2)&amp;":ZZ"&amp;(MATCH($B21,Truck!$B$3:$B$1000,0)+2)))</f>
        <v>2.4603999999999997E-2</v>
      </c>
      <c r="G21" s="8">
        <f t="shared" si="1"/>
        <v>15</v>
      </c>
    </row>
    <row r="22" spans="1:7" x14ac:dyDescent="0.25">
      <c r="A22" s="8">
        <v>21</v>
      </c>
      <c r="B22" s="8">
        <v>29</v>
      </c>
      <c r="C22" s="15" t="str">
        <f>VLOOKUP(B22,Inputs!B21:C27,2)</f>
        <v>NB Government Center Pkwy</v>
      </c>
      <c r="D22" s="9">
        <f ca="1">SUM(INDIRECT("Car!C"&amp;(MATCH($B22,Car!$B$3:$B$1000,0)+2)&amp;":ZZ"&amp;(MATCH($B22,Car!$B$3:$B$1000,0)+2)))</f>
        <v>200.848737</v>
      </c>
      <c r="E22" s="8">
        <v>35</v>
      </c>
      <c r="F22" s="9">
        <f ca="1">SUM(INDIRECT("Truck!C"&amp;(MATCH($B22,Truck!$B$3:$B$1000,0)+2)&amp;":ZZ"&amp;(MATCH($B22,Truck!$B$3:$B$1000,0)+2)))</f>
        <v>3.0434899999999998</v>
      </c>
      <c r="G22" s="8">
        <f t="shared" si="1"/>
        <v>35</v>
      </c>
    </row>
    <row r="23" spans="1:7" x14ac:dyDescent="0.25">
      <c r="A23" s="8">
        <v>22</v>
      </c>
      <c r="B23" s="8">
        <v>30</v>
      </c>
      <c r="C23" s="15" t="str">
        <f>VLOOKUP(B23,Inputs!B22:C27,2)</f>
        <v>WB Lucy Corr Blvd</v>
      </c>
      <c r="D23" s="9">
        <f ca="1">SUM(INDIRECT("Car!C"&amp;(MATCH($B23,Car!$B$3:$B$1000,0)+2)&amp;":ZZ"&amp;(MATCH($B23,Car!$B$3:$B$1000,0)+2)))</f>
        <v>3.0240330000000006</v>
      </c>
      <c r="E23" s="8">
        <v>15</v>
      </c>
      <c r="F23" s="9">
        <f ca="1">SUM(INDIRECT("Truck!C"&amp;(MATCH($B23,Truck!$B$3:$B$1000,0)+2)&amp;":ZZ"&amp;(MATCH($B23,Truck!$B$3:$B$1000,0)+2)))</f>
        <v>0.30123599999999995</v>
      </c>
      <c r="G23" s="8">
        <f>E23</f>
        <v>15</v>
      </c>
    </row>
    <row r="24" spans="1:7" x14ac:dyDescent="0.25">
      <c r="A24" s="8">
        <v>23</v>
      </c>
      <c r="B24" s="8">
        <v>31</v>
      </c>
      <c r="C24" s="15" t="str">
        <f>VLOOKUP(B24,Inputs!B23:C27,2)</f>
        <v>NB Stable Gate Dr</v>
      </c>
      <c r="D24" s="9">
        <f ca="1">SUM(INDIRECT("Car!C"&amp;(MATCH($B24,Car!$B$3:$B$1000,0)+2)&amp;":ZZ"&amp;(MATCH($B24,Car!$B$3:$B$1000,0)+2)))</f>
        <v>13.996946000000001</v>
      </c>
      <c r="E24" s="8">
        <v>15</v>
      </c>
      <c r="F24" s="9">
        <f ca="1">SUM(INDIRECT("Truck!C"&amp;(MATCH($B24,Truck!$B$3:$B$1000,0)+2)&amp;":ZZ"&amp;(MATCH($B24,Truck!$B$3:$B$1000,0)+2)))</f>
        <v>6.0985999999999999E-2</v>
      </c>
      <c r="G24" s="8">
        <f t="shared" ref="G24:G27" si="2">E24</f>
        <v>15</v>
      </c>
    </row>
    <row r="25" spans="1:7" x14ac:dyDescent="0.25">
      <c r="A25" s="8">
        <v>24</v>
      </c>
      <c r="B25" s="8">
        <v>32</v>
      </c>
      <c r="C25" s="15" t="str">
        <f>VLOOKUP(B25,Inputs!B24:C27,2)</f>
        <v>NB Krause Rd</v>
      </c>
      <c r="D25" s="9">
        <f ca="1">SUM(INDIRECT("Car!C"&amp;(MATCH($B25,Car!$B$3:$B$1000,0)+2)&amp;":ZZ"&amp;(MATCH($B25,Car!$B$3:$B$1000,0)+2)))</f>
        <v>254.822619</v>
      </c>
      <c r="E25" s="8">
        <v>25</v>
      </c>
      <c r="F25" s="9">
        <f ca="1">SUM(INDIRECT("Truck!C"&amp;(MATCH($B25,Truck!$B$3:$B$1000,0)+2)&amp;":ZZ"&amp;(MATCH($B25,Truck!$B$3:$B$1000,0)+2)))</f>
        <v>35.982766999999996</v>
      </c>
      <c r="G25" s="8">
        <f t="shared" si="2"/>
        <v>25</v>
      </c>
    </row>
    <row r="26" spans="1:7" x14ac:dyDescent="0.25">
      <c r="A26" s="8">
        <v>25</v>
      </c>
      <c r="B26" s="8">
        <v>33</v>
      </c>
      <c r="C26" s="15" t="str">
        <f>VLOOKUP(B26,Inputs!B25:C27,2)</f>
        <v>NB Lucy Corr Village Entrance</v>
      </c>
      <c r="D26" s="9">
        <f ca="1">SUM(INDIRECT("Car!C"&amp;(MATCH($B26,Car!$B$3:$B$1000,0)+2)&amp;":ZZ"&amp;(MATCH($B26,Car!$B$3:$B$1000,0)+2)))</f>
        <v>1.0111620000000001</v>
      </c>
      <c r="E26" s="8">
        <v>15</v>
      </c>
      <c r="F26" s="9">
        <f ca="1">SUM(INDIRECT("Truck!C"&amp;(MATCH($B26,Truck!$B$3:$B$1000,0)+2)&amp;":ZZ"&amp;(MATCH($B26,Truck!$B$3:$B$1000,0)+2)))</f>
        <v>0.12362100000000002</v>
      </c>
      <c r="G26" s="8">
        <f t="shared" si="2"/>
        <v>15</v>
      </c>
    </row>
    <row r="27" spans="1:7" x14ac:dyDescent="0.25">
      <c r="A27" s="8">
        <v>26</v>
      </c>
      <c r="B27" s="8">
        <v>34</v>
      </c>
      <c r="C27" s="15" t="str">
        <f>VLOOKUP(B27,Inputs!B26:C27,2)</f>
        <v>WB Roundabout Way</v>
      </c>
      <c r="D27" s="9">
        <f ca="1">SUM(INDIRECT("Car!C"&amp;(MATCH($B27,Car!$B$3:$B$1000,0)+2)&amp;":ZZ"&amp;(MATCH($B27,Car!$B$3:$B$1000,0)+2)))</f>
        <v>20.083267999999997</v>
      </c>
      <c r="E27" s="8">
        <v>25</v>
      </c>
      <c r="F27" s="9">
        <f ca="1">SUM(INDIRECT("Truck!C"&amp;(MATCH($B27,Truck!$B$3:$B$1000,0)+2)&amp;":ZZ"&amp;(MATCH($B27,Truck!$B$3:$B$1000,0)+2)))</f>
        <v>0</v>
      </c>
      <c r="G27" s="8">
        <f t="shared" si="2"/>
        <v>25</v>
      </c>
    </row>
  </sheetData>
  <conditionalFormatting sqref="A2:A27">
    <cfRule type="duplicateValues" dxfId="0" priority="23"/>
  </conditionalFormatting>
  <pageMargins left="0.7" right="0.7" top="0.75" bottom="0.75" header="0.3" footer="0.3"/>
  <pageSetup paperSize="9" orientation="portrait" horizontalDpi="30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4E11-A2FD-4220-9A9C-3C96EC94CADC}">
  <sheetPr codeName="Sheet11">
    <tabColor rgb="FF00B0F0"/>
  </sheetPr>
  <dimension ref="A1:GH190"/>
  <sheetViews>
    <sheetView workbookViewId="0">
      <selection activeCell="C3" sqref="C3:AJ36"/>
    </sheetView>
  </sheetViews>
  <sheetFormatPr defaultRowHeight="15" x14ac:dyDescent="0.25"/>
  <cols>
    <col min="1" max="2" width="9.140625" style="2"/>
    <col min="3" max="3" width="11.5703125" bestFit="1" customWidth="1"/>
    <col min="4" max="4" width="10.5703125" bestFit="1" customWidth="1"/>
    <col min="5" max="5" width="11.5703125" bestFit="1" customWidth="1"/>
    <col min="6" max="7" width="9.5703125" bestFit="1" customWidth="1"/>
    <col min="8" max="9" width="10.5703125" bestFit="1" customWidth="1"/>
    <col min="10" max="11" width="11.5703125" bestFit="1" customWidth="1"/>
    <col min="12" max="13" width="9.5703125" bestFit="1" customWidth="1"/>
    <col min="14" max="15" width="11.5703125" bestFit="1" customWidth="1"/>
    <col min="16" max="17" width="9.5703125" bestFit="1" customWidth="1"/>
    <col min="18" max="18" width="11.5703125" bestFit="1" customWidth="1"/>
    <col min="19" max="19" width="9.5703125" bestFit="1" customWidth="1"/>
    <col min="20" max="21" width="10.5703125" bestFit="1" customWidth="1"/>
    <col min="22" max="22" width="11.5703125" bestFit="1" customWidth="1"/>
    <col min="23" max="24" width="10.5703125" bestFit="1" customWidth="1"/>
    <col min="25" max="25" width="9.5703125" bestFit="1" customWidth="1"/>
    <col min="26" max="27" width="10.5703125" bestFit="1" customWidth="1"/>
    <col min="28" max="28" width="11.5703125" bestFit="1" customWidth="1"/>
    <col min="29" max="29" width="10.5703125" bestFit="1" customWidth="1"/>
    <col min="30" max="30" width="9.5703125" bestFit="1" customWidth="1"/>
    <col min="31" max="31" width="10.5703125" bestFit="1" customWidth="1"/>
    <col min="32" max="33" width="9.5703125" bestFit="1" customWidth="1"/>
    <col min="34" max="34" width="11.5703125" bestFit="1" customWidth="1"/>
    <col min="35" max="35" width="9.5703125" bestFit="1" customWidth="1"/>
    <col min="36" max="36" width="10.5703125" bestFit="1" customWidth="1"/>
  </cols>
  <sheetData>
    <row r="1" spans="1:190" s="2" customFormat="1" x14ac:dyDescent="0.25">
      <c r="A1" s="5">
        <v>100</v>
      </c>
      <c r="B1" s="5"/>
      <c r="C1" s="5">
        <f>IF(VLOOKUP(C2,Routing_Link_Mapping!$A:$C,3,FALSE)&lt;&gt;"",VLOOKUP(C2,Routing_Link_Mapping!$A:$C,3,FALSE),"")</f>
        <v>164</v>
      </c>
      <c r="D1" s="5">
        <f>IF(VLOOKUP(D2,Routing_Link_Mapping!$A:$C,3,FALSE)&lt;&gt;"",VLOOKUP(D2,Routing_Link_Mapping!$A:$C,3,FALSE),"")</f>
        <v>166</v>
      </c>
      <c r="E1" s="5">
        <f>IF(VLOOKUP(E2,Routing_Link_Mapping!$A:$C,3,FALSE)&lt;&gt;"",VLOOKUP(E2,Routing_Link_Mapping!$A:$C,3,FALSE),"")</f>
        <v>160</v>
      </c>
      <c r="F1" s="5">
        <f>IF(VLOOKUP(F2,Routing_Link_Mapping!$A:$C,3,FALSE)&lt;&gt;"",VLOOKUP(F2,Routing_Link_Mapping!$A:$C,3,FALSE),"")</f>
        <v>87</v>
      </c>
      <c r="G1" s="5">
        <f>IF(VLOOKUP(G2,Routing_Link_Mapping!$A:$C,3,FALSE)&lt;&gt;"",VLOOKUP(G2,Routing_Link_Mapping!$A:$C,3,FALSE),"")</f>
        <v>86</v>
      </c>
      <c r="H1" s="5">
        <f>IF(VLOOKUP(H2,Routing_Link_Mapping!$A:$C,3,FALSE)&lt;&gt;"",VLOOKUP(H2,Routing_Link_Mapping!$A:$C,3,FALSE),"")</f>
        <v>79</v>
      </c>
      <c r="I1" s="5">
        <f>IF(VLOOKUP(I2,Routing_Link_Mapping!$A:$C,3,FALSE)&lt;&gt;"",VLOOKUP(I2,Routing_Link_Mapping!$A:$C,3,FALSE),"")</f>
        <v>80</v>
      </c>
      <c r="J1" s="5">
        <f>IF(VLOOKUP(J2,Routing_Link_Mapping!$A:$C,3,FALSE)&lt;&gt;"",VLOOKUP(J2,Routing_Link_Mapping!$A:$C,3,FALSE),"")</f>
        <v>138</v>
      </c>
      <c r="K1" s="5">
        <f>IF(VLOOKUP(K2,Routing_Link_Mapping!$A:$C,3,FALSE)&lt;&gt;"",VLOOKUP(K2,Routing_Link_Mapping!$A:$C,3,FALSE),"")</f>
        <v>142</v>
      </c>
      <c r="L1" s="5" t="str">
        <f>IF(VLOOKUP(L2,Routing_Link_Mapping!$A:$C,3,FALSE)&lt;&gt;"",VLOOKUP(L2,Routing_Link_Mapping!$A:$C,3,FALSE),"")</f>
        <v/>
      </c>
      <c r="M1" s="5" t="str">
        <f>IF(VLOOKUP(M2,Routing_Link_Mapping!$A:$C,3,FALSE)&lt;&gt;"",VLOOKUP(M2,Routing_Link_Mapping!$A:$C,3,FALSE),"")</f>
        <v/>
      </c>
      <c r="N1" s="5">
        <f>IF(VLOOKUP(N2,Routing_Link_Mapping!$A:$C,3,FALSE)&lt;&gt;"",VLOOKUP(N2,Routing_Link_Mapping!$A:$C,3,FALSE),"")</f>
        <v>175</v>
      </c>
      <c r="O1" s="5">
        <f>IF(VLOOKUP(O2,Routing_Link_Mapping!$A:$C,3,FALSE)&lt;&gt;"",VLOOKUP(O2,Routing_Link_Mapping!$A:$C,3,FALSE),"")</f>
        <v>177</v>
      </c>
      <c r="P1" s="5" t="str">
        <f>IF(VLOOKUP(P2,Routing_Link_Mapping!$A:$C,3,FALSE)&lt;&gt;"",VLOOKUP(P2,Routing_Link_Mapping!$A:$C,3,FALSE),"")</f>
        <v/>
      </c>
      <c r="Q1" s="5" t="str">
        <f>IF(VLOOKUP(Q2,Routing_Link_Mapping!$A:$C,3,FALSE)&lt;&gt;"",VLOOKUP(Q2,Routing_Link_Mapping!$A:$C,3,FALSE),"")</f>
        <v/>
      </c>
      <c r="R1" s="5">
        <f>IF(VLOOKUP(R2,Routing_Link_Mapping!$A:$C,3,FALSE)&lt;&gt;"",VLOOKUP(R2,Routing_Link_Mapping!$A:$C,3,FALSE),"")</f>
        <v>126</v>
      </c>
      <c r="S1" s="5">
        <f>IF(VLOOKUP(S2,Routing_Link_Mapping!$A:$C,3,FALSE)&lt;&gt;"",VLOOKUP(S2,Routing_Link_Mapping!$A:$C,3,FALSE),"")</f>
        <v>124</v>
      </c>
      <c r="T1" s="5">
        <f>IF(VLOOKUP(T2,Routing_Link_Mapping!$A:$C,3,FALSE)&lt;&gt;"",VLOOKUP(T2,Routing_Link_Mapping!$A:$C,3,FALSE),"")</f>
        <v>114</v>
      </c>
      <c r="U1" s="5">
        <f>IF(VLOOKUP(U2,Routing_Link_Mapping!$A:$C,3,FALSE)&lt;&gt;"",VLOOKUP(U2,Routing_Link_Mapping!$A:$C,3,FALSE),"")</f>
        <v>102</v>
      </c>
      <c r="V1" s="5">
        <f>IF(VLOOKUP(V2,Routing_Link_Mapping!$A:$C,3,FALSE)&lt;&gt;"",VLOOKUP(V2,Routing_Link_Mapping!$A:$C,3,FALSE),"")</f>
        <v>103</v>
      </c>
      <c r="W1" s="5">
        <f>IF(VLOOKUP(W2,Routing_Link_Mapping!$A:$C,3,FALSE)&lt;&gt;"",VLOOKUP(W2,Routing_Link_Mapping!$A:$C,3,FALSE),"")</f>
        <v>96</v>
      </c>
      <c r="X1" s="5">
        <f>IF(VLOOKUP(X2,Routing_Link_Mapping!$A:$C,3,FALSE)&lt;&gt;"",VLOOKUP(X2,Routing_Link_Mapping!$A:$C,3,FALSE),"")</f>
        <v>128</v>
      </c>
      <c r="Y1" s="5">
        <f>IF(VLOOKUP(Y2,Routing_Link_Mapping!$A:$C,3,FALSE)&lt;&gt;"",VLOOKUP(Y2,Routing_Link_Mapping!$A:$C,3,FALSE),"")</f>
        <v>107</v>
      </c>
      <c r="Z1" s="5">
        <f>IF(VLOOKUP(Z2,Routing_Link_Mapping!$A:$C,3,FALSE)&lt;&gt;"",VLOOKUP(Z2,Routing_Link_Mapping!$A:$C,3,FALSE),"")</f>
        <v>112</v>
      </c>
      <c r="AA1" s="5">
        <f>IF(VLOOKUP(AA2,Routing_Link_Mapping!$A:$C,3,FALSE)&lt;&gt;"",VLOOKUP(AA2,Routing_Link_Mapping!$A:$C,3,FALSE),"")</f>
        <v>52</v>
      </c>
      <c r="AB1" s="5">
        <f>IF(VLOOKUP(AB2,Routing_Link_Mapping!$A:$C,3,FALSE)&lt;&gt;"",VLOOKUP(AB2,Routing_Link_Mapping!$A:$C,3,FALSE),"")</f>
        <v>67</v>
      </c>
      <c r="AC1" s="5">
        <f>IF(VLOOKUP(AC2,Routing_Link_Mapping!$A:$C,3,FALSE)&lt;&gt;"",VLOOKUP(AC2,Routing_Link_Mapping!$A:$C,3,FALSE),"")</f>
        <v>70</v>
      </c>
      <c r="AD1" s="5">
        <f>IF(VLOOKUP(AD2,Routing_Link_Mapping!$A:$C,3,FALSE)&lt;&gt;"",VLOOKUP(AD2,Routing_Link_Mapping!$A:$C,3,FALSE),"")</f>
        <v>82</v>
      </c>
      <c r="AE1" s="5">
        <f>IF(VLOOKUP(AE2,Routing_Link_Mapping!$A:$C,3,FALSE)&lt;&gt;"",VLOOKUP(AE2,Routing_Link_Mapping!$A:$C,3,FALSE),"")</f>
        <v>76</v>
      </c>
      <c r="AF1" s="5">
        <f>IF(VLOOKUP(AF2,Routing_Link_Mapping!$A:$C,3,FALSE)&lt;&gt;"",VLOOKUP(AF2,Routing_Link_Mapping!$A:$C,3,FALSE),"")</f>
        <v>184</v>
      </c>
      <c r="AG1" s="5">
        <f>IF(VLOOKUP(AG2,Routing_Link_Mapping!$A:$C,3,FALSE)&lt;&gt;"",VLOOKUP(AG2,Routing_Link_Mapping!$A:$C,3,FALSE),"")</f>
        <v>131</v>
      </c>
      <c r="AH1" s="5">
        <f>IF(VLOOKUP(AH2,Routing_Link_Mapping!$A:$C,3,FALSE)&lt;&gt;"",VLOOKUP(AH2,Routing_Link_Mapping!$A:$C,3,FALSE),"")</f>
        <v>65</v>
      </c>
      <c r="AI1" s="5">
        <f>IF(VLOOKUP(AI2,Routing_Link_Mapping!$A:$C,3,FALSE)&lt;&gt;"",VLOOKUP(AI2,Routing_Link_Mapping!$A:$C,3,FALSE),"")</f>
        <v>192</v>
      </c>
      <c r="AJ1" s="5">
        <f>IF(VLOOKUP(AJ2,Routing_Link_Mapping!$A:$C,3,FALSE)&lt;&gt;"",VLOOKUP(AJ2,Routing_Link_Mapping!$A:$C,3,FALSE),"")</f>
        <v>186</v>
      </c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</row>
    <row r="2" spans="1:190" s="2" customFormat="1" x14ac:dyDescent="0.25">
      <c r="A2" s="5"/>
      <c r="B2" s="5">
        <v>6</v>
      </c>
      <c r="C2" s="7">
        <v>1</v>
      </c>
      <c r="D2" s="6">
        <v>2</v>
      </c>
      <c r="E2" s="6">
        <v>3</v>
      </c>
      <c r="F2" s="6">
        <v>4</v>
      </c>
      <c r="G2" s="6">
        <v>5</v>
      </c>
      <c r="H2" s="6">
        <v>6</v>
      </c>
      <c r="I2" s="6">
        <v>7</v>
      </c>
      <c r="J2" s="6">
        <v>8</v>
      </c>
      <c r="K2" s="6">
        <v>9</v>
      </c>
      <c r="L2" s="6">
        <v>10</v>
      </c>
      <c r="M2" s="6">
        <v>11</v>
      </c>
      <c r="N2" s="6">
        <v>12</v>
      </c>
      <c r="O2" s="6">
        <v>13</v>
      </c>
      <c r="P2" s="6">
        <v>14</v>
      </c>
      <c r="Q2" s="6">
        <v>15</v>
      </c>
      <c r="R2" s="6">
        <v>16</v>
      </c>
      <c r="S2" s="6">
        <v>17</v>
      </c>
      <c r="T2" s="6">
        <v>18</v>
      </c>
      <c r="U2" s="6">
        <v>19</v>
      </c>
      <c r="V2" s="6">
        <v>20</v>
      </c>
      <c r="W2" s="6">
        <v>21</v>
      </c>
      <c r="X2" s="6">
        <v>22</v>
      </c>
      <c r="Y2" s="6">
        <v>23</v>
      </c>
      <c r="Z2" s="6">
        <v>24</v>
      </c>
      <c r="AA2" s="6">
        <v>25</v>
      </c>
      <c r="AB2" s="6">
        <v>26</v>
      </c>
      <c r="AC2" s="6">
        <v>27</v>
      </c>
      <c r="AD2" s="6">
        <v>28</v>
      </c>
      <c r="AE2" s="6">
        <v>29</v>
      </c>
      <c r="AF2" s="6">
        <v>30</v>
      </c>
      <c r="AG2" s="6">
        <v>31</v>
      </c>
      <c r="AH2" s="6">
        <v>32</v>
      </c>
      <c r="AI2" s="6">
        <v>33</v>
      </c>
      <c r="AJ2" s="6">
        <v>34</v>
      </c>
    </row>
    <row r="3" spans="1:190" x14ac:dyDescent="0.25">
      <c r="A3" s="5">
        <f>IF(VLOOKUP(B3,Routing_Link_Mapping!$A:$C,2,FALSE)&lt;&gt;"",VLOOKUP(B3,Routing_Link_Mapping!$A:$C,2,FALSE),"")</f>
        <v>165</v>
      </c>
      <c r="B3" s="7">
        <v>1</v>
      </c>
      <c r="C3" s="1">
        <v>0</v>
      </c>
      <c r="D3" s="1">
        <v>0.99977499999999997</v>
      </c>
      <c r="E3" s="1">
        <v>45.986507000000003</v>
      </c>
      <c r="F3" s="1">
        <v>0.52243099999999998</v>
      </c>
      <c r="G3" s="1">
        <v>0</v>
      </c>
      <c r="H3" s="1">
        <v>1.5138590000000001</v>
      </c>
      <c r="I3" s="1">
        <v>0.28738599999999997</v>
      </c>
      <c r="J3" s="1">
        <v>2.7252770000000002</v>
      </c>
      <c r="K3" s="1">
        <v>11.314774999999999</v>
      </c>
      <c r="L3" s="1">
        <v>0</v>
      </c>
      <c r="M3" s="1">
        <v>0</v>
      </c>
      <c r="N3" s="1">
        <v>5.5635909999999997</v>
      </c>
      <c r="O3" s="1">
        <v>28.392105000000001</v>
      </c>
      <c r="P3" s="1">
        <v>0</v>
      </c>
      <c r="Q3" s="1">
        <v>0</v>
      </c>
      <c r="R3" s="1">
        <v>0.82058799999999998</v>
      </c>
      <c r="S3" s="1">
        <v>0</v>
      </c>
      <c r="T3" s="1">
        <v>0</v>
      </c>
      <c r="U3" s="1">
        <v>0</v>
      </c>
      <c r="V3" s="1">
        <v>33.012279999999997</v>
      </c>
      <c r="W3" s="1">
        <v>0.55698400000000003</v>
      </c>
      <c r="X3" s="1">
        <v>0</v>
      </c>
      <c r="Y3" s="1">
        <v>0</v>
      </c>
      <c r="Z3" s="1">
        <v>0.16125</v>
      </c>
      <c r="AA3" s="1">
        <v>1.833029</v>
      </c>
      <c r="AB3" s="1">
        <v>1.364843</v>
      </c>
      <c r="AC3" s="1">
        <v>0.232823</v>
      </c>
      <c r="AD3" s="1">
        <v>5.2845999999999997E-2</v>
      </c>
      <c r="AE3" s="1">
        <v>4.5128310000000003</v>
      </c>
      <c r="AF3" s="1">
        <v>3.1015000000000001E-2</v>
      </c>
      <c r="AG3" s="1">
        <v>0</v>
      </c>
      <c r="AH3" s="1">
        <v>1.7188380000000001</v>
      </c>
      <c r="AI3" s="1">
        <v>0.412354</v>
      </c>
      <c r="AJ3" s="1">
        <v>7.9819999999999995E-3</v>
      </c>
    </row>
    <row r="4" spans="1:190" x14ac:dyDescent="0.25">
      <c r="A4" s="5">
        <f>IF(VLOOKUP(B4,Routing_Link_Mapping!$A:$C,2,FALSE)&lt;&gt;"",VLOOKUP(B4,Routing_Link_Mapping!$A:$C,2,FALSE),"")</f>
        <v>168</v>
      </c>
      <c r="B4" s="6">
        <v>2</v>
      </c>
      <c r="C4" s="1">
        <v>14.998081000000001</v>
      </c>
      <c r="D4" s="1">
        <v>0</v>
      </c>
      <c r="E4" s="1">
        <v>69.984662</v>
      </c>
      <c r="F4" s="1">
        <v>0</v>
      </c>
      <c r="G4" s="1">
        <v>0</v>
      </c>
      <c r="H4" s="1">
        <v>0</v>
      </c>
      <c r="I4" s="1">
        <v>0</v>
      </c>
      <c r="J4" s="1">
        <v>14.730444</v>
      </c>
      <c r="K4" s="1">
        <v>28.933606999999999</v>
      </c>
      <c r="L4" s="1">
        <v>0</v>
      </c>
      <c r="M4" s="1">
        <v>0</v>
      </c>
      <c r="N4" s="1">
        <v>0.22973199999999999</v>
      </c>
      <c r="O4" s="1">
        <v>5.4355149999999997</v>
      </c>
      <c r="P4" s="1">
        <v>0</v>
      </c>
      <c r="Q4" s="1">
        <v>0</v>
      </c>
      <c r="R4" s="1">
        <v>1.728067</v>
      </c>
      <c r="S4" s="1">
        <v>0</v>
      </c>
      <c r="T4" s="1">
        <v>0</v>
      </c>
      <c r="U4" s="1">
        <v>0</v>
      </c>
      <c r="V4" s="1">
        <v>10.026958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6.7064880000000002</v>
      </c>
      <c r="AC4" s="1">
        <v>0</v>
      </c>
      <c r="AD4" s="1">
        <v>3.7095999999999997E-2</v>
      </c>
      <c r="AE4" s="1">
        <v>0.63356800000000002</v>
      </c>
      <c r="AF4" s="1">
        <v>0</v>
      </c>
      <c r="AG4" s="1">
        <v>0</v>
      </c>
      <c r="AH4" s="1">
        <v>1.206561</v>
      </c>
      <c r="AI4" s="1">
        <v>0.35651300000000002</v>
      </c>
      <c r="AJ4" s="1">
        <v>6.8609999999999999E-3</v>
      </c>
    </row>
    <row r="5" spans="1:190" x14ac:dyDescent="0.25">
      <c r="A5" s="5">
        <f>IF(VLOOKUP(B5,Routing_Link_Mapping!$A:$C,2,FALSE)&lt;&gt;"",VLOOKUP(B5,Routing_Link_Mapping!$A:$C,2,FALSE),"")</f>
        <v>161</v>
      </c>
      <c r="B5" s="6">
        <v>3</v>
      </c>
      <c r="C5" s="1">
        <v>144.96120400000001</v>
      </c>
      <c r="D5" s="1">
        <v>12.996226999999999</v>
      </c>
      <c r="E5" s="1">
        <v>0</v>
      </c>
      <c r="F5" s="1">
        <v>3.620609</v>
      </c>
      <c r="G5" s="1">
        <v>0</v>
      </c>
      <c r="H5" s="1">
        <v>14.862962</v>
      </c>
      <c r="I5" s="1">
        <v>2.821536</v>
      </c>
      <c r="J5" s="1">
        <v>79.640182999999993</v>
      </c>
      <c r="K5" s="1">
        <v>239.600932</v>
      </c>
      <c r="L5" s="1">
        <v>0</v>
      </c>
      <c r="M5" s="1">
        <v>0</v>
      </c>
      <c r="N5" s="1">
        <v>20.034718999999999</v>
      </c>
      <c r="O5" s="1">
        <v>88.321085999999994</v>
      </c>
      <c r="P5" s="1">
        <v>0</v>
      </c>
      <c r="Q5" s="1">
        <v>0</v>
      </c>
      <c r="R5" s="1">
        <v>34.121535000000002</v>
      </c>
      <c r="S5" s="1">
        <v>1.186852</v>
      </c>
      <c r="T5" s="1">
        <v>1.1280699999999999</v>
      </c>
      <c r="U5" s="1">
        <v>14.794191</v>
      </c>
      <c r="V5" s="1">
        <v>414.30650700000001</v>
      </c>
      <c r="W5" s="1">
        <v>8.6851599999999998</v>
      </c>
      <c r="X5" s="1">
        <v>48.454399000000002</v>
      </c>
      <c r="Y5" s="1">
        <v>0.16528599999999999</v>
      </c>
      <c r="Z5" s="1">
        <v>2.4212729999999998</v>
      </c>
      <c r="AA5" s="1">
        <v>34.405186</v>
      </c>
      <c r="AB5" s="1">
        <v>135.57580899999999</v>
      </c>
      <c r="AC5" s="1">
        <v>1.882458</v>
      </c>
      <c r="AD5" s="1">
        <v>0.54935699999999998</v>
      </c>
      <c r="AE5" s="1">
        <v>13.969633</v>
      </c>
      <c r="AF5" s="1">
        <v>0.32241999999999998</v>
      </c>
      <c r="AG5" s="1">
        <v>1.5453429999999999</v>
      </c>
      <c r="AH5" s="1">
        <v>66.509063999999995</v>
      </c>
      <c r="AI5" s="1">
        <v>0.43160599999999999</v>
      </c>
      <c r="AJ5" s="1">
        <v>8.3560000000000006E-3</v>
      </c>
    </row>
    <row r="6" spans="1:190" x14ac:dyDescent="0.25">
      <c r="A6" s="5">
        <f>IF(VLOOKUP(B6,Routing_Link_Mapping!$A:$C,2,FALSE)&lt;&gt;"",VLOOKUP(B6,Routing_Link_Mapping!$A:$C,2,FALSE),"")</f>
        <v>86</v>
      </c>
      <c r="B6" s="6">
        <v>4</v>
      </c>
      <c r="C6" s="1">
        <v>3.1500000000000001E-4</v>
      </c>
      <c r="D6" s="1">
        <v>0</v>
      </c>
      <c r="E6" s="1">
        <v>2.1580000000000002E-3</v>
      </c>
      <c r="F6" s="1">
        <v>0</v>
      </c>
      <c r="G6" s="1">
        <v>0</v>
      </c>
      <c r="H6" s="1">
        <v>0</v>
      </c>
      <c r="I6" s="1">
        <v>0</v>
      </c>
      <c r="J6" s="1">
        <v>2.8E-5</v>
      </c>
      <c r="K6" s="1">
        <v>8.3999999999999995E-5</v>
      </c>
      <c r="L6" s="1">
        <v>0</v>
      </c>
      <c r="M6" s="1">
        <v>0</v>
      </c>
      <c r="N6" s="1">
        <v>0</v>
      </c>
      <c r="O6" s="1">
        <v>9.6000000000000002E-5</v>
      </c>
      <c r="P6" s="1">
        <v>0</v>
      </c>
      <c r="Q6" s="1">
        <v>0</v>
      </c>
      <c r="R6" s="1">
        <v>1.0399999999999999E-4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1.9955510000000001</v>
      </c>
      <c r="Z6" s="1">
        <v>15.853402000000001</v>
      </c>
      <c r="AA6" s="1">
        <v>0</v>
      </c>
      <c r="AB6" s="1">
        <v>4.0406839999999997</v>
      </c>
      <c r="AC6" s="1">
        <v>2.0678529999999999</v>
      </c>
      <c r="AD6" s="1">
        <v>1.8E-5</v>
      </c>
      <c r="AE6" s="1">
        <v>0</v>
      </c>
      <c r="AF6" s="1">
        <v>0</v>
      </c>
      <c r="AG6" s="1">
        <v>0</v>
      </c>
      <c r="AH6" s="1">
        <v>0</v>
      </c>
      <c r="AI6" s="1">
        <v>1.634E-2</v>
      </c>
      <c r="AJ6" s="1">
        <v>0.111036</v>
      </c>
    </row>
    <row r="7" spans="1:190" x14ac:dyDescent="0.25">
      <c r="A7" s="5">
        <f>IF(VLOOKUP(B7,Routing_Link_Mapping!$A:$C,2,FALSE)&lt;&gt;"",VLOOKUP(B7,Routing_Link_Mapping!$A:$C,2,FALSE),"")</f>
        <v>87</v>
      </c>
      <c r="B7" s="6">
        <v>5</v>
      </c>
      <c r="C7" s="1">
        <v>0.12246600000000001</v>
      </c>
      <c r="D7" s="1">
        <v>0</v>
      </c>
      <c r="E7" s="1">
        <v>0</v>
      </c>
      <c r="F7" s="1">
        <v>0</v>
      </c>
      <c r="G7" s="1">
        <v>0</v>
      </c>
      <c r="H7" s="1">
        <v>16.654575000000001</v>
      </c>
      <c r="I7" s="1">
        <v>0</v>
      </c>
      <c r="J7" s="1">
        <v>1.0984000000000001E-2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0.21784500000000001</v>
      </c>
      <c r="W7" s="1">
        <v>0.41047899999999998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0.36718699999999999</v>
      </c>
      <c r="AE7" s="1">
        <v>0</v>
      </c>
      <c r="AF7" s="1">
        <v>3.1050000000000001E-3</v>
      </c>
      <c r="AG7" s="1">
        <v>0.239624</v>
      </c>
      <c r="AH7" s="1">
        <v>0</v>
      </c>
      <c r="AI7" s="1">
        <v>2.9219710000000001</v>
      </c>
      <c r="AJ7" s="1">
        <v>0</v>
      </c>
    </row>
    <row r="8" spans="1:190" x14ac:dyDescent="0.25">
      <c r="A8" s="5">
        <f>IF(VLOOKUP(B8,Routing_Link_Mapping!$A:$C,2,FALSE)&lt;&gt;"",VLOOKUP(B8,Routing_Link_Mapping!$A:$C,2,FALSE),"")</f>
        <v>80</v>
      </c>
      <c r="B8" s="6">
        <v>6</v>
      </c>
      <c r="C8" s="1">
        <v>0.47619099999999998</v>
      </c>
      <c r="D8" s="1">
        <v>0</v>
      </c>
      <c r="E8" s="1">
        <v>7.1813919999999998</v>
      </c>
      <c r="F8" s="1">
        <v>0</v>
      </c>
      <c r="G8" s="1">
        <v>8.2915419999999997</v>
      </c>
      <c r="H8" s="1">
        <v>0</v>
      </c>
      <c r="I8" s="1">
        <v>0</v>
      </c>
      <c r="J8" s="1">
        <v>3.4168999999999998E-2</v>
      </c>
      <c r="K8" s="1">
        <v>0.37154300000000001</v>
      </c>
      <c r="L8" s="1">
        <v>0</v>
      </c>
      <c r="M8" s="1">
        <v>0</v>
      </c>
      <c r="N8" s="1">
        <v>3.9100999999999997E-2</v>
      </c>
      <c r="O8" s="1">
        <v>0.19273499999999999</v>
      </c>
      <c r="P8" s="1">
        <v>0</v>
      </c>
      <c r="Q8" s="1">
        <v>0</v>
      </c>
      <c r="R8" s="1">
        <v>0.15745600000000001</v>
      </c>
      <c r="S8" s="1">
        <v>0</v>
      </c>
      <c r="T8" s="1">
        <v>0</v>
      </c>
      <c r="U8" s="1">
        <v>0</v>
      </c>
      <c r="V8" s="1">
        <v>1.8635349999999999</v>
      </c>
      <c r="W8" s="1">
        <v>12.768731000000001</v>
      </c>
      <c r="X8" s="1">
        <v>10.918642</v>
      </c>
      <c r="Y8" s="1">
        <v>5.9410000000000001E-3</v>
      </c>
      <c r="Z8" s="1">
        <v>0</v>
      </c>
      <c r="AA8" s="1">
        <v>0</v>
      </c>
      <c r="AB8" s="1">
        <v>0</v>
      </c>
      <c r="AC8" s="1">
        <v>0</v>
      </c>
      <c r="AD8" s="1">
        <v>3.9803950000000001</v>
      </c>
      <c r="AE8" s="1">
        <v>0</v>
      </c>
      <c r="AF8" s="1">
        <v>0</v>
      </c>
      <c r="AG8" s="1">
        <v>0.74539800000000001</v>
      </c>
      <c r="AH8" s="1">
        <v>0</v>
      </c>
      <c r="AI8" s="1">
        <v>0.15291099999999999</v>
      </c>
      <c r="AJ8" s="1">
        <v>0</v>
      </c>
    </row>
    <row r="9" spans="1:190" x14ac:dyDescent="0.25">
      <c r="A9" s="5">
        <f>IF(VLOOKUP(B9,Routing_Link_Mapping!$A:$C,2,FALSE)&lt;&gt;"",VLOOKUP(B9,Routing_Link_Mapping!$A:$C,2,FALSE),"")</f>
        <v>79</v>
      </c>
      <c r="B9" s="6">
        <v>7</v>
      </c>
      <c r="C9" s="1">
        <v>1.8612E-2</v>
      </c>
      <c r="D9" s="1">
        <v>0</v>
      </c>
      <c r="E9" s="1">
        <v>0.28069</v>
      </c>
      <c r="F9" s="1">
        <v>0</v>
      </c>
      <c r="G9" s="1">
        <v>0</v>
      </c>
      <c r="H9" s="1">
        <v>0</v>
      </c>
      <c r="I9" s="1">
        <v>0</v>
      </c>
      <c r="J9" s="1">
        <v>1.3359999999999999E-3</v>
      </c>
      <c r="K9" s="1">
        <v>1.4522E-2</v>
      </c>
      <c r="L9" s="1">
        <v>0</v>
      </c>
      <c r="M9" s="1">
        <v>0</v>
      </c>
      <c r="N9" s="1">
        <v>1.5280000000000001E-3</v>
      </c>
      <c r="O9" s="1">
        <v>7.5329999999999998E-3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1.2800000000000001E-3</v>
      </c>
      <c r="Z9" s="1">
        <v>0</v>
      </c>
      <c r="AA9" s="1">
        <v>0</v>
      </c>
      <c r="AB9" s="1">
        <v>0.42972500000000002</v>
      </c>
      <c r="AC9" s="1">
        <v>6.8467E-2</v>
      </c>
      <c r="AD9" s="1">
        <v>0</v>
      </c>
      <c r="AE9" s="1">
        <v>42.988340999999998</v>
      </c>
      <c r="AF9" s="1">
        <v>9.0007920000000006</v>
      </c>
      <c r="AG9" s="1">
        <v>0</v>
      </c>
      <c r="AH9" s="1">
        <v>0.54118200000000005</v>
      </c>
      <c r="AI9" s="1">
        <v>0</v>
      </c>
      <c r="AJ9" s="1">
        <v>7.6238250000000001</v>
      </c>
    </row>
    <row r="10" spans="1:190" x14ac:dyDescent="0.25">
      <c r="A10" s="5" t="str">
        <f>IF(VLOOKUP(B10,Routing_Link_Mapping!$A:$C,2,FALSE)&lt;&gt;"",VLOOKUP(B10,Routing_Link_Mapping!$A:$C,2,FALSE),"")</f>
        <v/>
      </c>
      <c r="B10" s="6">
        <v>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</row>
    <row r="11" spans="1:190" x14ac:dyDescent="0.25">
      <c r="A11" s="5" t="str">
        <f>IF(VLOOKUP(B11,Routing_Link_Mapping!$A:$C,2,FALSE)&lt;&gt;"",VLOOKUP(B11,Routing_Link_Mapping!$A:$C,2,FALSE),"")</f>
        <v/>
      </c>
      <c r="B11" s="6">
        <v>9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</row>
    <row r="12" spans="1:190" x14ac:dyDescent="0.25">
      <c r="A12" s="5">
        <f>IF(VLOOKUP(B12,Routing_Link_Mapping!$A:$C,2,FALSE)&lt;&gt;"",VLOOKUP(B12,Routing_Link_Mapping!$A:$C,2,FALSE),"")</f>
        <v>134</v>
      </c>
      <c r="B12" s="6">
        <v>10</v>
      </c>
      <c r="C12" s="1">
        <v>3.198804</v>
      </c>
      <c r="D12" s="1">
        <v>0.79500800000000005</v>
      </c>
      <c r="E12" s="1">
        <v>184.052415</v>
      </c>
      <c r="F12" s="1">
        <v>3.4795729999999998</v>
      </c>
      <c r="G12" s="1">
        <v>0</v>
      </c>
      <c r="H12" s="1">
        <v>13.863875</v>
      </c>
      <c r="I12" s="1">
        <v>2.6318730000000001</v>
      </c>
      <c r="J12" s="1">
        <v>0</v>
      </c>
      <c r="K12" s="1">
        <v>0</v>
      </c>
      <c r="L12" s="1">
        <v>0</v>
      </c>
      <c r="M12" s="1">
        <v>0</v>
      </c>
      <c r="N12" s="1">
        <v>213.89532800000001</v>
      </c>
      <c r="O12" s="1">
        <v>1086.6713110000001</v>
      </c>
      <c r="P12" s="1">
        <v>0</v>
      </c>
      <c r="Q12" s="1">
        <v>0</v>
      </c>
      <c r="R12" s="1">
        <v>4.5544960000000003</v>
      </c>
      <c r="S12" s="1">
        <v>0</v>
      </c>
      <c r="T12" s="1">
        <v>0</v>
      </c>
      <c r="U12" s="1">
        <v>5.3317129999999997</v>
      </c>
      <c r="V12" s="1">
        <v>278.01264800000001</v>
      </c>
      <c r="W12" s="1">
        <v>12.983972</v>
      </c>
      <c r="X12" s="1">
        <v>0</v>
      </c>
      <c r="Y12" s="1">
        <v>6.3538999999999998E-2</v>
      </c>
      <c r="Z12" s="1">
        <v>1.6109690000000001</v>
      </c>
      <c r="AA12" s="1">
        <v>21.365058000000001</v>
      </c>
      <c r="AB12" s="1">
        <v>24.745875000000002</v>
      </c>
      <c r="AC12" s="1">
        <v>0.25844699999999998</v>
      </c>
      <c r="AD12" s="1">
        <v>0.64528099999999999</v>
      </c>
      <c r="AE12" s="1">
        <v>20.839523</v>
      </c>
      <c r="AF12" s="1">
        <v>0.24961</v>
      </c>
      <c r="AG12" s="1">
        <v>1.4851460000000001</v>
      </c>
      <c r="AH12" s="1">
        <v>12.402054</v>
      </c>
      <c r="AI12" s="1">
        <v>0.84947300000000003</v>
      </c>
      <c r="AJ12" s="1">
        <v>1.6471E-2</v>
      </c>
    </row>
    <row r="13" spans="1:190" x14ac:dyDescent="0.25">
      <c r="A13" s="5">
        <f>IF(VLOOKUP(B13,Routing_Link_Mapping!$A:$C,2,FALSE)&lt;&gt;"",VLOOKUP(B13,Routing_Link_Mapping!$A:$C,2,FALSE),"")</f>
        <v>132</v>
      </c>
      <c r="B13" s="6">
        <v>11</v>
      </c>
      <c r="C13" s="1">
        <v>0.207374</v>
      </c>
      <c r="D13" s="1">
        <v>0.408966</v>
      </c>
      <c r="E13" s="1">
        <v>68.233756999999997</v>
      </c>
      <c r="F13" s="1">
        <v>3.2815840000000001</v>
      </c>
      <c r="G13" s="1">
        <v>0</v>
      </c>
      <c r="H13" s="1">
        <v>1.6458060000000001</v>
      </c>
      <c r="I13" s="1">
        <v>0.31243399999999999</v>
      </c>
      <c r="J13" s="1">
        <v>0</v>
      </c>
      <c r="K13" s="1">
        <v>0</v>
      </c>
      <c r="L13" s="1">
        <v>0</v>
      </c>
      <c r="M13" s="1">
        <v>0</v>
      </c>
      <c r="N13" s="1">
        <v>84.724339000000001</v>
      </c>
      <c r="O13" s="1">
        <v>330.73480699999999</v>
      </c>
      <c r="P13" s="1">
        <v>0</v>
      </c>
      <c r="Q13" s="1">
        <v>0</v>
      </c>
      <c r="R13" s="1">
        <v>2.378959</v>
      </c>
      <c r="S13" s="1">
        <v>0.33099000000000001</v>
      </c>
      <c r="T13" s="1">
        <v>0</v>
      </c>
      <c r="U13" s="1">
        <v>0</v>
      </c>
      <c r="V13" s="1">
        <v>103.067637</v>
      </c>
      <c r="W13" s="1">
        <v>1.0764990000000001</v>
      </c>
      <c r="X13" s="1">
        <v>0</v>
      </c>
      <c r="Y13" s="1">
        <v>0.110628</v>
      </c>
      <c r="Z13" s="1">
        <v>0.31165199999999998</v>
      </c>
      <c r="AA13" s="1">
        <v>6.1998090000000001</v>
      </c>
      <c r="AB13" s="1">
        <v>2.1982249999999999</v>
      </c>
      <c r="AC13" s="1">
        <v>5.6247980000000002</v>
      </c>
      <c r="AD13" s="1">
        <v>0.10213700000000001</v>
      </c>
      <c r="AE13" s="1">
        <v>4.0121560000000001</v>
      </c>
      <c r="AF13" s="1">
        <v>2.2478999999999999E-2</v>
      </c>
      <c r="AG13" s="1">
        <v>0.64644900000000005</v>
      </c>
      <c r="AH13" s="1">
        <v>12.457675999999999</v>
      </c>
      <c r="AI13" s="1">
        <v>0.89102499999999996</v>
      </c>
      <c r="AJ13" s="1">
        <v>1.7255E-2</v>
      </c>
    </row>
    <row r="14" spans="1:190" x14ac:dyDescent="0.25">
      <c r="A14" s="5" t="str">
        <f>IF(VLOOKUP(B14,Routing_Link_Mapping!$A:$C,2,FALSE)&lt;&gt;"",VLOOKUP(B14,Routing_Link_Mapping!$A:$C,2,FALSE),"")</f>
        <v/>
      </c>
      <c r="B14" s="6">
        <v>12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</row>
    <row r="15" spans="1:190" x14ac:dyDescent="0.25">
      <c r="A15" s="5" t="str">
        <f>IF(VLOOKUP(B15,Routing_Link_Mapping!$A:$C,2,FALSE)&lt;&gt;"",VLOOKUP(B15,Routing_Link_Mapping!$A:$C,2,FALSE),"")</f>
        <v/>
      </c>
      <c r="B15" s="6">
        <v>13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</row>
    <row r="16" spans="1:190" x14ac:dyDescent="0.25">
      <c r="A16" s="5">
        <f>IF(VLOOKUP(B16,Routing_Link_Mapping!$A:$C,2,FALSE)&lt;&gt;"",VLOOKUP(B16,Routing_Link_Mapping!$A:$C,2,FALSE),"")</f>
        <v>178</v>
      </c>
      <c r="B16" s="6">
        <v>14</v>
      </c>
      <c r="C16" s="1">
        <v>8.5399650000000005</v>
      </c>
      <c r="D16" s="1">
        <v>0.51986200000000005</v>
      </c>
      <c r="E16" s="1">
        <v>109.251834</v>
      </c>
      <c r="F16" s="1">
        <v>2.1867260000000002</v>
      </c>
      <c r="G16" s="1">
        <v>0</v>
      </c>
      <c r="H16" s="1">
        <v>2.112171</v>
      </c>
      <c r="I16" s="1">
        <v>0.40096799999999999</v>
      </c>
      <c r="J16" s="1">
        <v>248.714697</v>
      </c>
      <c r="K16" s="1">
        <v>618.56235100000004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3.0530750000000002</v>
      </c>
      <c r="S16" s="1">
        <v>0</v>
      </c>
      <c r="T16" s="1">
        <v>0</v>
      </c>
      <c r="U16" s="1">
        <v>2.9783970000000002</v>
      </c>
      <c r="V16" s="1">
        <v>86.509201000000004</v>
      </c>
      <c r="W16" s="1">
        <v>4.9217440000000003</v>
      </c>
      <c r="X16" s="1">
        <v>0</v>
      </c>
      <c r="Y16" s="1">
        <v>7.9862000000000002E-2</v>
      </c>
      <c r="Z16" s="1">
        <v>3.4496859999999998</v>
      </c>
      <c r="AA16" s="1">
        <v>13.213675</v>
      </c>
      <c r="AB16" s="1">
        <v>27.929155999999999</v>
      </c>
      <c r="AC16" s="1">
        <v>4.3312030000000004</v>
      </c>
      <c r="AD16" s="1">
        <v>0.88478100000000004</v>
      </c>
      <c r="AE16" s="1">
        <v>7.219881</v>
      </c>
      <c r="AF16" s="1">
        <v>2.8849E-2</v>
      </c>
      <c r="AG16" s="1">
        <v>1.2444459999999999</v>
      </c>
      <c r="AH16" s="1">
        <v>3.9969380000000001</v>
      </c>
      <c r="AI16" s="1">
        <v>0.78183899999999995</v>
      </c>
      <c r="AJ16" s="1">
        <v>1.5056E-2</v>
      </c>
    </row>
    <row r="17" spans="1:36" x14ac:dyDescent="0.25">
      <c r="A17" s="5">
        <f>IF(VLOOKUP(B17,Routing_Link_Mapping!$A:$C,2,FALSE)&lt;&gt;"",VLOOKUP(B17,Routing_Link_Mapping!$A:$C,2,FALSE),"")</f>
        <v>176</v>
      </c>
      <c r="B17" s="6">
        <v>15</v>
      </c>
      <c r="C17" s="1">
        <v>1.7848619999999999</v>
      </c>
      <c r="D17" s="1">
        <v>0.45948299999999997</v>
      </c>
      <c r="E17" s="1">
        <v>20.391921</v>
      </c>
      <c r="F17" s="1">
        <v>0.241594</v>
      </c>
      <c r="G17" s="1">
        <v>0</v>
      </c>
      <c r="H17" s="1">
        <v>0.35003600000000001</v>
      </c>
      <c r="I17" s="1">
        <v>6.6449999999999995E-2</v>
      </c>
      <c r="J17" s="1">
        <v>118.73342599999999</v>
      </c>
      <c r="K17" s="1">
        <v>252.897818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0.75894799999999996</v>
      </c>
      <c r="S17" s="1">
        <v>0</v>
      </c>
      <c r="T17" s="1">
        <v>0</v>
      </c>
      <c r="U17" s="1">
        <v>0</v>
      </c>
      <c r="V17" s="1">
        <v>16.146993999999999</v>
      </c>
      <c r="W17" s="1">
        <v>1.8030090000000001</v>
      </c>
      <c r="X17" s="1">
        <v>0</v>
      </c>
      <c r="Y17" s="1">
        <v>0</v>
      </c>
      <c r="Z17" s="1">
        <v>0.14913699999999999</v>
      </c>
      <c r="AA17" s="1">
        <v>2.5430069999999998</v>
      </c>
      <c r="AB17" s="1">
        <v>20.617892999999999</v>
      </c>
      <c r="AC17" s="1">
        <v>0</v>
      </c>
      <c r="AD17" s="1">
        <v>0</v>
      </c>
      <c r="AE17" s="1">
        <v>0.66781500000000005</v>
      </c>
      <c r="AF17" s="1">
        <v>0</v>
      </c>
      <c r="AG17" s="1">
        <v>0</v>
      </c>
      <c r="AH17" s="1">
        <v>3.1794479999999998</v>
      </c>
      <c r="AI17" s="1">
        <v>1.1653560000000001</v>
      </c>
      <c r="AJ17" s="1">
        <v>2.2411E-2</v>
      </c>
    </row>
    <row r="18" spans="1:36" x14ac:dyDescent="0.25">
      <c r="A18" s="5">
        <f>IF(VLOOKUP(B18,Routing_Link_Mapping!$A:$C,2,FALSE)&lt;&gt;"",VLOOKUP(B18,Routing_Link_Mapping!$A:$C,2,FALSE),"")</f>
        <v>123</v>
      </c>
      <c r="B18" s="6">
        <v>16</v>
      </c>
      <c r="C18" s="1">
        <v>3.7742999999999999E-2</v>
      </c>
      <c r="D18" s="1">
        <v>4.0079999999999998E-2</v>
      </c>
      <c r="E18" s="1">
        <v>15.178823</v>
      </c>
      <c r="F18" s="1">
        <v>3.434904</v>
      </c>
      <c r="G18" s="1">
        <v>0</v>
      </c>
      <c r="H18" s="1">
        <v>2.8069069999999998</v>
      </c>
      <c r="I18" s="1">
        <v>0</v>
      </c>
      <c r="J18" s="1">
        <v>9.0279999999999996E-3</v>
      </c>
      <c r="K18" s="1">
        <v>1.7847999999999999E-2</v>
      </c>
      <c r="L18" s="1">
        <v>0</v>
      </c>
      <c r="M18" s="1">
        <v>0</v>
      </c>
      <c r="N18" s="1">
        <v>6.9731000000000001E-2</v>
      </c>
      <c r="O18" s="1">
        <v>7.1290000000000006E-2</v>
      </c>
      <c r="P18" s="1">
        <v>0</v>
      </c>
      <c r="Q18" s="1">
        <v>0</v>
      </c>
      <c r="R18" s="1">
        <v>0</v>
      </c>
      <c r="S18" s="1">
        <v>1.9997339999999999</v>
      </c>
      <c r="T18" s="1">
        <v>0.83576700000000004</v>
      </c>
      <c r="U18" s="1">
        <v>1.8267929999999999</v>
      </c>
      <c r="V18" s="1">
        <v>127.48941499999999</v>
      </c>
      <c r="W18" s="1">
        <v>2.224335</v>
      </c>
      <c r="X18" s="1">
        <v>0</v>
      </c>
      <c r="Y18" s="1">
        <v>9.4085000000000002E-2</v>
      </c>
      <c r="Z18" s="1">
        <v>4.2407690000000002</v>
      </c>
      <c r="AA18" s="1">
        <v>16.571334</v>
      </c>
      <c r="AB18" s="1">
        <v>67.302198000000004</v>
      </c>
      <c r="AC18" s="1">
        <v>3.06155</v>
      </c>
      <c r="AD18" s="1">
        <v>0.12059499999999999</v>
      </c>
      <c r="AE18" s="1">
        <v>26.110616</v>
      </c>
      <c r="AF18" s="1">
        <v>7.6470999999999997E-2</v>
      </c>
      <c r="AG18" s="1">
        <v>0.76327800000000001</v>
      </c>
      <c r="AH18" s="1">
        <v>24.014811999999999</v>
      </c>
      <c r="AI18" s="1">
        <v>0.58871700000000005</v>
      </c>
      <c r="AJ18" s="1">
        <v>1.1028E-2</v>
      </c>
    </row>
    <row r="19" spans="1:36" x14ac:dyDescent="0.25">
      <c r="A19" s="5">
        <f>IF(VLOOKUP(B19,Routing_Link_Mapping!$A:$C,2,FALSE)&lt;&gt;"",VLOOKUP(B19,Routing_Link_Mapping!$A:$C,2,FALSE),"")</f>
        <v>125</v>
      </c>
      <c r="B19" s="6">
        <v>17</v>
      </c>
      <c r="C19" s="1">
        <v>6.6387669999999996</v>
      </c>
      <c r="D19" s="1">
        <v>2.8199160000000001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0.47089399999999998</v>
      </c>
      <c r="L19" s="1">
        <v>0</v>
      </c>
      <c r="M19" s="1">
        <v>0</v>
      </c>
      <c r="N19" s="1">
        <v>0.54511600000000004</v>
      </c>
      <c r="O19" s="1">
        <v>1.0747990000000001</v>
      </c>
      <c r="P19" s="1">
        <v>0</v>
      </c>
      <c r="Q19" s="1">
        <v>0</v>
      </c>
      <c r="R19" s="1">
        <v>7.9978930000000004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0.44473800000000002</v>
      </c>
      <c r="AJ19" s="1">
        <v>7.9459999999999999E-3</v>
      </c>
    </row>
    <row r="20" spans="1:36" x14ac:dyDescent="0.25">
      <c r="A20" s="5">
        <f>IF(VLOOKUP(B20,Routing_Link_Mapping!$A:$C,2,FALSE)&lt;&gt;"",VLOOKUP(B20,Routing_Link_Mapping!$A:$C,2,FALSE),"")</f>
        <v>113</v>
      </c>
      <c r="B20" s="6">
        <v>18</v>
      </c>
      <c r="C20" s="1">
        <v>0</v>
      </c>
      <c r="D20" s="1">
        <v>0</v>
      </c>
      <c r="E20" s="1">
        <v>16.726846999999999</v>
      </c>
      <c r="F20" s="1">
        <v>0</v>
      </c>
      <c r="G20" s="1">
        <v>0</v>
      </c>
      <c r="H20" s="1">
        <v>2.2279E-2</v>
      </c>
      <c r="I20" s="1">
        <v>0</v>
      </c>
      <c r="J20" s="1">
        <v>4.1688000000000003E-2</v>
      </c>
      <c r="K20" s="1">
        <v>4.1209000000000003E-2</v>
      </c>
      <c r="L20" s="1">
        <v>0</v>
      </c>
      <c r="M20" s="1">
        <v>0</v>
      </c>
      <c r="N20" s="1">
        <v>0</v>
      </c>
      <c r="O20" s="1">
        <v>4.7029000000000001E-2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0.78478999999999999</v>
      </c>
      <c r="W20" s="1">
        <v>6.5573999999999993E-2</v>
      </c>
      <c r="X20" s="1">
        <v>0</v>
      </c>
      <c r="Y20" s="1">
        <v>0</v>
      </c>
      <c r="Z20" s="1">
        <v>0</v>
      </c>
      <c r="AA20" s="1">
        <v>0.11606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0.132852</v>
      </c>
      <c r="AJ20" s="1">
        <v>1.6396999999999998E-2</v>
      </c>
    </row>
    <row r="21" spans="1:36" x14ac:dyDescent="0.25">
      <c r="A21" s="5">
        <f>IF(VLOOKUP(B21,Routing_Link_Mapping!$A:$C,2,FALSE)&lt;&gt;"",VLOOKUP(B21,Routing_Link_Mapping!$A:$C,2,FALSE),"")</f>
        <v>101</v>
      </c>
      <c r="B21" s="6">
        <v>19</v>
      </c>
      <c r="C21" s="1">
        <v>0.17221900000000001</v>
      </c>
      <c r="D21" s="1">
        <v>4.5719999999999997E-2</v>
      </c>
      <c r="E21" s="1">
        <v>12.690922</v>
      </c>
      <c r="F21" s="1">
        <v>0</v>
      </c>
      <c r="G21" s="1">
        <v>0</v>
      </c>
      <c r="H21" s="1">
        <v>1.3898000000000001E-2</v>
      </c>
      <c r="I21" s="1">
        <v>0</v>
      </c>
      <c r="J21" s="1">
        <v>0</v>
      </c>
      <c r="K21" s="1">
        <v>7.6347999999999999E-2</v>
      </c>
      <c r="L21" s="1">
        <v>0</v>
      </c>
      <c r="M21" s="1">
        <v>0</v>
      </c>
      <c r="N21" s="1">
        <v>0.123734</v>
      </c>
      <c r="O21" s="1">
        <v>0.26139099999999998</v>
      </c>
      <c r="P21" s="1">
        <v>0</v>
      </c>
      <c r="Q21" s="1">
        <v>0</v>
      </c>
      <c r="R21" s="1">
        <v>2.3727000000000002E-2</v>
      </c>
      <c r="S21" s="1">
        <v>0</v>
      </c>
      <c r="T21" s="1">
        <v>0</v>
      </c>
      <c r="U21" s="1">
        <v>0</v>
      </c>
      <c r="V21" s="1">
        <v>8.9340259999999994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0.21346899999999999</v>
      </c>
      <c r="AC21" s="1">
        <v>0</v>
      </c>
      <c r="AD21" s="1">
        <v>0</v>
      </c>
      <c r="AE21" s="1">
        <v>1.694E-2</v>
      </c>
      <c r="AF21" s="1">
        <v>7.2800000000000002E-4</v>
      </c>
      <c r="AG21" s="1">
        <v>0</v>
      </c>
      <c r="AH21" s="1">
        <v>0.241952</v>
      </c>
      <c r="AI21" s="1">
        <v>0.33638699999999999</v>
      </c>
      <c r="AJ21" s="1">
        <v>1.9657999999999998E-2</v>
      </c>
    </row>
    <row r="22" spans="1:36" x14ac:dyDescent="0.25">
      <c r="A22" s="5">
        <f>IF(VLOOKUP(B22,Routing_Link_Mapping!$A:$C,2,FALSE)&lt;&gt;"",VLOOKUP(B22,Routing_Link_Mapping!$A:$C,2,FALSE),"")</f>
        <v>104</v>
      </c>
      <c r="B22" s="6">
        <v>20</v>
      </c>
      <c r="C22" s="1">
        <v>177.29491899999999</v>
      </c>
      <c r="D22" s="1">
        <v>10.363580000000001</v>
      </c>
      <c r="E22" s="1">
        <v>412.54962799999998</v>
      </c>
      <c r="F22" s="1">
        <v>0</v>
      </c>
      <c r="G22" s="1">
        <v>12.585853999999999</v>
      </c>
      <c r="H22" s="1">
        <v>7.440893</v>
      </c>
      <c r="I22" s="1">
        <v>0</v>
      </c>
      <c r="J22" s="1">
        <v>115.54589799999999</v>
      </c>
      <c r="K22" s="1">
        <v>355.92669000000001</v>
      </c>
      <c r="L22" s="1">
        <v>0</v>
      </c>
      <c r="M22" s="1">
        <v>0</v>
      </c>
      <c r="N22" s="1">
        <v>22.037130000000001</v>
      </c>
      <c r="O22" s="1">
        <v>161.622288</v>
      </c>
      <c r="P22" s="1">
        <v>0</v>
      </c>
      <c r="Q22" s="1">
        <v>0</v>
      </c>
      <c r="R22" s="1">
        <v>116.530739</v>
      </c>
      <c r="S22" s="1">
        <v>0.18707499999999999</v>
      </c>
      <c r="T22" s="1">
        <v>7.9781040000000001</v>
      </c>
      <c r="U22" s="1">
        <v>8.000102</v>
      </c>
      <c r="V22" s="1">
        <v>0</v>
      </c>
      <c r="W22" s="1">
        <v>55.397756999999999</v>
      </c>
      <c r="X22" s="1">
        <v>0</v>
      </c>
      <c r="Y22" s="1">
        <v>0.304396</v>
      </c>
      <c r="Z22" s="1">
        <v>9.7185550000000003</v>
      </c>
      <c r="AA22" s="1">
        <v>18.683610999999999</v>
      </c>
      <c r="AB22" s="1">
        <v>41.129658999999997</v>
      </c>
      <c r="AC22" s="1">
        <v>0.82542899999999997</v>
      </c>
      <c r="AD22" s="1">
        <v>2.077976</v>
      </c>
      <c r="AE22" s="1">
        <v>1.919923</v>
      </c>
      <c r="AF22" s="1">
        <v>9.6213999999999994E-2</v>
      </c>
      <c r="AG22" s="1">
        <v>0</v>
      </c>
      <c r="AH22" s="1">
        <v>21.328313000000001</v>
      </c>
      <c r="AI22" s="1">
        <v>2.4528699999999999</v>
      </c>
      <c r="AJ22" s="1">
        <v>1.2629E-2</v>
      </c>
    </row>
    <row r="23" spans="1:36" x14ac:dyDescent="0.25">
      <c r="A23" s="5">
        <f>IF(VLOOKUP(B23,Routing_Link_Mapping!$A:$C,2,FALSE)&lt;&gt;"",VLOOKUP(B23,Routing_Link_Mapping!$A:$C,2,FALSE),"")</f>
        <v>97</v>
      </c>
      <c r="B23" s="6">
        <v>21</v>
      </c>
      <c r="C23" s="1">
        <v>1.5093000000000001E-2</v>
      </c>
      <c r="D23" s="1">
        <v>0</v>
      </c>
      <c r="E23" s="1">
        <v>3.8281930000000002</v>
      </c>
      <c r="F23" s="1">
        <v>0</v>
      </c>
      <c r="G23" s="1">
        <v>0.19870499999999999</v>
      </c>
      <c r="H23" s="1">
        <v>1.4511769999999999</v>
      </c>
      <c r="I23" s="1">
        <v>0</v>
      </c>
      <c r="J23" s="1">
        <v>1.0829999999999999E-2</v>
      </c>
      <c r="K23" s="1">
        <v>1.0706E-2</v>
      </c>
      <c r="L23" s="1">
        <v>0</v>
      </c>
      <c r="M23" s="1">
        <v>0</v>
      </c>
      <c r="N23" s="1">
        <v>0</v>
      </c>
      <c r="O23" s="1">
        <v>2.4435999999999999E-2</v>
      </c>
      <c r="P23" s="1">
        <v>0</v>
      </c>
      <c r="Q23" s="1">
        <v>0</v>
      </c>
      <c r="R23" s="1">
        <v>8.3180000000000007E-3</v>
      </c>
      <c r="S23" s="1">
        <v>0</v>
      </c>
      <c r="T23" s="1">
        <v>0</v>
      </c>
      <c r="U23" s="1">
        <v>0</v>
      </c>
      <c r="V23" s="1">
        <v>0.99339699999999997</v>
      </c>
      <c r="W23" s="1">
        <v>0</v>
      </c>
      <c r="X23" s="1">
        <v>0</v>
      </c>
      <c r="Y23" s="1">
        <v>0</v>
      </c>
      <c r="Z23" s="1">
        <v>0</v>
      </c>
      <c r="AA23" s="1">
        <v>1.5076000000000001E-2</v>
      </c>
      <c r="AB23" s="1">
        <v>0</v>
      </c>
      <c r="AC23" s="1">
        <v>0</v>
      </c>
      <c r="AD23" s="1">
        <v>0</v>
      </c>
      <c r="AE23" s="1">
        <v>7.1263000000000007E-2</v>
      </c>
      <c r="AF23" s="1">
        <v>5.1000000000000004E-4</v>
      </c>
      <c r="AG23" s="1">
        <v>0.342001</v>
      </c>
      <c r="AH23" s="1">
        <v>2.8273E-2</v>
      </c>
      <c r="AI23" s="1">
        <v>3.04799</v>
      </c>
      <c r="AJ23" s="1">
        <v>2.6041999999999999E-2</v>
      </c>
    </row>
    <row r="24" spans="1:36" x14ac:dyDescent="0.25">
      <c r="A24" s="5">
        <f>IF(VLOOKUP(B24,Routing_Link_Mapping!$A:$C,2,FALSE)&lt;&gt;"",VLOOKUP(B24,Routing_Link_Mapping!$A:$C,2,FALSE),"")</f>
        <v>129</v>
      </c>
      <c r="B24" s="6">
        <v>22</v>
      </c>
      <c r="C24" s="1">
        <v>0</v>
      </c>
      <c r="D24" s="1">
        <v>0</v>
      </c>
      <c r="E24" s="1">
        <v>0.962673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2.8420000000000001E-2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0.249809</v>
      </c>
      <c r="W24" s="1">
        <v>0.94141399999999997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0.59440599999999999</v>
      </c>
      <c r="AG24" s="1">
        <v>0.92444800000000005</v>
      </c>
      <c r="AH24" s="1">
        <v>0</v>
      </c>
      <c r="AI24" s="1">
        <v>0.59488200000000002</v>
      </c>
      <c r="AJ24" s="1">
        <v>2.4795000000000001E-2</v>
      </c>
    </row>
    <row r="25" spans="1:36" x14ac:dyDescent="0.25">
      <c r="A25" s="5">
        <f>IF(VLOOKUP(B25,Routing_Link_Mapping!$A:$C,2,FALSE)&lt;&gt;"",VLOOKUP(B25,Routing_Link_Mapping!$A:$C,2,FALSE),"")</f>
        <v>108</v>
      </c>
      <c r="B25" s="6">
        <v>23</v>
      </c>
      <c r="C25" s="1">
        <v>7.2000000000000002E-5</v>
      </c>
      <c r="D25" s="1">
        <v>0</v>
      </c>
      <c r="E25" s="1">
        <v>2.4620000000000002E-3</v>
      </c>
      <c r="F25" s="1">
        <v>0.99761599999999995</v>
      </c>
      <c r="G25" s="1">
        <v>0</v>
      </c>
      <c r="H25" s="1">
        <v>0</v>
      </c>
      <c r="I25" s="1">
        <v>0</v>
      </c>
      <c r="J25" s="1">
        <v>5.1999999999999997E-5</v>
      </c>
      <c r="K25" s="1">
        <v>2.5000000000000001E-5</v>
      </c>
      <c r="L25" s="1">
        <v>0</v>
      </c>
      <c r="M25" s="1">
        <v>0</v>
      </c>
      <c r="N25" s="1">
        <v>0</v>
      </c>
      <c r="O25" s="1">
        <v>2.9E-5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1.6200000000000001E-4</v>
      </c>
      <c r="W25" s="1">
        <v>2.8E-5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5.0000000000000004E-6</v>
      </c>
      <c r="AE25" s="1">
        <v>2.9272879999999999</v>
      </c>
      <c r="AF25" s="1">
        <v>6.2869999999999995E-2</v>
      </c>
      <c r="AG25" s="1">
        <v>6.7999999999999999E-5</v>
      </c>
      <c r="AH25" s="1">
        <v>0</v>
      </c>
      <c r="AI25" s="1">
        <v>2.9979999999999998E-3</v>
      </c>
      <c r="AJ25" s="1">
        <v>1.8776000000000001E-2</v>
      </c>
    </row>
    <row r="26" spans="1:36" x14ac:dyDescent="0.25">
      <c r="A26" s="5">
        <f>IF(VLOOKUP(B26,Routing_Link_Mapping!$A:$C,2,FALSE)&lt;&gt;"",VLOOKUP(B26,Routing_Link_Mapping!$A:$C,2,FALSE),"")</f>
        <v>111</v>
      </c>
      <c r="B26" s="6">
        <v>24</v>
      </c>
      <c r="C26" s="1">
        <v>0</v>
      </c>
      <c r="D26" s="1">
        <v>0</v>
      </c>
      <c r="E26" s="1">
        <v>1.2999999999999999E-5</v>
      </c>
      <c r="F26" s="1">
        <v>2.9679890000000002</v>
      </c>
      <c r="G26" s="1">
        <v>0</v>
      </c>
      <c r="H26" s="1">
        <v>7.9999999999999996E-6</v>
      </c>
      <c r="I26" s="1">
        <v>0</v>
      </c>
      <c r="J26" s="1">
        <v>0</v>
      </c>
      <c r="K26" s="1">
        <v>9.9999999999999995E-7</v>
      </c>
      <c r="L26" s="1">
        <v>0</v>
      </c>
      <c r="M26" s="1">
        <v>0</v>
      </c>
      <c r="N26" s="1">
        <v>0</v>
      </c>
      <c r="O26" s="1">
        <v>9.9999999999999995E-7</v>
      </c>
      <c r="P26" s="1">
        <v>0</v>
      </c>
      <c r="Q26" s="1">
        <v>0</v>
      </c>
      <c r="R26" s="1">
        <v>3.0000000000000001E-6</v>
      </c>
      <c r="S26" s="1">
        <v>0</v>
      </c>
      <c r="T26" s="1">
        <v>0</v>
      </c>
      <c r="U26" s="1">
        <v>0</v>
      </c>
      <c r="V26" s="1">
        <v>9.9999999999999995E-7</v>
      </c>
      <c r="W26" s="1">
        <v>0</v>
      </c>
      <c r="X26" s="1">
        <v>0</v>
      </c>
      <c r="Y26" s="1">
        <v>2.0323999999999998E-2</v>
      </c>
      <c r="Z26" s="1">
        <v>0</v>
      </c>
      <c r="AA26" s="1">
        <v>0</v>
      </c>
      <c r="AB26" s="1">
        <v>9.9236000000000005E-2</v>
      </c>
      <c r="AC26" s="1">
        <v>0</v>
      </c>
      <c r="AD26" s="1">
        <v>0</v>
      </c>
      <c r="AE26" s="1">
        <v>0.55124499999999999</v>
      </c>
      <c r="AF26" s="1">
        <v>1.691E-3</v>
      </c>
      <c r="AG26" s="1">
        <v>1.9999999999999999E-6</v>
      </c>
      <c r="AH26" s="1">
        <v>0.37492300000000001</v>
      </c>
      <c r="AI26" s="1">
        <v>1.1310000000000001E-3</v>
      </c>
      <c r="AJ26" s="1">
        <v>6.5110000000000003E-3</v>
      </c>
    </row>
    <row r="27" spans="1:36" x14ac:dyDescent="0.25">
      <c r="A27" s="5">
        <f>IF(VLOOKUP(B27,Routing_Link_Mapping!$A:$C,2,FALSE)&lt;&gt;"",VLOOKUP(B27,Routing_Link_Mapping!$A:$C,2,FALSE),"")</f>
        <v>51</v>
      </c>
      <c r="B27" s="6">
        <v>25</v>
      </c>
      <c r="C27" s="1">
        <v>9.0643000000000001E-2</v>
      </c>
      <c r="D27" s="1">
        <v>9.6254999999999993E-2</v>
      </c>
      <c r="E27" s="1">
        <v>6.2135319999999998</v>
      </c>
      <c r="F27" s="1">
        <v>0</v>
      </c>
      <c r="G27" s="1">
        <v>0</v>
      </c>
      <c r="H27" s="1">
        <v>0</v>
      </c>
      <c r="I27" s="1">
        <v>9.2000000000000003E-4</v>
      </c>
      <c r="J27" s="1">
        <v>0.130081</v>
      </c>
      <c r="K27" s="1">
        <v>0.35361599999999999</v>
      </c>
      <c r="L27" s="1">
        <v>0</v>
      </c>
      <c r="M27" s="1">
        <v>0</v>
      </c>
      <c r="N27" s="1">
        <v>0.11164200000000001</v>
      </c>
      <c r="O27" s="1">
        <v>0.40355799999999997</v>
      </c>
      <c r="P27" s="1">
        <v>0</v>
      </c>
      <c r="Q27" s="1">
        <v>0</v>
      </c>
      <c r="R27" s="1">
        <v>0.47701199999999999</v>
      </c>
      <c r="S27" s="1">
        <v>0</v>
      </c>
      <c r="T27" s="1">
        <v>0</v>
      </c>
      <c r="U27" s="1">
        <v>0</v>
      </c>
      <c r="V27" s="1">
        <v>0.40821800000000003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9.2490000000000003E-3</v>
      </c>
      <c r="AF27" s="1">
        <v>0</v>
      </c>
      <c r="AG27" s="1">
        <v>0</v>
      </c>
      <c r="AH27" s="1">
        <v>2.2016999999999998E-2</v>
      </c>
      <c r="AI27" s="1">
        <v>0.67788199999999998</v>
      </c>
      <c r="AJ27" s="1">
        <v>2.3110000000000001E-3</v>
      </c>
    </row>
    <row r="28" spans="1:36" x14ac:dyDescent="0.25">
      <c r="A28" s="5">
        <f>IF(VLOOKUP(B28,Routing_Link_Mapping!$A:$C,2,FALSE)&lt;&gt;"",VLOOKUP(B28,Routing_Link_Mapping!$A:$C,2,FALSE),"")</f>
        <v>68</v>
      </c>
      <c r="B28" s="6">
        <v>26</v>
      </c>
      <c r="C28" s="1">
        <v>3.8431009999999999</v>
      </c>
      <c r="D28" s="1">
        <v>12.243112999999999</v>
      </c>
      <c r="E28" s="1">
        <v>79.032876000000002</v>
      </c>
      <c r="F28" s="1">
        <v>0</v>
      </c>
      <c r="G28" s="1">
        <v>0</v>
      </c>
      <c r="H28" s="1">
        <v>0</v>
      </c>
      <c r="I28" s="1">
        <v>0.471941</v>
      </c>
      <c r="J28" s="1">
        <v>2.7576010000000002</v>
      </c>
      <c r="K28" s="1">
        <v>13.629735999999999</v>
      </c>
      <c r="L28" s="1">
        <v>0</v>
      </c>
      <c r="M28" s="1">
        <v>0</v>
      </c>
      <c r="N28" s="1">
        <v>1.577804</v>
      </c>
      <c r="O28" s="1">
        <v>15.554705999999999</v>
      </c>
      <c r="P28" s="1">
        <v>0</v>
      </c>
      <c r="Q28" s="1">
        <v>0</v>
      </c>
      <c r="R28" s="1">
        <v>20.224473</v>
      </c>
      <c r="S28" s="1">
        <v>0</v>
      </c>
      <c r="T28" s="1">
        <v>0</v>
      </c>
      <c r="U28" s="1">
        <v>0</v>
      </c>
      <c r="V28" s="1">
        <v>5.1923159999999999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9.4859639999999992</v>
      </c>
      <c r="AF28" s="1">
        <v>0</v>
      </c>
      <c r="AG28" s="1">
        <v>0</v>
      </c>
      <c r="AH28" s="1">
        <v>129.090418</v>
      </c>
      <c r="AI28" s="1">
        <v>0.63029599999999997</v>
      </c>
      <c r="AJ28" s="1">
        <v>9.8359999999999993E-3</v>
      </c>
    </row>
    <row r="29" spans="1:36" x14ac:dyDescent="0.25">
      <c r="A29" s="5">
        <f>IF(VLOOKUP(B29,Routing_Link_Mapping!$A:$C,2,FALSE)&lt;&gt;"",VLOOKUP(B29,Routing_Link_Mapping!$A:$C,2,FALSE),"")</f>
        <v>69</v>
      </c>
      <c r="B29" s="6">
        <v>27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0.105235</v>
      </c>
      <c r="J29" s="1">
        <v>0</v>
      </c>
      <c r="K29" s="1">
        <v>2.3692999999999999E-2</v>
      </c>
      <c r="L29" s="1">
        <v>0</v>
      </c>
      <c r="M29" s="1">
        <v>0</v>
      </c>
      <c r="N29" s="1">
        <v>0</v>
      </c>
      <c r="O29" s="1">
        <v>2.7040000000000002E-2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1.2853760000000001</v>
      </c>
      <c r="AC29" s="1">
        <v>0</v>
      </c>
      <c r="AD29" s="1">
        <v>0</v>
      </c>
      <c r="AE29" s="1">
        <v>3.7016269999999998</v>
      </c>
      <c r="AF29" s="1">
        <v>0</v>
      </c>
      <c r="AG29" s="1">
        <v>0</v>
      </c>
      <c r="AH29" s="1">
        <v>4.8562799999999999</v>
      </c>
      <c r="AI29" s="1">
        <v>0.46394299999999999</v>
      </c>
      <c r="AJ29" s="1">
        <v>1.6490000000000001E-3</v>
      </c>
    </row>
    <row r="30" spans="1:36" x14ac:dyDescent="0.25">
      <c r="A30" s="5">
        <f>IF(VLOOKUP(B30,Routing_Link_Mapping!$A:$C,2,FALSE)&lt;&gt;"",VLOOKUP(B30,Routing_Link_Mapping!$A:$C,2,FALSE),"")</f>
        <v>72</v>
      </c>
      <c r="B30" s="6">
        <v>28</v>
      </c>
      <c r="C30" s="1">
        <v>2.5722999999999999E-2</v>
      </c>
      <c r="D30" s="1">
        <v>0</v>
      </c>
      <c r="E30" s="1">
        <v>0.70532899999999998</v>
      </c>
      <c r="F30" s="1">
        <v>0</v>
      </c>
      <c r="G30" s="1">
        <v>0.63985700000000001</v>
      </c>
      <c r="H30" s="1">
        <v>0.17394699999999999</v>
      </c>
      <c r="I30" s="1">
        <v>0</v>
      </c>
      <c r="J30" s="1">
        <v>0</v>
      </c>
      <c r="K30" s="1">
        <v>1.8245999999999998E-2</v>
      </c>
      <c r="L30" s="1">
        <v>0</v>
      </c>
      <c r="M30" s="1">
        <v>0</v>
      </c>
      <c r="N30" s="1">
        <v>0</v>
      </c>
      <c r="O30" s="1">
        <v>4.1645000000000001E-2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0.183029</v>
      </c>
      <c r="W30" s="1">
        <v>0.17243800000000001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9.1088000000000002E-2</v>
      </c>
      <c r="AF30" s="1">
        <v>0</v>
      </c>
      <c r="AG30" s="1">
        <v>0</v>
      </c>
      <c r="AH30" s="1">
        <v>0</v>
      </c>
      <c r="AI30" s="1">
        <v>4.8900000000000002E-3</v>
      </c>
      <c r="AJ30" s="1">
        <v>3.6216999999999999E-2</v>
      </c>
    </row>
    <row r="31" spans="1:36" x14ac:dyDescent="0.25">
      <c r="A31" s="5">
        <f>IF(VLOOKUP(B31,Routing_Link_Mapping!$A:$C,2,FALSE)&lt;&gt;"",VLOOKUP(B31,Routing_Link_Mapping!$A:$C,2,FALSE),"")</f>
        <v>77</v>
      </c>
      <c r="B31" s="6">
        <v>29</v>
      </c>
      <c r="C31" s="1">
        <v>0.36829200000000001</v>
      </c>
      <c r="D31" s="1">
        <v>0.11174099999999999</v>
      </c>
      <c r="E31" s="1">
        <v>3.2459500000000001</v>
      </c>
      <c r="F31" s="1">
        <v>0</v>
      </c>
      <c r="G31" s="1">
        <v>0</v>
      </c>
      <c r="H31" s="1">
        <v>0</v>
      </c>
      <c r="I31" s="1">
        <v>30.014071999999999</v>
      </c>
      <c r="J31" s="1">
        <v>5.6628999999999999E-2</v>
      </c>
      <c r="K31" s="1">
        <v>0.46648800000000001</v>
      </c>
      <c r="L31" s="1">
        <v>0</v>
      </c>
      <c r="M31" s="1">
        <v>0</v>
      </c>
      <c r="N31" s="1">
        <v>2.1600999999999999E-2</v>
      </c>
      <c r="O31" s="1">
        <v>0.17035900000000001</v>
      </c>
      <c r="P31" s="1">
        <v>0</v>
      </c>
      <c r="Q31" s="1">
        <v>0</v>
      </c>
      <c r="R31" s="1">
        <v>0.34609899999999999</v>
      </c>
      <c r="S31" s="1">
        <v>0</v>
      </c>
      <c r="T31" s="1">
        <v>0</v>
      </c>
      <c r="U31" s="1">
        <v>0</v>
      </c>
      <c r="V31" s="1">
        <v>0.213253</v>
      </c>
      <c r="W31" s="1">
        <v>0.35340500000000002</v>
      </c>
      <c r="X31" s="1">
        <v>15.657147</v>
      </c>
      <c r="Y31" s="1">
        <v>1.8089999999999998E-2</v>
      </c>
      <c r="Z31" s="1">
        <v>1.1211610000000001</v>
      </c>
      <c r="AA31" s="1">
        <v>0.11543299999999999</v>
      </c>
      <c r="AB31" s="1">
        <v>79.970883999999998</v>
      </c>
      <c r="AC31" s="1">
        <v>11.935083000000001</v>
      </c>
      <c r="AD31" s="1">
        <v>0.110453</v>
      </c>
      <c r="AE31" s="1">
        <v>0</v>
      </c>
      <c r="AF31" s="1">
        <v>3.0014439999999998</v>
      </c>
      <c r="AG31" s="1">
        <v>0</v>
      </c>
      <c r="AH31" s="1">
        <v>32.508524999999999</v>
      </c>
      <c r="AI31" s="1">
        <v>0.53847599999999995</v>
      </c>
      <c r="AJ31" s="1">
        <v>20.504152000000001</v>
      </c>
    </row>
    <row r="32" spans="1:36" x14ac:dyDescent="0.25">
      <c r="A32" s="5">
        <f>IF(VLOOKUP(B32,Routing_Link_Mapping!$A:$C,2,FALSE)&lt;&gt;"",VLOOKUP(B32,Routing_Link_Mapping!$A:$C,2,FALSE),"")</f>
        <v>183</v>
      </c>
      <c r="B32" s="6">
        <v>30</v>
      </c>
      <c r="C32" s="1">
        <v>0</v>
      </c>
      <c r="D32" s="1">
        <v>0</v>
      </c>
      <c r="E32" s="1">
        <v>6.4310000000000001E-3</v>
      </c>
      <c r="F32" s="1">
        <v>2.944E-3</v>
      </c>
      <c r="G32" s="1">
        <v>5.1699999999999999E-4</v>
      </c>
      <c r="H32" s="1">
        <v>0</v>
      </c>
      <c r="I32" s="1">
        <v>1.9832510000000001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1.27E-4</v>
      </c>
      <c r="P32" s="1">
        <v>0</v>
      </c>
      <c r="Q32" s="1">
        <v>0</v>
      </c>
      <c r="R32" s="1">
        <v>8.2299999999999995E-4</v>
      </c>
      <c r="S32" s="1">
        <v>0</v>
      </c>
      <c r="T32" s="1">
        <v>0</v>
      </c>
      <c r="U32" s="1">
        <v>0</v>
      </c>
      <c r="V32" s="1">
        <v>4.2299999999999998E-4</v>
      </c>
      <c r="W32" s="1">
        <v>0</v>
      </c>
      <c r="X32" s="1">
        <v>1.8613000000000001E-2</v>
      </c>
      <c r="Y32" s="1">
        <v>0</v>
      </c>
      <c r="Z32" s="1">
        <v>6.0599999999999998E-4</v>
      </c>
      <c r="AA32" s="1">
        <v>0</v>
      </c>
      <c r="AB32" s="1">
        <v>0</v>
      </c>
      <c r="AC32" s="1">
        <v>0</v>
      </c>
      <c r="AD32" s="1">
        <v>2.3E-5</v>
      </c>
      <c r="AE32" s="1">
        <v>4.9436000000000001E-2</v>
      </c>
      <c r="AF32" s="1">
        <v>0</v>
      </c>
      <c r="AG32" s="1">
        <v>2.9700000000000001E-4</v>
      </c>
      <c r="AH32" s="1">
        <v>0</v>
      </c>
      <c r="AI32" s="1">
        <v>0.26878099999999999</v>
      </c>
      <c r="AJ32" s="1">
        <v>0.69176099999999996</v>
      </c>
    </row>
    <row r="33" spans="1:36" x14ac:dyDescent="0.25">
      <c r="A33" s="5">
        <f>IF(VLOOKUP(B33,Routing_Link_Mapping!$A:$C,2,FALSE)&lt;&gt;"",VLOOKUP(B33,Routing_Link_Mapping!$A:$C,2,FALSE),"")</f>
        <v>130</v>
      </c>
      <c r="B33" s="6">
        <v>31</v>
      </c>
      <c r="C33" s="1">
        <v>0</v>
      </c>
      <c r="D33" s="1">
        <v>0</v>
      </c>
      <c r="E33" s="1">
        <v>1.7839929999999999</v>
      </c>
      <c r="F33" s="1">
        <v>0</v>
      </c>
      <c r="G33" s="1">
        <v>2.2905139999999999</v>
      </c>
      <c r="H33" s="1">
        <v>1.3382449999999999</v>
      </c>
      <c r="I33" s="1">
        <v>0</v>
      </c>
      <c r="J33" s="1">
        <v>0</v>
      </c>
      <c r="K33" s="1">
        <v>4.6149000000000003E-2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0.46293699999999999</v>
      </c>
      <c r="W33" s="1">
        <v>2.6168939999999998</v>
      </c>
      <c r="X33" s="1">
        <v>2.996105</v>
      </c>
      <c r="Y33" s="1">
        <v>2.4351999999999999E-2</v>
      </c>
      <c r="Z33" s="1">
        <v>0.22867100000000001</v>
      </c>
      <c r="AA33" s="1">
        <v>0</v>
      </c>
      <c r="AB33" s="1">
        <v>0.25806800000000002</v>
      </c>
      <c r="AC33" s="1">
        <v>0</v>
      </c>
      <c r="AD33" s="1">
        <v>0</v>
      </c>
      <c r="AE33" s="1">
        <v>0.102396</v>
      </c>
      <c r="AF33" s="1">
        <v>0</v>
      </c>
      <c r="AG33" s="1">
        <v>0</v>
      </c>
      <c r="AH33" s="1">
        <v>0.48750300000000002</v>
      </c>
      <c r="AI33" s="1">
        <v>1.334087</v>
      </c>
      <c r="AJ33" s="1">
        <v>2.7032E-2</v>
      </c>
    </row>
    <row r="34" spans="1:36" x14ac:dyDescent="0.25">
      <c r="A34" s="5">
        <f>IF(VLOOKUP(B34,Routing_Link_Mapping!$A:$C,2,FALSE)&lt;&gt;"",VLOOKUP(B34,Routing_Link_Mapping!$A:$C,2,FALSE),"")</f>
        <v>66</v>
      </c>
      <c r="B34" s="6">
        <v>32</v>
      </c>
      <c r="C34" s="1">
        <v>1.1631579999999999</v>
      </c>
      <c r="D34" s="1">
        <v>2.0586199999999999</v>
      </c>
      <c r="E34" s="1">
        <v>55.813777999999999</v>
      </c>
      <c r="F34" s="1">
        <v>1.2167410000000001</v>
      </c>
      <c r="G34" s="1">
        <v>0</v>
      </c>
      <c r="H34" s="1">
        <v>0</v>
      </c>
      <c r="I34" s="1">
        <v>0.38090200000000002</v>
      </c>
      <c r="J34" s="1">
        <v>5.7032290000000003</v>
      </c>
      <c r="K34" s="1">
        <v>15.125707999999999</v>
      </c>
      <c r="L34" s="1">
        <v>0</v>
      </c>
      <c r="M34" s="1">
        <v>0</v>
      </c>
      <c r="N34" s="1">
        <v>1.910161</v>
      </c>
      <c r="O34" s="1">
        <v>4.8647340000000003</v>
      </c>
      <c r="P34" s="1">
        <v>0</v>
      </c>
      <c r="Q34" s="1">
        <v>0</v>
      </c>
      <c r="R34" s="1">
        <v>14.792814</v>
      </c>
      <c r="S34" s="1">
        <v>0.21291299999999999</v>
      </c>
      <c r="T34" s="1">
        <v>0</v>
      </c>
      <c r="U34" s="1">
        <v>0</v>
      </c>
      <c r="V34" s="1">
        <v>3.6668639999999999</v>
      </c>
      <c r="W34" s="1">
        <v>0</v>
      </c>
      <c r="X34" s="1">
        <v>0</v>
      </c>
      <c r="Y34" s="1">
        <v>0</v>
      </c>
      <c r="Z34" s="1">
        <v>1.5022009999999999</v>
      </c>
      <c r="AA34" s="1">
        <v>0.85065000000000002</v>
      </c>
      <c r="AB34" s="1">
        <v>139.08579800000001</v>
      </c>
      <c r="AC34" s="1">
        <v>1.5429219999999999</v>
      </c>
      <c r="AD34" s="1">
        <v>2.9069999999999999E-2</v>
      </c>
      <c r="AE34" s="1">
        <v>4.3065509999999998</v>
      </c>
      <c r="AF34" s="1">
        <v>1.0277E-2</v>
      </c>
      <c r="AG34" s="1">
        <v>0</v>
      </c>
      <c r="AH34" s="1">
        <v>0</v>
      </c>
      <c r="AI34" s="1">
        <v>0.57654000000000005</v>
      </c>
      <c r="AJ34" s="1">
        <v>8.9879999999999995E-3</v>
      </c>
    </row>
    <row r="35" spans="1:36" x14ac:dyDescent="0.25">
      <c r="A35" s="5">
        <f>IF(VLOOKUP(B35,Routing_Link_Mapping!$A:$C,2,FALSE)&lt;&gt;"",VLOOKUP(B35,Routing_Link_Mapping!$A:$C,2,FALSE),"")</f>
        <v>191</v>
      </c>
      <c r="B35" s="6">
        <v>33</v>
      </c>
      <c r="C35" s="1">
        <v>4.1605000000000003E-2</v>
      </c>
      <c r="D35" s="1">
        <v>3.3411999999999997E-2</v>
      </c>
      <c r="E35" s="1">
        <v>2.9943000000000001E-2</v>
      </c>
      <c r="F35" s="1">
        <v>0</v>
      </c>
      <c r="G35" s="1">
        <v>2.3681000000000001E-2</v>
      </c>
      <c r="H35" s="1">
        <v>1.0437E-2</v>
      </c>
      <c r="I35" s="1">
        <v>0</v>
      </c>
      <c r="J35" s="1">
        <v>8.1541000000000002E-2</v>
      </c>
      <c r="K35" s="1">
        <v>5.9374999999999997E-2</v>
      </c>
      <c r="L35" s="1">
        <v>0</v>
      </c>
      <c r="M35" s="1">
        <v>0</v>
      </c>
      <c r="N35" s="1">
        <v>6.4936999999999995E-2</v>
      </c>
      <c r="O35" s="1">
        <v>6.2965999999999994E-2</v>
      </c>
      <c r="P35" s="1">
        <v>0</v>
      </c>
      <c r="Q35" s="1">
        <v>0</v>
      </c>
      <c r="R35" s="1">
        <v>4.4014999999999999E-2</v>
      </c>
      <c r="S35" s="1">
        <v>4.3262000000000002E-2</v>
      </c>
      <c r="T35" s="1">
        <v>2.6193999999999999E-2</v>
      </c>
      <c r="U35" s="1">
        <v>4.0903000000000002E-2</v>
      </c>
      <c r="V35" s="1">
        <v>2.5284000000000001E-2</v>
      </c>
      <c r="W35" s="1">
        <v>2.4389999999999998E-2</v>
      </c>
      <c r="X35" s="1">
        <v>2.2589000000000001E-2</v>
      </c>
      <c r="Y35" s="1">
        <v>4.1852E-2</v>
      </c>
      <c r="Z35" s="1">
        <v>4.5705999999999997E-2</v>
      </c>
      <c r="AA35" s="1">
        <v>4.9285000000000002E-2</v>
      </c>
      <c r="AB35" s="1">
        <v>5.1970000000000002E-2</v>
      </c>
      <c r="AC35" s="1">
        <v>4.505E-2</v>
      </c>
      <c r="AD35" s="1">
        <v>6.6309999999999997E-3</v>
      </c>
      <c r="AE35" s="1">
        <v>5.1221999999999997E-2</v>
      </c>
      <c r="AF35" s="1">
        <v>1.3798E-2</v>
      </c>
      <c r="AG35" s="1">
        <v>1.8165000000000001E-2</v>
      </c>
      <c r="AH35" s="1">
        <v>5.0978000000000002E-2</v>
      </c>
      <c r="AI35" s="1">
        <v>0</v>
      </c>
      <c r="AJ35" s="1">
        <v>1.9710000000000001E-3</v>
      </c>
    </row>
    <row r="36" spans="1:36" x14ac:dyDescent="0.25">
      <c r="A36" s="5">
        <f>IF(VLOOKUP(B36,Routing_Link_Mapping!$A:$C,2,FALSE)&lt;&gt;"",VLOOKUP(B36,Routing_Link_Mapping!$A:$C,2,FALSE),"")</f>
        <v>185</v>
      </c>
      <c r="B36" s="6">
        <v>34</v>
      </c>
      <c r="C36" s="1">
        <v>1.3608E-2</v>
      </c>
      <c r="D36" s="1">
        <v>1.0928E-2</v>
      </c>
      <c r="E36" s="1">
        <v>9.7929999999999996E-3</v>
      </c>
      <c r="F36" s="1">
        <v>3.2037000000000003E-2</v>
      </c>
      <c r="G36" s="1">
        <v>0</v>
      </c>
      <c r="H36" s="1">
        <v>0</v>
      </c>
      <c r="I36" s="1">
        <v>7.5360050000000003</v>
      </c>
      <c r="J36" s="1">
        <v>8.1241999999999995E-2</v>
      </c>
      <c r="K36" s="1">
        <v>5.9133999999999999E-2</v>
      </c>
      <c r="L36" s="1">
        <v>0</v>
      </c>
      <c r="M36" s="1">
        <v>0</v>
      </c>
      <c r="N36" s="1">
        <v>6.4823000000000006E-2</v>
      </c>
      <c r="O36" s="1">
        <v>6.2810000000000005E-2</v>
      </c>
      <c r="P36" s="1">
        <v>0</v>
      </c>
      <c r="Q36" s="1">
        <v>0</v>
      </c>
      <c r="R36" s="1">
        <v>3.6587000000000001E-2</v>
      </c>
      <c r="S36" s="1">
        <v>3.9738999999999997E-2</v>
      </c>
      <c r="T36" s="1">
        <v>3.3464000000000001E-2</v>
      </c>
      <c r="U36" s="1">
        <v>4.7343999999999997E-2</v>
      </c>
      <c r="V36" s="1">
        <v>4.0411999999999997E-2</v>
      </c>
      <c r="W36" s="1">
        <v>4.4674999999999999E-2</v>
      </c>
      <c r="X36" s="1">
        <v>5.5102999999999999E-2</v>
      </c>
      <c r="Y36" s="1">
        <v>7.0549000000000001E-2</v>
      </c>
      <c r="Z36" s="1">
        <v>6.4343999999999998E-2</v>
      </c>
      <c r="AA36" s="1">
        <v>3.9184999999999998E-2</v>
      </c>
      <c r="AB36" s="1">
        <v>3.9004999999999998E-2</v>
      </c>
      <c r="AC36" s="1">
        <v>0.204703</v>
      </c>
      <c r="AD36" s="1">
        <v>4.4900000000000002E-2</v>
      </c>
      <c r="AE36" s="1">
        <v>8.8636529999999993</v>
      </c>
      <c r="AF36" s="1">
        <v>2.486157</v>
      </c>
      <c r="AG36" s="1">
        <v>3.7033999999999997E-2</v>
      </c>
      <c r="AH36" s="1">
        <v>3.8241999999999998E-2</v>
      </c>
      <c r="AI36" s="1">
        <v>2.7792000000000001E-2</v>
      </c>
      <c r="AJ36" s="1">
        <v>0</v>
      </c>
    </row>
    <row r="37" spans="1:36" x14ac:dyDescent="0.25">
      <c r="A37" s="11"/>
    </row>
    <row r="38" spans="1:36" x14ac:dyDescent="0.25">
      <c r="A38" s="11"/>
    </row>
    <row r="39" spans="1:36" x14ac:dyDescent="0.25">
      <c r="A39" s="11"/>
    </row>
    <row r="40" spans="1:36" x14ac:dyDescent="0.25">
      <c r="A40" s="11"/>
    </row>
    <row r="41" spans="1:36" x14ac:dyDescent="0.25">
      <c r="A41" s="11"/>
    </row>
    <row r="42" spans="1:36" x14ac:dyDescent="0.25">
      <c r="A42" s="11"/>
    </row>
    <row r="43" spans="1:36" x14ac:dyDescent="0.25">
      <c r="A43" s="11"/>
    </row>
    <row r="44" spans="1:36" x14ac:dyDescent="0.25">
      <c r="A44" s="11"/>
    </row>
    <row r="45" spans="1:36" x14ac:dyDescent="0.25">
      <c r="A45" s="11"/>
    </row>
    <row r="46" spans="1:36" x14ac:dyDescent="0.25">
      <c r="A46" s="11"/>
    </row>
    <row r="47" spans="1:36" x14ac:dyDescent="0.25">
      <c r="A47" s="11"/>
    </row>
    <row r="48" spans="1:36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D52B0-5878-43A9-ADE6-F019880CF560}">
  <sheetPr codeName="Sheet16">
    <tabColor rgb="FF00B0F0"/>
  </sheetPr>
  <dimension ref="A1:GH190"/>
  <sheetViews>
    <sheetView workbookViewId="0">
      <selection activeCell="C3" sqref="C3:AJ36"/>
    </sheetView>
  </sheetViews>
  <sheetFormatPr defaultRowHeight="15" x14ac:dyDescent="0.25"/>
  <cols>
    <col min="1" max="2" width="9.140625" style="2"/>
    <col min="3" max="4" width="9.5703125" bestFit="1" customWidth="1"/>
    <col min="5" max="5" width="10.5703125" bestFit="1" customWidth="1"/>
    <col min="6" max="10" width="9.5703125" bestFit="1" customWidth="1"/>
    <col min="11" max="11" width="10.5703125" bestFit="1" customWidth="1"/>
    <col min="12" max="14" width="9.5703125" bestFit="1" customWidth="1"/>
    <col min="15" max="15" width="10.5703125" bestFit="1" customWidth="1"/>
    <col min="16" max="21" width="9.5703125" bestFit="1" customWidth="1"/>
    <col min="22" max="22" width="10.5703125" bestFit="1" customWidth="1"/>
    <col min="23" max="27" width="9.5703125" bestFit="1" customWidth="1"/>
    <col min="28" max="28" width="10.5703125" bestFit="1" customWidth="1"/>
    <col min="29" max="36" width="9.5703125" bestFit="1" customWidth="1"/>
  </cols>
  <sheetData>
    <row r="1" spans="1:190" s="2" customFormat="1" x14ac:dyDescent="0.25">
      <c r="A1" s="5">
        <v>200</v>
      </c>
      <c r="B1" s="5">
        <v>1</v>
      </c>
      <c r="C1" s="5">
        <f>IF(VLOOKUP(C2,Routing_Link_Mapping!$A:$C,3,FALSE)&lt;&gt;"",VLOOKUP(C2,Routing_Link_Mapping!$A:$C,3,FALSE),"")</f>
        <v>164</v>
      </c>
      <c r="D1" s="5">
        <f>IF(VLOOKUP(D2,Routing_Link_Mapping!$A:$C,3,FALSE)&lt;&gt;"",VLOOKUP(D2,Routing_Link_Mapping!$A:$C,3,FALSE),"")</f>
        <v>166</v>
      </c>
      <c r="E1" s="5">
        <f>IF(VLOOKUP(E2,Routing_Link_Mapping!$A:$C,3,FALSE)&lt;&gt;"",VLOOKUP(E2,Routing_Link_Mapping!$A:$C,3,FALSE),"")</f>
        <v>160</v>
      </c>
      <c r="F1" s="5">
        <f>IF(VLOOKUP(F2,Routing_Link_Mapping!$A:$C,3,FALSE)&lt;&gt;"",VLOOKUP(F2,Routing_Link_Mapping!$A:$C,3,FALSE),"")</f>
        <v>87</v>
      </c>
      <c r="G1" s="5">
        <f>IF(VLOOKUP(G2,Routing_Link_Mapping!$A:$C,3,FALSE)&lt;&gt;"",VLOOKUP(G2,Routing_Link_Mapping!$A:$C,3,FALSE),"")</f>
        <v>86</v>
      </c>
      <c r="H1" s="5">
        <f>IF(VLOOKUP(H2,Routing_Link_Mapping!$A:$C,3,FALSE)&lt;&gt;"",VLOOKUP(H2,Routing_Link_Mapping!$A:$C,3,FALSE),"")</f>
        <v>79</v>
      </c>
      <c r="I1" s="5">
        <f>IF(VLOOKUP(I2,Routing_Link_Mapping!$A:$C,3,FALSE)&lt;&gt;"",VLOOKUP(I2,Routing_Link_Mapping!$A:$C,3,FALSE),"")</f>
        <v>80</v>
      </c>
      <c r="J1" s="5">
        <f>IF(VLOOKUP(J2,Routing_Link_Mapping!$A:$C,3,FALSE)&lt;&gt;"",VLOOKUP(J2,Routing_Link_Mapping!$A:$C,3,FALSE),"")</f>
        <v>138</v>
      </c>
      <c r="K1" s="5">
        <f>IF(VLOOKUP(K2,Routing_Link_Mapping!$A:$C,3,FALSE)&lt;&gt;"",VLOOKUP(K2,Routing_Link_Mapping!$A:$C,3,FALSE),"")</f>
        <v>142</v>
      </c>
      <c r="L1" s="5" t="str">
        <f>IF(VLOOKUP(L2,Routing_Link_Mapping!$A:$C,3,FALSE)&lt;&gt;"",VLOOKUP(L2,Routing_Link_Mapping!$A:$C,3,FALSE),"")</f>
        <v/>
      </c>
      <c r="M1" s="5" t="str">
        <f>IF(VLOOKUP(M2,Routing_Link_Mapping!$A:$C,3,FALSE)&lt;&gt;"",VLOOKUP(M2,Routing_Link_Mapping!$A:$C,3,FALSE),"")</f>
        <v/>
      </c>
      <c r="N1" s="5">
        <f>IF(VLOOKUP(N2,Routing_Link_Mapping!$A:$C,3,FALSE)&lt;&gt;"",VLOOKUP(N2,Routing_Link_Mapping!$A:$C,3,FALSE),"")</f>
        <v>175</v>
      </c>
      <c r="O1" s="5">
        <f>IF(VLOOKUP(O2,Routing_Link_Mapping!$A:$C,3,FALSE)&lt;&gt;"",VLOOKUP(O2,Routing_Link_Mapping!$A:$C,3,FALSE),"")</f>
        <v>177</v>
      </c>
      <c r="P1" s="5" t="str">
        <f>IF(VLOOKUP(P2,Routing_Link_Mapping!$A:$C,3,FALSE)&lt;&gt;"",VLOOKUP(P2,Routing_Link_Mapping!$A:$C,3,FALSE),"")</f>
        <v/>
      </c>
      <c r="Q1" s="5" t="str">
        <f>IF(VLOOKUP(Q2,Routing_Link_Mapping!$A:$C,3,FALSE)&lt;&gt;"",VLOOKUP(Q2,Routing_Link_Mapping!$A:$C,3,FALSE),"")</f>
        <v/>
      </c>
      <c r="R1" s="5">
        <f>IF(VLOOKUP(R2,Routing_Link_Mapping!$A:$C,3,FALSE)&lt;&gt;"",VLOOKUP(R2,Routing_Link_Mapping!$A:$C,3,FALSE),"")</f>
        <v>126</v>
      </c>
      <c r="S1" s="5">
        <f>IF(VLOOKUP(S2,Routing_Link_Mapping!$A:$C,3,FALSE)&lt;&gt;"",VLOOKUP(S2,Routing_Link_Mapping!$A:$C,3,FALSE),"")</f>
        <v>124</v>
      </c>
      <c r="T1" s="5">
        <f>IF(VLOOKUP(T2,Routing_Link_Mapping!$A:$C,3,FALSE)&lt;&gt;"",VLOOKUP(T2,Routing_Link_Mapping!$A:$C,3,FALSE),"")</f>
        <v>114</v>
      </c>
      <c r="U1" s="5">
        <f>IF(VLOOKUP(U2,Routing_Link_Mapping!$A:$C,3,FALSE)&lt;&gt;"",VLOOKUP(U2,Routing_Link_Mapping!$A:$C,3,FALSE),"")</f>
        <v>102</v>
      </c>
      <c r="V1" s="5">
        <f>IF(VLOOKUP(V2,Routing_Link_Mapping!$A:$C,3,FALSE)&lt;&gt;"",VLOOKUP(V2,Routing_Link_Mapping!$A:$C,3,FALSE),"")</f>
        <v>103</v>
      </c>
      <c r="W1" s="5">
        <f>IF(VLOOKUP(W2,Routing_Link_Mapping!$A:$C,3,FALSE)&lt;&gt;"",VLOOKUP(W2,Routing_Link_Mapping!$A:$C,3,FALSE),"")</f>
        <v>96</v>
      </c>
      <c r="X1" s="5">
        <f>IF(VLOOKUP(X2,Routing_Link_Mapping!$A:$C,3,FALSE)&lt;&gt;"",VLOOKUP(X2,Routing_Link_Mapping!$A:$C,3,FALSE),"")</f>
        <v>128</v>
      </c>
      <c r="Y1" s="5">
        <f>IF(VLOOKUP(Y2,Routing_Link_Mapping!$A:$C,3,FALSE)&lt;&gt;"",VLOOKUP(Y2,Routing_Link_Mapping!$A:$C,3,FALSE),"")</f>
        <v>107</v>
      </c>
      <c r="Z1" s="5">
        <f>IF(VLOOKUP(Z2,Routing_Link_Mapping!$A:$C,3,FALSE)&lt;&gt;"",VLOOKUP(Z2,Routing_Link_Mapping!$A:$C,3,FALSE),"")</f>
        <v>112</v>
      </c>
      <c r="AA1" s="5">
        <f>IF(VLOOKUP(AA2,Routing_Link_Mapping!$A:$C,3,FALSE)&lt;&gt;"",VLOOKUP(AA2,Routing_Link_Mapping!$A:$C,3,FALSE),"")</f>
        <v>52</v>
      </c>
      <c r="AB1" s="5">
        <f>IF(VLOOKUP(AB2,Routing_Link_Mapping!$A:$C,3,FALSE)&lt;&gt;"",VLOOKUP(AB2,Routing_Link_Mapping!$A:$C,3,FALSE),"")</f>
        <v>67</v>
      </c>
      <c r="AC1" s="5">
        <f>IF(VLOOKUP(AC2,Routing_Link_Mapping!$A:$C,3,FALSE)&lt;&gt;"",VLOOKUP(AC2,Routing_Link_Mapping!$A:$C,3,FALSE),"")</f>
        <v>70</v>
      </c>
      <c r="AD1" s="5">
        <f>IF(VLOOKUP(AD2,Routing_Link_Mapping!$A:$C,3,FALSE)&lt;&gt;"",VLOOKUP(AD2,Routing_Link_Mapping!$A:$C,3,FALSE),"")</f>
        <v>82</v>
      </c>
      <c r="AE1" s="5">
        <f>IF(VLOOKUP(AE2,Routing_Link_Mapping!$A:$C,3,FALSE)&lt;&gt;"",VLOOKUP(AE2,Routing_Link_Mapping!$A:$C,3,FALSE),"")</f>
        <v>76</v>
      </c>
      <c r="AF1" s="5">
        <f>IF(VLOOKUP(AF2,Routing_Link_Mapping!$A:$C,3,FALSE)&lt;&gt;"",VLOOKUP(AF2,Routing_Link_Mapping!$A:$C,3,FALSE),"")</f>
        <v>184</v>
      </c>
      <c r="AG1" s="5">
        <f>IF(VLOOKUP(AG2,Routing_Link_Mapping!$A:$C,3,FALSE)&lt;&gt;"",VLOOKUP(AG2,Routing_Link_Mapping!$A:$C,3,FALSE),"")</f>
        <v>131</v>
      </c>
      <c r="AH1" s="5">
        <f>IF(VLOOKUP(AH2,Routing_Link_Mapping!$A:$C,3,FALSE)&lt;&gt;"",VLOOKUP(AH2,Routing_Link_Mapping!$A:$C,3,FALSE),"")</f>
        <v>65</v>
      </c>
      <c r="AI1" s="5">
        <f>IF(VLOOKUP(AI2,Routing_Link_Mapping!$A:$C,3,FALSE)&lt;&gt;"",VLOOKUP(AI2,Routing_Link_Mapping!$A:$C,3,FALSE),"")</f>
        <v>192</v>
      </c>
      <c r="AJ1" s="5">
        <f>IF(VLOOKUP(AJ2,Routing_Link_Mapping!$A:$C,3,FALSE)&lt;&gt;"",VLOOKUP(AJ2,Routing_Link_Mapping!$A:$C,3,FALSE),"")</f>
        <v>186</v>
      </c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</row>
    <row r="2" spans="1:190" s="2" customFormat="1" x14ac:dyDescent="0.25">
      <c r="A2" s="5"/>
      <c r="B2" s="5">
        <v>6</v>
      </c>
      <c r="C2" s="7">
        <v>1</v>
      </c>
      <c r="D2" s="6">
        <v>2</v>
      </c>
      <c r="E2" s="6">
        <v>3</v>
      </c>
      <c r="F2" s="6">
        <v>4</v>
      </c>
      <c r="G2" s="6">
        <v>5</v>
      </c>
      <c r="H2" s="6">
        <v>6</v>
      </c>
      <c r="I2" s="6">
        <v>7</v>
      </c>
      <c r="J2" s="6">
        <v>8</v>
      </c>
      <c r="K2" s="6">
        <v>9</v>
      </c>
      <c r="L2" s="6">
        <v>10</v>
      </c>
      <c r="M2" s="6">
        <v>11</v>
      </c>
      <c r="N2" s="6">
        <v>12</v>
      </c>
      <c r="O2" s="6">
        <v>13</v>
      </c>
      <c r="P2" s="6">
        <v>14</v>
      </c>
      <c r="Q2" s="6">
        <v>15</v>
      </c>
      <c r="R2" s="6">
        <v>16</v>
      </c>
      <c r="S2" s="6">
        <v>17</v>
      </c>
      <c r="T2" s="6">
        <v>18</v>
      </c>
      <c r="U2" s="6">
        <v>19</v>
      </c>
      <c r="V2" s="6">
        <v>20</v>
      </c>
      <c r="W2" s="6">
        <v>21</v>
      </c>
      <c r="X2" s="6">
        <v>22</v>
      </c>
      <c r="Y2" s="6">
        <v>23</v>
      </c>
      <c r="Z2" s="6">
        <v>24</v>
      </c>
      <c r="AA2" s="6">
        <v>25</v>
      </c>
      <c r="AB2" s="6">
        <v>26</v>
      </c>
      <c r="AC2" s="6">
        <v>27</v>
      </c>
      <c r="AD2" s="6">
        <v>28</v>
      </c>
      <c r="AE2" s="6">
        <v>29</v>
      </c>
      <c r="AF2" s="6">
        <v>30</v>
      </c>
      <c r="AG2" s="6">
        <v>31</v>
      </c>
      <c r="AH2" s="6">
        <v>32</v>
      </c>
      <c r="AI2" s="6">
        <v>33</v>
      </c>
      <c r="AJ2" s="6">
        <v>34</v>
      </c>
    </row>
    <row r="3" spans="1:190" x14ac:dyDescent="0.25">
      <c r="A3" s="5">
        <f>IF(VLOOKUP(B3,Routing_Link_Mapping!$A:$C,2,FALSE)&lt;&gt;"",VLOOKUP(B3,Routing_Link_Mapping!$A:$C,2,FALSE),"")</f>
        <v>165</v>
      </c>
      <c r="B3" s="7">
        <v>1</v>
      </c>
      <c r="C3" s="1">
        <v>0</v>
      </c>
      <c r="D3" s="1">
        <v>7.143E-3</v>
      </c>
      <c r="E3" s="1">
        <v>5.9591390000000004</v>
      </c>
      <c r="F3" s="1">
        <v>0</v>
      </c>
      <c r="G3" s="1">
        <v>3.57E-4</v>
      </c>
      <c r="H3" s="1">
        <v>1.8E-5</v>
      </c>
      <c r="I3" s="1">
        <v>2.1905000000000001E-2</v>
      </c>
      <c r="J3" s="1">
        <v>6.3395999999999994E-2</v>
      </c>
      <c r="K3" s="1">
        <v>0.80068099999999998</v>
      </c>
      <c r="L3" s="1">
        <v>0</v>
      </c>
      <c r="M3" s="1">
        <v>0</v>
      </c>
      <c r="N3" s="1">
        <v>0.281246</v>
      </c>
      <c r="O3" s="1">
        <v>2.085804</v>
      </c>
      <c r="P3" s="1">
        <v>0</v>
      </c>
      <c r="Q3" s="1">
        <v>0</v>
      </c>
      <c r="R3" s="1">
        <v>3.4172000000000001E-2</v>
      </c>
      <c r="S3" s="1">
        <v>0</v>
      </c>
      <c r="T3" s="1">
        <v>0</v>
      </c>
      <c r="U3" s="1">
        <v>0</v>
      </c>
      <c r="V3" s="1">
        <v>3.1143719999999999</v>
      </c>
      <c r="W3" s="1">
        <v>1.9999999999999999E-6</v>
      </c>
      <c r="X3" s="1">
        <v>0</v>
      </c>
      <c r="Y3" s="1">
        <v>0</v>
      </c>
      <c r="Z3" s="1">
        <v>0</v>
      </c>
      <c r="AA3" s="1">
        <v>0</v>
      </c>
      <c r="AB3" s="1">
        <v>9.7824999999999995E-2</v>
      </c>
      <c r="AC3" s="1">
        <v>0</v>
      </c>
      <c r="AD3" s="1">
        <v>9.9999999999999995E-7</v>
      </c>
      <c r="AE3" s="1">
        <v>0.13978699999999999</v>
      </c>
      <c r="AF3" s="1">
        <v>0</v>
      </c>
      <c r="AG3" s="1">
        <v>0</v>
      </c>
      <c r="AH3" s="1">
        <v>0.300284</v>
      </c>
      <c r="AI3" s="1">
        <v>5.0000000000000004E-6</v>
      </c>
      <c r="AJ3" s="1">
        <v>0</v>
      </c>
    </row>
    <row r="4" spans="1:190" x14ac:dyDescent="0.25">
      <c r="A4" s="5">
        <f>IF(VLOOKUP(B4,Routing_Link_Mapping!$A:$C,2,FALSE)&lt;&gt;"",VLOOKUP(B4,Routing_Link_Mapping!$A:$C,2,FALSE),"")</f>
        <v>168</v>
      </c>
      <c r="B4" s="6">
        <v>2</v>
      </c>
      <c r="C4" s="1">
        <v>6.7242999999999997E-2</v>
      </c>
      <c r="D4" s="1">
        <v>0</v>
      </c>
      <c r="E4" s="1">
        <v>2.9633099999999999</v>
      </c>
      <c r="F4" s="1">
        <v>0</v>
      </c>
      <c r="G4" s="1">
        <v>0</v>
      </c>
      <c r="H4" s="1">
        <v>0</v>
      </c>
      <c r="I4" s="1">
        <v>0</v>
      </c>
      <c r="J4" s="1">
        <v>0.223773</v>
      </c>
      <c r="K4" s="1">
        <v>1.337072</v>
      </c>
      <c r="L4" s="1">
        <v>0</v>
      </c>
      <c r="M4" s="1">
        <v>0</v>
      </c>
      <c r="N4" s="1">
        <v>7.5839999999999996E-3</v>
      </c>
      <c r="O4" s="1">
        <v>0.260768</v>
      </c>
      <c r="P4" s="1">
        <v>0</v>
      </c>
      <c r="Q4" s="1">
        <v>0</v>
      </c>
      <c r="R4" s="1">
        <v>4.6995000000000002E-2</v>
      </c>
      <c r="S4" s="1">
        <v>0</v>
      </c>
      <c r="T4" s="1">
        <v>0</v>
      </c>
      <c r="U4" s="1">
        <v>0</v>
      </c>
      <c r="V4" s="1">
        <v>0.61773599999999995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0.31390699999999999</v>
      </c>
      <c r="AC4" s="1">
        <v>0</v>
      </c>
      <c r="AD4" s="1">
        <v>0</v>
      </c>
      <c r="AE4" s="1">
        <v>1.2815999999999999E-2</v>
      </c>
      <c r="AF4" s="1">
        <v>0</v>
      </c>
      <c r="AG4" s="1">
        <v>0</v>
      </c>
      <c r="AH4" s="1">
        <v>0.137653</v>
      </c>
      <c r="AI4" s="1">
        <v>3.0000000000000001E-6</v>
      </c>
      <c r="AJ4" s="1">
        <v>0</v>
      </c>
    </row>
    <row r="5" spans="1:190" x14ac:dyDescent="0.25">
      <c r="A5" s="5">
        <f>IF(VLOOKUP(B5,Routing_Link_Mapping!$A:$C,2,FALSE)&lt;&gt;"",VLOOKUP(B5,Routing_Link_Mapping!$A:$C,2,FALSE),"")</f>
        <v>161</v>
      </c>
      <c r="B5" s="6">
        <v>3</v>
      </c>
      <c r="C5" s="1">
        <v>6.9634299999999998</v>
      </c>
      <c r="D5" s="1">
        <v>5.0209999999999998E-2</v>
      </c>
      <c r="E5" s="1">
        <v>0</v>
      </c>
      <c r="F5" s="1">
        <v>0</v>
      </c>
      <c r="G5" s="1">
        <v>1.4139999999999999E-3</v>
      </c>
      <c r="H5" s="1">
        <v>9.7999999999999997E-5</v>
      </c>
      <c r="I5" s="1">
        <v>0.12288200000000001</v>
      </c>
      <c r="J5" s="1">
        <v>1.058538</v>
      </c>
      <c r="K5" s="1">
        <v>9.6877610000000001</v>
      </c>
      <c r="L5" s="1">
        <v>0</v>
      </c>
      <c r="M5" s="1">
        <v>0</v>
      </c>
      <c r="N5" s="1">
        <v>0.57867599999999997</v>
      </c>
      <c r="O5" s="1">
        <v>3.7073330000000002</v>
      </c>
      <c r="P5" s="1">
        <v>0</v>
      </c>
      <c r="Q5" s="1">
        <v>0</v>
      </c>
      <c r="R5" s="1">
        <v>0.81189800000000001</v>
      </c>
      <c r="S5" s="1">
        <v>0</v>
      </c>
      <c r="T5" s="1">
        <v>0.74332399999999998</v>
      </c>
      <c r="U5" s="1">
        <v>8.0685999999999994E-2</v>
      </c>
      <c r="V5" s="1">
        <v>22.332533000000002</v>
      </c>
      <c r="W5" s="1">
        <v>1.9000000000000001E-5</v>
      </c>
      <c r="X5" s="1">
        <v>2.8400000000000001E-3</v>
      </c>
      <c r="Y5" s="1">
        <v>0</v>
      </c>
      <c r="Z5" s="1">
        <v>0</v>
      </c>
      <c r="AA5" s="1">
        <v>0</v>
      </c>
      <c r="AB5" s="1">
        <v>5.5522720000000003</v>
      </c>
      <c r="AC5" s="1">
        <v>0</v>
      </c>
      <c r="AD5" s="1">
        <v>3.9999999999999998E-6</v>
      </c>
      <c r="AE5" s="1">
        <v>0.24724299999999999</v>
      </c>
      <c r="AF5" s="1">
        <v>0</v>
      </c>
      <c r="AG5" s="1">
        <v>1.3200000000000001E-4</v>
      </c>
      <c r="AH5" s="1">
        <v>6.638954</v>
      </c>
      <c r="AI5" s="1">
        <v>3.0000000000000001E-6</v>
      </c>
      <c r="AJ5" s="1">
        <v>0</v>
      </c>
    </row>
    <row r="6" spans="1:190" x14ac:dyDescent="0.25">
      <c r="A6" s="5">
        <f>IF(VLOOKUP(B6,Routing_Link_Mapping!$A:$C,2,FALSE)&lt;&gt;"",VLOOKUP(B6,Routing_Link_Mapping!$A:$C,2,FALSE),"")</f>
        <v>86</v>
      </c>
      <c r="B6" s="6">
        <v>4</v>
      </c>
      <c r="C6" s="1">
        <v>0.15443599999999999</v>
      </c>
      <c r="D6" s="1">
        <v>0</v>
      </c>
      <c r="E6" s="1">
        <v>0.53768499999999997</v>
      </c>
      <c r="F6" s="1">
        <v>0</v>
      </c>
      <c r="G6" s="1">
        <v>0</v>
      </c>
      <c r="H6" s="1">
        <v>0</v>
      </c>
      <c r="I6" s="1">
        <v>0</v>
      </c>
      <c r="J6" s="1">
        <v>9.2320000000000006E-3</v>
      </c>
      <c r="K6" s="1">
        <v>8.3452999999999999E-2</v>
      </c>
      <c r="L6" s="1">
        <v>0</v>
      </c>
      <c r="M6" s="1">
        <v>0</v>
      </c>
      <c r="N6" s="1">
        <v>0</v>
      </c>
      <c r="O6" s="1">
        <v>0.11296299999999999</v>
      </c>
      <c r="P6" s="1">
        <v>0</v>
      </c>
      <c r="Q6" s="1">
        <v>0</v>
      </c>
      <c r="R6" s="1">
        <v>3.2321999999999997E-2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4.2602000000000001E-2</v>
      </c>
      <c r="Z6" s="1">
        <v>3.4069000000000002E-2</v>
      </c>
      <c r="AA6" s="1">
        <v>0</v>
      </c>
      <c r="AB6" s="1">
        <v>6.0419999999999996E-3</v>
      </c>
      <c r="AC6" s="1">
        <v>0</v>
      </c>
      <c r="AD6" s="1">
        <v>9.9999999999999995E-7</v>
      </c>
      <c r="AE6" s="1">
        <v>0</v>
      </c>
      <c r="AF6" s="1">
        <v>0</v>
      </c>
      <c r="AG6" s="1">
        <v>0</v>
      </c>
      <c r="AH6" s="1">
        <v>0</v>
      </c>
      <c r="AI6" s="1">
        <v>7.9799999999999999E-4</v>
      </c>
      <c r="AJ6" s="1">
        <v>0</v>
      </c>
    </row>
    <row r="7" spans="1:190" x14ac:dyDescent="0.25">
      <c r="A7" s="5">
        <f>IF(VLOOKUP(B7,Routing_Link_Mapping!$A:$C,2,FALSE)&lt;&gt;"",VLOOKUP(B7,Routing_Link_Mapping!$A:$C,2,FALSE),"")</f>
        <v>87</v>
      </c>
      <c r="B7" s="6">
        <v>5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1.051871</v>
      </c>
      <c r="I7" s="1">
        <v>0</v>
      </c>
      <c r="J7" s="1">
        <v>4.0200000000000001E-4</v>
      </c>
      <c r="K7" s="1">
        <v>3.6219999999999998E-3</v>
      </c>
      <c r="L7" s="1">
        <v>0</v>
      </c>
      <c r="M7" s="1">
        <v>0</v>
      </c>
      <c r="N7" s="1">
        <v>0</v>
      </c>
      <c r="O7" s="1">
        <v>4.9040000000000004E-3</v>
      </c>
      <c r="P7" s="1">
        <v>0</v>
      </c>
      <c r="Q7" s="1">
        <v>0</v>
      </c>
      <c r="R7" s="1">
        <v>1.124E-3</v>
      </c>
      <c r="S7" s="1">
        <v>0</v>
      </c>
      <c r="T7" s="1">
        <v>0</v>
      </c>
      <c r="U7" s="1">
        <v>0</v>
      </c>
      <c r="V7" s="1">
        <v>1.5989999999999999E-3</v>
      </c>
      <c r="W7" s="1">
        <v>4.7699999999999999E-4</v>
      </c>
      <c r="X7" s="1">
        <v>0</v>
      </c>
      <c r="Y7" s="1">
        <v>0</v>
      </c>
      <c r="Z7" s="1">
        <v>0</v>
      </c>
      <c r="AA7" s="1">
        <v>0</v>
      </c>
      <c r="AB7" s="1">
        <v>5.7300000000000005E-4</v>
      </c>
      <c r="AC7" s="1">
        <v>0</v>
      </c>
      <c r="AD7" s="1">
        <v>2.4038E-2</v>
      </c>
      <c r="AE7" s="1">
        <v>2.8479999999999998E-3</v>
      </c>
      <c r="AF7" s="1">
        <v>0</v>
      </c>
      <c r="AG7" s="1">
        <v>2.9700000000000001E-4</v>
      </c>
      <c r="AH7" s="1">
        <v>0</v>
      </c>
      <c r="AI7" s="1">
        <v>0.17699000000000001</v>
      </c>
      <c r="AJ7" s="1">
        <v>0</v>
      </c>
    </row>
    <row r="8" spans="1:190" x14ac:dyDescent="0.25">
      <c r="A8" s="5">
        <f>IF(VLOOKUP(B8,Routing_Link_Mapping!$A:$C,2,FALSE)&lt;&gt;"",VLOOKUP(B8,Routing_Link_Mapping!$A:$C,2,FALSE),"")</f>
        <v>80</v>
      </c>
      <c r="B8" s="6">
        <v>6</v>
      </c>
      <c r="C8" s="1">
        <v>7.0662000000000003E-2</v>
      </c>
      <c r="D8" s="1">
        <v>0</v>
      </c>
      <c r="E8" s="1">
        <v>0.54125299999999998</v>
      </c>
      <c r="F8" s="1">
        <v>0</v>
      </c>
      <c r="G8" s="1">
        <v>2.5142999999999999E-2</v>
      </c>
      <c r="H8" s="1">
        <v>0</v>
      </c>
      <c r="I8" s="1">
        <v>0</v>
      </c>
      <c r="J8" s="1">
        <v>3.3869999999999998E-3</v>
      </c>
      <c r="K8" s="1">
        <v>0.11203</v>
      </c>
      <c r="L8" s="1">
        <v>0</v>
      </c>
      <c r="M8" s="1">
        <v>0</v>
      </c>
      <c r="N8" s="1">
        <v>9.6240000000000006E-3</v>
      </c>
      <c r="O8" s="1">
        <v>6.8945999999999993E-2</v>
      </c>
      <c r="P8" s="1">
        <v>0</v>
      </c>
      <c r="Q8" s="1">
        <v>0</v>
      </c>
      <c r="R8" s="1">
        <v>2.8437E-2</v>
      </c>
      <c r="S8" s="1">
        <v>0</v>
      </c>
      <c r="T8" s="1">
        <v>0</v>
      </c>
      <c r="U8" s="1">
        <v>0</v>
      </c>
      <c r="V8" s="1">
        <v>3.7102999999999997E-2</v>
      </c>
      <c r="W8" s="1">
        <v>4.0232999999999998E-2</v>
      </c>
      <c r="X8" s="1">
        <v>3.3799000000000003E-2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3.0280999999999999E-2</v>
      </c>
      <c r="AE8" s="1">
        <v>0</v>
      </c>
      <c r="AF8" s="1">
        <v>0</v>
      </c>
      <c r="AG8" s="1">
        <v>2.5049999999999998E-3</v>
      </c>
      <c r="AH8" s="1">
        <v>0</v>
      </c>
      <c r="AI8" s="1">
        <v>5.2950000000000002E-3</v>
      </c>
      <c r="AJ8" s="1">
        <v>0</v>
      </c>
    </row>
    <row r="9" spans="1:190" x14ac:dyDescent="0.25">
      <c r="A9" s="5">
        <f>IF(VLOOKUP(B9,Routing_Link_Mapping!$A:$C,2,FALSE)&lt;&gt;"",VLOOKUP(B9,Routing_Link_Mapping!$A:$C,2,FALSE),"")</f>
        <v>79</v>
      </c>
      <c r="B9" s="6">
        <v>7</v>
      </c>
      <c r="C9" s="1">
        <v>9.0176999999999993E-2</v>
      </c>
      <c r="D9" s="1">
        <v>0</v>
      </c>
      <c r="E9" s="1">
        <v>0.69072599999999995</v>
      </c>
      <c r="F9" s="1">
        <v>0</v>
      </c>
      <c r="G9" s="1">
        <v>0</v>
      </c>
      <c r="H9" s="1">
        <v>0</v>
      </c>
      <c r="I9" s="1">
        <v>0</v>
      </c>
      <c r="J9" s="1">
        <v>4.3229999999999996E-3</v>
      </c>
      <c r="K9" s="1">
        <v>0.14297199999999999</v>
      </c>
      <c r="L9" s="1">
        <v>0</v>
      </c>
      <c r="M9" s="1">
        <v>0</v>
      </c>
      <c r="N9" s="1">
        <v>1.2289E-2</v>
      </c>
      <c r="O9" s="1">
        <v>8.7989999999999999E-2</v>
      </c>
      <c r="P9" s="1">
        <v>0</v>
      </c>
      <c r="Q9" s="1">
        <v>0</v>
      </c>
      <c r="R9" s="1">
        <v>4.5289000000000003E-2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5.8320999999999998E-2</v>
      </c>
      <c r="AC9" s="1">
        <v>0</v>
      </c>
      <c r="AD9" s="1">
        <v>0</v>
      </c>
      <c r="AE9" s="1">
        <v>1.7887059999999999</v>
      </c>
      <c r="AF9" s="1">
        <v>0.59981899999999999</v>
      </c>
      <c r="AG9" s="1">
        <v>0</v>
      </c>
      <c r="AH9" s="1">
        <v>0.17902299999999999</v>
      </c>
      <c r="AI9" s="1">
        <v>0</v>
      </c>
      <c r="AJ9" s="1">
        <v>0</v>
      </c>
    </row>
    <row r="10" spans="1:190" x14ac:dyDescent="0.25">
      <c r="A10" s="5" t="str">
        <f>IF(VLOOKUP(B10,Routing_Link_Mapping!$A:$C,2,FALSE)&lt;&gt;"",VLOOKUP(B10,Routing_Link_Mapping!$A:$C,2,FALSE),"")</f>
        <v/>
      </c>
      <c r="B10" s="6">
        <v>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</row>
    <row r="11" spans="1:190" x14ac:dyDescent="0.25">
      <c r="A11" s="5" t="str">
        <f>IF(VLOOKUP(B11,Routing_Link_Mapping!$A:$C,2,FALSE)&lt;&gt;"",VLOOKUP(B11,Routing_Link_Mapping!$A:$C,2,FALSE),"")</f>
        <v/>
      </c>
      <c r="B11" s="6">
        <v>9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</row>
    <row r="12" spans="1:190" x14ac:dyDescent="0.25">
      <c r="A12" s="5">
        <f>IF(VLOOKUP(B12,Routing_Link_Mapping!$A:$C,2,FALSE)&lt;&gt;"",VLOOKUP(B12,Routing_Link_Mapping!$A:$C,2,FALSE),"")</f>
        <v>134</v>
      </c>
      <c r="B12" s="6">
        <v>10</v>
      </c>
      <c r="C12" s="1">
        <v>9.4632999999999995E-2</v>
      </c>
      <c r="D12" s="1">
        <v>0.11236699999999999</v>
      </c>
      <c r="E12" s="1">
        <v>2.7655599999999998</v>
      </c>
      <c r="F12" s="1">
        <v>0</v>
      </c>
      <c r="G12" s="1">
        <v>2.1810000000000002E-3</v>
      </c>
      <c r="H12" s="1">
        <v>1.47E-4</v>
      </c>
      <c r="I12" s="1">
        <v>0.18393499999999999</v>
      </c>
      <c r="J12" s="1">
        <v>0</v>
      </c>
      <c r="K12" s="1">
        <v>0</v>
      </c>
      <c r="L12" s="1">
        <v>0</v>
      </c>
      <c r="M12" s="1">
        <v>0</v>
      </c>
      <c r="N12" s="1">
        <v>10.698480999999999</v>
      </c>
      <c r="O12" s="1">
        <v>78.988539000000003</v>
      </c>
      <c r="P12" s="1">
        <v>0</v>
      </c>
      <c r="Q12" s="1">
        <v>0</v>
      </c>
      <c r="R12" s="1">
        <v>0.173905</v>
      </c>
      <c r="S12" s="1">
        <v>0</v>
      </c>
      <c r="T12" s="1">
        <v>0</v>
      </c>
      <c r="U12" s="1">
        <v>4.6663000000000003E-2</v>
      </c>
      <c r="V12" s="1">
        <v>24.047979999999999</v>
      </c>
      <c r="W12" s="1">
        <v>4.6E-5</v>
      </c>
      <c r="X12" s="1">
        <v>0</v>
      </c>
      <c r="Y12" s="1">
        <v>0</v>
      </c>
      <c r="Z12" s="1">
        <v>0</v>
      </c>
      <c r="AA12" s="1">
        <v>0</v>
      </c>
      <c r="AB12" s="1">
        <v>1.6262570000000001</v>
      </c>
      <c r="AC12" s="1">
        <v>0</v>
      </c>
      <c r="AD12" s="1">
        <v>6.9999999999999999E-6</v>
      </c>
      <c r="AE12" s="1">
        <v>0.59186799999999995</v>
      </c>
      <c r="AF12" s="1">
        <v>0</v>
      </c>
      <c r="AG12" s="1">
        <v>2.03E-4</v>
      </c>
      <c r="AH12" s="1">
        <v>1.986599</v>
      </c>
      <c r="AI12" s="1">
        <v>9.0000000000000002E-6</v>
      </c>
      <c r="AJ12" s="1">
        <v>0</v>
      </c>
    </row>
    <row r="13" spans="1:190" x14ac:dyDescent="0.25">
      <c r="A13" s="5">
        <f>IF(VLOOKUP(B13,Routing_Link_Mapping!$A:$C,2,FALSE)&lt;&gt;"",VLOOKUP(B13,Routing_Link_Mapping!$A:$C,2,FALSE),"")</f>
        <v>132</v>
      </c>
      <c r="B13" s="6">
        <v>11</v>
      </c>
      <c r="C13" s="1">
        <v>9.0499999999999999E-4</v>
      </c>
      <c r="D13" s="1">
        <v>8.5319999999999997E-3</v>
      </c>
      <c r="E13" s="1">
        <v>0.15132799999999999</v>
      </c>
      <c r="F13" s="1">
        <v>0</v>
      </c>
      <c r="G13" s="1">
        <v>3.0400000000000002E-4</v>
      </c>
      <c r="H13" s="1">
        <v>3.0000000000000001E-6</v>
      </c>
      <c r="I13" s="1">
        <v>3.2230000000000002E-3</v>
      </c>
      <c r="J13" s="1">
        <v>0</v>
      </c>
      <c r="K13" s="1">
        <v>0</v>
      </c>
      <c r="L13" s="1">
        <v>0</v>
      </c>
      <c r="M13" s="1">
        <v>0</v>
      </c>
      <c r="N13" s="1">
        <v>0.62547200000000003</v>
      </c>
      <c r="O13" s="1">
        <v>3.5483380000000002</v>
      </c>
      <c r="P13" s="1">
        <v>0</v>
      </c>
      <c r="Q13" s="1">
        <v>0</v>
      </c>
      <c r="R13" s="1">
        <v>1.3407000000000001E-2</v>
      </c>
      <c r="S13" s="1">
        <v>0</v>
      </c>
      <c r="T13" s="1">
        <v>0</v>
      </c>
      <c r="U13" s="1">
        <v>0</v>
      </c>
      <c r="V13" s="1">
        <v>1.3158780000000001</v>
      </c>
      <c r="W13" s="1">
        <v>9.9999999999999995E-7</v>
      </c>
      <c r="X13" s="1">
        <v>0</v>
      </c>
      <c r="Y13" s="1">
        <v>0</v>
      </c>
      <c r="Z13" s="1">
        <v>0</v>
      </c>
      <c r="AA13" s="1">
        <v>0</v>
      </c>
      <c r="AB13" s="1">
        <v>2.1322000000000001E-2</v>
      </c>
      <c r="AC13" s="1">
        <v>0</v>
      </c>
      <c r="AD13" s="1">
        <v>0</v>
      </c>
      <c r="AE13" s="1">
        <v>1.6819000000000001E-2</v>
      </c>
      <c r="AF13" s="1">
        <v>0</v>
      </c>
      <c r="AG13" s="1">
        <v>1.2999999999999999E-5</v>
      </c>
      <c r="AH13" s="1">
        <v>0.29453200000000002</v>
      </c>
      <c r="AI13" s="1">
        <v>9.9999999999999995E-7</v>
      </c>
      <c r="AJ13" s="1">
        <v>0</v>
      </c>
    </row>
    <row r="14" spans="1:190" x14ac:dyDescent="0.25">
      <c r="A14" s="5" t="str">
        <f>IF(VLOOKUP(B14,Routing_Link_Mapping!$A:$C,2,FALSE)&lt;&gt;"",VLOOKUP(B14,Routing_Link_Mapping!$A:$C,2,FALSE),"")</f>
        <v/>
      </c>
      <c r="B14" s="6">
        <v>12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</row>
    <row r="15" spans="1:190" x14ac:dyDescent="0.25">
      <c r="A15" s="5" t="str">
        <f>IF(VLOOKUP(B15,Routing_Link_Mapping!$A:$C,2,FALSE)&lt;&gt;"",VLOOKUP(B15,Routing_Link_Mapping!$A:$C,2,FALSE),"")</f>
        <v/>
      </c>
      <c r="B15" s="6">
        <v>13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</row>
    <row r="16" spans="1:190" x14ac:dyDescent="0.25">
      <c r="A16" s="5">
        <f>IF(VLOOKUP(B16,Routing_Link_Mapping!$A:$C,2,FALSE)&lt;&gt;"",VLOOKUP(B16,Routing_Link_Mapping!$A:$C,2,FALSE),"")</f>
        <v>178</v>
      </c>
      <c r="B16" s="6">
        <v>14</v>
      </c>
      <c r="C16" s="1">
        <v>1.050902</v>
      </c>
      <c r="D16" s="1">
        <v>0.30563699999999999</v>
      </c>
      <c r="E16" s="1">
        <v>6.8284500000000001</v>
      </c>
      <c r="F16" s="1">
        <v>0</v>
      </c>
      <c r="G16" s="1">
        <v>1.9859999999999999E-3</v>
      </c>
      <c r="H16" s="1">
        <v>3.3000000000000003E-5</v>
      </c>
      <c r="I16" s="1">
        <v>4.0613999999999997E-2</v>
      </c>
      <c r="J16" s="1">
        <v>9.3872640000000001</v>
      </c>
      <c r="K16" s="1">
        <v>71.020197999999993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0.168958</v>
      </c>
      <c r="S16" s="1">
        <v>0</v>
      </c>
      <c r="T16" s="1">
        <v>0</v>
      </c>
      <c r="U16" s="1">
        <v>3.7780000000000001E-2</v>
      </c>
      <c r="V16" s="1">
        <v>10.845447</v>
      </c>
      <c r="W16" s="1">
        <v>2.5000000000000001E-5</v>
      </c>
      <c r="X16" s="1">
        <v>0</v>
      </c>
      <c r="Y16" s="1">
        <v>0</v>
      </c>
      <c r="Z16" s="1">
        <v>0</v>
      </c>
      <c r="AA16" s="1">
        <v>0</v>
      </c>
      <c r="AB16" s="1">
        <v>2.6602060000000001</v>
      </c>
      <c r="AC16" s="1">
        <v>0</v>
      </c>
      <c r="AD16" s="1">
        <v>1.4E-5</v>
      </c>
      <c r="AE16" s="1">
        <v>0.29719299999999998</v>
      </c>
      <c r="AF16" s="1">
        <v>0</v>
      </c>
      <c r="AG16" s="1">
        <v>2.4699999999999999E-4</v>
      </c>
      <c r="AH16" s="1">
        <v>0.92793000000000003</v>
      </c>
      <c r="AI16" s="1">
        <v>1.2E-5</v>
      </c>
      <c r="AJ16" s="1">
        <v>0</v>
      </c>
    </row>
    <row r="17" spans="1:36" x14ac:dyDescent="0.25">
      <c r="A17" s="5">
        <f>IF(VLOOKUP(B17,Routing_Link_Mapping!$A:$C,2,FALSE)&lt;&gt;"",VLOOKUP(B17,Routing_Link_Mapping!$A:$C,2,FALSE),"")</f>
        <v>176</v>
      </c>
      <c r="B17" s="6">
        <v>15</v>
      </c>
      <c r="C17" s="1">
        <v>9.8628999999999994E-2</v>
      </c>
      <c r="D17" s="1">
        <v>0.121306</v>
      </c>
      <c r="E17" s="1">
        <v>0.57233000000000001</v>
      </c>
      <c r="F17" s="1">
        <v>0</v>
      </c>
      <c r="G17" s="1">
        <v>9.8999999999999994E-5</v>
      </c>
      <c r="H17" s="1">
        <v>1.9999999999999999E-6</v>
      </c>
      <c r="I17" s="1">
        <v>3.0219999999999999E-3</v>
      </c>
      <c r="J17" s="1">
        <v>2.0123609999999998</v>
      </c>
      <c r="K17" s="1">
        <v>13.038836999999999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1.8859999999999998E-2</v>
      </c>
      <c r="S17" s="1">
        <v>0</v>
      </c>
      <c r="T17" s="1">
        <v>0</v>
      </c>
      <c r="U17" s="1">
        <v>0</v>
      </c>
      <c r="V17" s="1">
        <v>0.90901699999999996</v>
      </c>
      <c r="W17" s="1">
        <v>3.9999999999999998E-6</v>
      </c>
      <c r="X17" s="1">
        <v>0</v>
      </c>
      <c r="Y17" s="1">
        <v>0</v>
      </c>
      <c r="Z17" s="1">
        <v>0</v>
      </c>
      <c r="AA17" s="1">
        <v>0</v>
      </c>
      <c r="AB17" s="1">
        <v>0.88185500000000006</v>
      </c>
      <c r="AC17" s="1">
        <v>0</v>
      </c>
      <c r="AD17" s="1">
        <v>0</v>
      </c>
      <c r="AE17" s="1">
        <v>1.2344000000000001E-2</v>
      </c>
      <c r="AF17" s="1">
        <v>0</v>
      </c>
      <c r="AG17" s="1">
        <v>0</v>
      </c>
      <c r="AH17" s="1">
        <v>0.33146300000000001</v>
      </c>
      <c r="AI17" s="1">
        <v>7.9999999999999996E-6</v>
      </c>
      <c r="AJ17" s="1">
        <v>0</v>
      </c>
    </row>
    <row r="18" spans="1:36" x14ac:dyDescent="0.25">
      <c r="A18" s="5">
        <f>IF(VLOOKUP(B18,Routing_Link_Mapping!$A:$C,2,FALSE)&lt;&gt;"",VLOOKUP(B18,Routing_Link_Mapping!$A:$C,2,FALSE),"")</f>
        <v>123</v>
      </c>
      <c r="B18" s="6">
        <v>16</v>
      </c>
      <c r="C18" s="1">
        <v>5.3959999999999998E-3</v>
      </c>
      <c r="D18" s="1">
        <v>2.7375E-2</v>
      </c>
      <c r="E18" s="1">
        <v>1.1021399999999999</v>
      </c>
      <c r="F18" s="1">
        <v>0</v>
      </c>
      <c r="G18" s="1">
        <v>7.2199999999999999E-4</v>
      </c>
      <c r="H18" s="1">
        <v>1.4E-5</v>
      </c>
      <c r="I18" s="1">
        <v>6.79E-3</v>
      </c>
      <c r="J18" s="1">
        <v>8.6200000000000003E-4</v>
      </c>
      <c r="K18" s="1">
        <v>5.1850000000000004E-3</v>
      </c>
      <c r="L18" s="1">
        <v>0</v>
      </c>
      <c r="M18" s="1">
        <v>0</v>
      </c>
      <c r="N18" s="1">
        <v>1.6535999999999999E-2</v>
      </c>
      <c r="O18" s="1">
        <v>2.4569000000000001E-2</v>
      </c>
      <c r="P18" s="1">
        <v>0</v>
      </c>
      <c r="Q18" s="1">
        <v>0</v>
      </c>
      <c r="R18" s="1">
        <v>0</v>
      </c>
      <c r="S18" s="1">
        <v>0.99507999999999996</v>
      </c>
      <c r="T18" s="1">
        <v>0.427174</v>
      </c>
      <c r="U18" s="1">
        <v>7.7279999999999996E-3</v>
      </c>
      <c r="V18" s="1">
        <v>5.3305020000000001</v>
      </c>
      <c r="W18" s="1">
        <v>3.9999999999999998E-6</v>
      </c>
      <c r="X18" s="1">
        <v>0</v>
      </c>
      <c r="Y18" s="1">
        <v>0</v>
      </c>
      <c r="Z18" s="1">
        <v>0</v>
      </c>
      <c r="AA18" s="1">
        <v>0</v>
      </c>
      <c r="AB18" s="1">
        <v>0.55979500000000004</v>
      </c>
      <c r="AC18" s="1">
        <v>0</v>
      </c>
      <c r="AD18" s="1">
        <v>9.9999999999999995E-7</v>
      </c>
      <c r="AE18" s="1">
        <v>9.3856999999999996E-2</v>
      </c>
      <c r="AF18" s="1">
        <v>0</v>
      </c>
      <c r="AG18" s="1">
        <v>5.1E-5</v>
      </c>
      <c r="AH18" s="1">
        <v>0.48686600000000002</v>
      </c>
      <c r="AI18" s="1">
        <v>3.0000000000000001E-6</v>
      </c>
      <c r="AJ18" s="1">
        <v>0</v>
      </c>
    </row>
    <row r="19" spans="1:36" x14ac:dyDescent="0.25">
      <c r="A19" s="5">
        <f>IF(VLOOKUP(B19,Routing_Link_Mapping!$A:$C,2,FALSE)&lt;&gt;"",VLOOKUP(B19,Routing_Link_Mapping!$A:$C,2,FALSE),"")</f>
        <v>125</v>
      </c>
      <c r="B19" s="6">
        <v>17</v>
      </c>
      <c r="C19" s="1">
        <v>2.3249999999999998E-3</v>
      </c>
      <c r="D19" s="1">
        <v>4.718E-3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3.3500000000000001E-4</v>
      </c>
      <c r="L19" s="1">
        <v>0</v>
      </c>
      <c r="M19" s="1">
        <v>0</v>
      </c>
      <c r="N19" s="1">
        <v>3.1700000000000001E-4</v>
      </c>
      <c r="O19" s="1">
        <v>9.0700000000000004E-4</v>
      </c>
      <c r="P19" s="1">
        <v>0</v>
      </c>
      <c r="Q19" s="1">
        <v>0</v>
      </c>
      <c r="R19" s="1">
        <v>1.0383519999999999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</row>
    <row r="20" spans="1:36" x14ac:dyDescent="0.25">
      <c r="A20" s="5">
        <f>IF(VLOOKUP(B20,Routing_Link_Mapping!$A:$C,2,FALSE)&lt;&gt;"",VLOOKUP(B20,Routing_Link_Mapping!$A:$C,2,FALSE),"")</f>
        <v>113</v>
      </c>
      <c r="B20" s="6">
        <v>18</v>
      </c>
      <c r="C20" s="1">
        <v>0</v>
      </c>
      <c r="D20" s="1">
        <v>0</v>
      </c>
      <c r="E20" s="1">
        <v>3.1066799999999999</v>
      </c>
      <c r="F20" s="1">
        <v>0</v>
      </c>
      <c r="G20" s="1">
        <v>0</v>
      </c>
      <c r="H20" s="1">
        <v>9.0000000000000002E-6</v>
      </c>
      <c r="I20" s="1">
        <v>1.2199999999999999E-3</v>
      </c>
      <c r="J20" s="1">
        <v>1.0182E-2</v>
      </c>
      <c r="K20" s="1">
        <v>3.0620999999999999E-2</v>
      </c>
      <c r="L20" s="1">
        <v>0</v>
      </c>
      <c r="M20" s="1">
        <v>0</v>
      </c>
      <c r="N20" s="1">
        <v>0</v>
      </c>
      <c r="O20" s="1">
        <v>4.1458000000000002E-2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2.5361739999999999</v>
      </c>
      <c r="W20" s="1">
        <v>9.0000000000000002E-6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5.1E-5</v>
      </c>
      <c r="AJ20" s="1">
        <v>0</v>
      </c>
    </row>
    <row r="21" spans="1:36" x14ac:dyDescent="0.25">
      <c r="A21" s="5">
        <f>IF(VLOOKUP(B21,Routing_Link_Mapping!$A:$C,2,FALSE)&lt;&gt;"",VLOOKUP(B21,Routing_Link_Mapping!$A:$C,2,FALSE),"")</f>
        <v>101</v>
      </c>
      <c r="B21" s="6">
        <v>19</v>
      </c>
      <c r="C21" s="1">
        <v>2.12E-4</v>
      </c>
      <c r="D21" s="1">
        <v>2.6899999999999998E-4</v>
      </c>
      <c r="E21" s="1">
        <v>7.9469999999999992E-3</v>
      </c>
      <c r="F21" s="1">
        <v>0</v>
      </c>
      <c r="G21" s="1">
        <v>0</v>
      </c>
      <c r="H21" s="1">
        <v>0</v>
      </c>
      <c r="I21" s="1">
        <v>5.0000000000000004E-6</v>
      </c>
      <c r="J21" s="1">
        <v>0</v>
      </c>
      <c r="K21" s="1">
        <v>1.9100000000000001E-4</v>
      </c>
      <c r="L21" s="1">
        <v>0</v>
      </c>
      <c r="M21" s="1">
        <v>0</v>
      </c>
      <c r="N21" s="1">
        <v>2.5300000000000002E-4</v>
      </c>
      <c r="O21" s="1">
        <v>7.7700000000000002E-4</v>
      </c>
      <c r="P21" s="1">
        <v>0</v>
      </c>
      <c r="Q21" s="1">
        <v>0</v>
      </c>
      <c r="R21" s="1">
        <v>3.6000000000000001E-5</v>
      </c>
      <c r="S21" s="1">
        <v>0</v>
      </c>
      <c r="T21" s="1">
        <v>0</v>
      </c>
      <c r="U21" s="1">
        <v>0</v>
      </c>
      <c r="V21" s="1">
        <v>0.99685400000000002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9.1000000000000003E-5</v>
      </c>
      <c r="AC21" s="1">
        <v>0</v>
      </c>
      <c r="AD21" s="1">
        <v>0</v>
      </c>
      <c r="AE21" s="1">
        <v>3.0000000000000001E-6</v>
      </c>
      <c r="AF21" s="1">
        <v>0</v>
      </c>
      <c r="AG21" s="1">
        <v>0</v>
      </c>
      <c r="AH21" s="1">
        <v>2.5099999999999998E-4</v>
      </c>
      <c r="AI21" s="1">
        <v>1.0000000000000001E-5</v>
      </c>
      <c r="AJ21" s="1">
        <v>0</v>
      </c>
    </row>
    <row r="22" spans="1:36" x14ac:dyDescent="0.25">
      <c r="A22" s="5">
        <f>IF(VLOOKUP(B22,Routing_Link_Mapping!$A:$C,2,FALSE)&lt;&gt;"",VLOOKUP(B22,Routing_Link_Mapping!$A:$C,2,FALSE),"")</f>
        <v>104</v>
      </c>
      <c r="B22" s="6">
        <v>20</v>
      </c>
      <c r="C22" s="1">
        <v>6.1661669999999997</v>
      </c>
      <c r="D22" s="1">
        <v>1.722032</v>
      </c>
      <c r="E22" s="1">
        <v>7.2875639999999997</v>
      </c>
      <c r="F22" s="1">
        <v>0</v>
      </c>
      <c r="G22" s="1">
        <v>0.93528</v>
      </c>
      <c r="H22" s="1">
        <v>1.3958999999999999E-2</v>
      </c>
      <c r="I22" s="1">
        <v>0</v>
      </c>
      <c r="J22" s="1">
        <v>2.6843020000000002</v>
      </c>
      <c r="K22" s="1">
        <v>25.153489</v>
      </c>
      <c r="L22" s="1">
        <v>0</v>
      </c>
      <c r="M22" s="1">
        <v>0</v>
      </c>
      <c r="N22" s="1">
        <v>1.2713779999999999</v>
      </c>
      <c r="O22" s="1">
        <v>13.550834999999999</v>
      </c>
      <c r="P22" s="1">
        <v>0</v>
      </c>
      <c r="Q22" s="1">
        <v>0</v>
      </c>
      <c r="R22" s="1">
        <v>4.9325609999999998</v>
      </c>
      <c r="S22" s="1">
        <v>0</v>
      </c>
      <c r="T22" s="1">
        <v>5.732183</v>
      </c>
      <c r="U22" s="1">
        <v>0.57276899999999997</v>
      </c>
      <c r="V22" s="1">
        <v>0</v>
      </c>
      <c r="W22" s="1">
        <v>3.4728000000000002E-2</v>
      </c>
      <c r="X22" s="1">
        <v>0</v>
      </c>
      <c r="Y22" s="1">
        <v>0</v>
      </c>
      <c r="Z22" s="1">
        <v>0</v>
      </c>
      <c r="AA22" s="1">
        <v>0</v>
      </c>
      <c r="AB22" s="1">
        <v>0.49320000000000003</v>
      </c>
      <c r="AC22" s="1">
        <v>0</v>
      </c>
      <c r="AD22" s="1">
        <v>4.0410000000000003E-3</v>
      </c>
      <c r="AE22" s="1">
        <v>9.9500000000000005E-3</v>
      </c>
      <c r="AF22" s="1">
        <v>0</v>
      </c>
      <c r="AG22" s="1">
        <v>0</v>
      </c>
      <c r="AH22" s="1">
        <v>0.62338300000000002</v>
      </c>
      <c r="AI22" s="1">
        <v>4.4130000000000003E-3</v>
      </c>
      <c r="AJ22" s="1">
        <v>0</v>
      </c>
    </row>
    <row r="23" spans="1:36" x14ac:dyDescent="0.25">
      <c r="A23" s="5">
        <f>IF(VLOOKUP(B23,Routing_Link_Mapping!$A:$C,2,FALSE)&lt;&gt;"",VLOOKUP(B23,Routing_Link_Mapping!$A:$C,2,FALSE),"")</f>
        <v>97</v>
      </c>
      <c r="B23" s="6">
        <v>21</v>
      </c>
      <c r="C23" s="1">
        <v>3.0200000000000002E-4</v>
      </c>
      <c r="D23" s="1">
        <v>0</v>
      </c>
      <c r="E23" s="1">
        <v>3.8906000000000003E-2</v>
      </c>
      <c r="F23" s="1">
        <v>0</v>
      </c>
      <c r="G23" s="1">
        <v>1.1561E-2</v>
      </c>
      <c r="H23" s="1">
        <v>2.1310000000000001E-3</v>
      </c>
      <c r="I23" s="1">
        <v>0</v>
      </c>
      <c r="J23" s="1">
        <v>1.45E-4</v>
      </c>
      <c r="K23" s="1">
        <v>4.35E-4</v>
      </c>
      <c r="L23" s="1">
        <v>0</v>
      </c>
      <c r="M23" s="1">
        <v>0</v>
      </c>
      <c r="N23" s="1">
        <v>0</v>
      </c>
      <c r="O23" s="1">
        <v>1.1789999999999999E-3</v>
      </c>
      <c r="P23" s="1">
        <v>0</v>
      </c>
      <c r="Q23" s="1">
        <v>0</v>
      </c>
      <c r="R23" s="1">
        <v>2.03E-4</v>
      </c>
      <c r="S23" s="1">
        <v>0</v>
      </c>
      <c r="T23" s="1">
        <v>0</v>
      </c>
      <c r="U23" s="1">
        <v>0</v>
      </c>
      <c r="V23" s="1">
        <v>2.6670000000000001E-3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2.12E-4</v>
      </c>
      <c r="AF23" s="1">
        <v>0</v>
      </c>
      <c r="AG23" s="1">
        <v>6.4710000000000002E-3</v>
      </c>
      <c r="AH23" s="1">
        <v>4.75E-4</v>
      </c>
      <c r="AI23" s="1">
        <v>4.2940000000000001E-3</v>
      </c>
      <c r="AJ23" s="1">
        <v>0</v>
      </c>
    </row>
    <row r="24" spans="1:36" x14ac:dyDescent="0.25">
      <c r="A24" s="5">
        <f>IF(VLOOKUP(B24,Routing_Link_Mapping!$A:$C,2,FALSE)&lt;&gt;"",VLOOKUP(B24,Routing_Link_Mapping!$A:$C,2,FALSE),"")</f>
        <v>129</v>
      </c>
      <c r="B24" s="6">
        <v>22</v>
      </c>
      <c r="C24" s="1">
        <v>0</v>
      </c>
      <c r="D24" s="1">
        <v>0</v>
      </c>
      <c r="E24" s="1">
        <v>1.1173000000000001E-2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1.565E-3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7.6599999999999997E-4</v>
      </c>
      <c r="W24" s="1">
        <v>4.57E-4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1.6100000000000001E-4</v>
      </c>
      <c r="AJ24" s="1">
        <v>0</v>
      </c>
    </row>
    <row r="25" spans="1:36" x14ac:dyDescent="0.25">
      <c r="A25" s="5">
        <f>IF(VLOOKUP(B25,Routing_Link_Mapping!$A:$C,2,FALSE)&lt;&gt;"",VLOOKUP(B25,Routing_Link_Mapping!$A:$C,2,FALSE),"")</f>
        <v>108</v>
      </c>
      <c r="B25" s="6">
        <v>23</v>
      </c>
      <c r="C25" s="1">
        <v>2.4550000000000002E-3</v>
      </c>
      <c r="D25" s="1">
        <v>0</v>
      </c>
      <c r="E25" s="1">
        <v>4.2735000000000002E-2</v>
      </c>
      <c r="F25" s="1">
        <v>6.0408000000000003E-2</v>
      </c>
      <c r="G25" s="1">
        <v>0</v>
      </c>
      <c r="H25" s="1">
        <v>0</v>
      </c>
      <c r="I25" s="1">
        <v>6.4999999999999994E-5</v>
      </c>
      <c r="J25" s="1">
        <v>1.176E-3</v>
      </c>
      <c r="K25" s="1">
        <v>1.769E-3</v>
      </c>
      <c r="L25" s="1">
        <v>0</v>
      </c>
      <c r="M25" s="1">
        <v>0</v>
      </c>
      <c r="N25" s="1">
        <v>0</v>
      </c>
      <c r="O25" s="1">
        <v>2.3960000000000001E-3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4.6680000000000003E-3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1.3200000000000001E-4</v>
      </c>
      <c r="AF25" s="1">
        <v>0</v>
      </c>
      <c r="AG25" s="1">
        <v>3.0000000000000001E-6</v>
      </c>
      <c r="AH25" s="1">
        <v>0</v>
      </c>
      <c r="AI25" s="1">
        <v>1.0000000000000001E-5</v>
      </c>
      <c r="AJ25" s="1">
        <v>0</v>
      </c>
    </row>
    <row r="26" spans="1:36" x14ac:dyDescent="0.25">
      <c r="A26" s="5">
        <f>IF(VLOOKUP(B26,Routing_Link_Mapping!$A:$C,2,FALSE)&lt;&gt;"",VLOOKUP(B26,Routing_Link_Mapping!$A:$C,2,FALSE),"")</f>
        <v>111</v>
      </c>
      <c r="B26" s="6">
        <v>24</v>
      </c>
      <c r="C26" s="1">
        <v>0</v>
      </c>
      <c r="D26" s="1">
        <v>0</v>
      </c>
      <c r="E26" s="1">
        <v>0.33762199999999998</v>
      </c>
      <c r="F26" s="1">
        <v>0.17865600000000001</v>
      </c>
      <c r="G26" s="1">
        <v>0</v>
      </c>
      <c r="H26" s="1">
        <v>4.1E-5</v>
      </c>
      <c r="I26" s="1">
        <v>0</v>
      </c>
      <c r="J26" s="1">
        <v>0</v>
      </c>
      <c r="K26" s="1">
        <v>6.9653999999999994E-2</v>
      </c>
      <c r="L26" s="1">
        <v>0</v>
      </c>
      <c r="M26" s="1">
        <v>0</v>
      </c>
      <c r="N26" s="1">
        <v>0</v>
      </c>
      <c r="O26" s="1">
        <v>9.4978999999999994E-2</v>
      </c>
      <c r="P26" s="1">
        <v>0</v>
      </c>
      <c r="Q26" s="1">
        <v>0</v>
      </c>
      <c r="R26" s="1">
        <v>8.1229999999999997E-2</v>
      </c>
      <c r="S26" s="1">
        <v>0</v>
      </c>
      <c r="T26" s="1">
        <v>0</v>
      </c>
      <c r="U26" s="1">
        <v>0</v>
      </c>
      <c r="V26" s="1">
        <v>3.6885000000000001E-2</v>
      </c>
      <c r="W26" s="1">
        <v>0</v>
      </c>
      <c r="X26" s="1">
        <v>0</v>
      </c>
      <c r="Y26" s="1">
        <v>1.722E-3</v>
      </c>
      <c r="Z26" s="1">
        <v>0</v>
      </c>
      <c r="AA26" s="1">
        <v>0</v>
      </c>
      <c r="AB26" s="1">
        <v>1.5177E-2</v>
      </c>
      <c r="AC26" s="1">
        <v>0</v>
      </c>
      <c r="AD26" s="1">
        <v>0</v>
      </c>
      <c r="AE26" s="1">
        <v>3.6435000000000002E-2</v>
      </c>
      <c r="AF26" s="1">
        <v>0</v>
      </c>
      <c r="AG26" s="1">
        <v>1.2300000000000001E-4</v>
      </c>
      <c r="AH26" s="1">
        <v>0.139763</v>
      </c>
      <c r="AI26" s="1">
        <v>5.6519999999999999E-3</v>
      </c>
      <c r="AJ26" s="1">
        <v>0</v>
      </c>
    </row>
    <row r="27" spans="1:36" x14ac:dyDescent="0.25">
      <c r="A27" s="5">
        <f>IF(VLOOKUP(B27,Routing_Link_Mapping!$A:$C,2,FALSE)&lt;&gt;"",VLOOKUP(B27,Routing_Link_Mapping!$A:$C,2,FALSE),"")</f>
        <v>51</v>
      </c>
      <c r="B27" s="6">
        <v>25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</row>
    <row r="28" spans="1:36" x14ac:dyDescent="0.25">
      <c r="A28" s="5">
        <f>IF(VLOOKUP(B28,Routing_Link_Mapping!$A:$C,2,FALSE)&lt;&gt;"",VLOOKUP(B28,Routing_Link_Mapping!$A:$C,2,FALSE),"")</f>
        <v>68</v>
      </c>
      <c r="B28" s="6">
        <v>26</v>
      </c>
      <c r="C28" s="1">
        <v>0.15915099999999999</v>
      </c>
      <c r="D28" s="1">
        <v>2.422323</v>
      </c>
      <c r="E28" s="1">
        <v>1.6623520000000001</v>
      </c>
      <c r="F28" s="1">
        <v>0</v>
      </c>
      <c r="G28" s="1">
        <v>0</v>
      </c>
      <c r="H28" s="1">
        <v>3.9999999999999998E-6</v>
      </c>
      <c r="I28" s="1">
        <v>6.9889000000000007E-2</v>
      </c>
      <c r="J28" s="1">
        <v>7.6281000000000002E-2</v>
      </c>
      <c r="K28" s="1">
        <v>1.146922</v>
      </c>
      <c r="L28" s="1">
        <v>0</v>
      </c>
      <c r="M28" s="1">
        <v>0</v>
      </c>
      <c r="N28" s="1">
        <v>0.108388</v>
      </c>
      <c r="O28" s="1">
        <v>1.552872</v>
      </c>
      <c r="P28" s="1">
        <v>0</v>
      </c>
      <c r="Q28" s="1">
        <v>0</v>
      </c>
      <c r="R28" s="1">
        <v>0.53285199999999999</v>
      </c>
      <c r="S28" s="1">
        <v>0</v>
      </c>
      <c r="T28" s="1">
        <v>0</v>
      </c>
      <c r="U28" s="1">
        <v>0</v>
      </c>
      <c r="V28" s="1">
        <v>0.18160000000000001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0.57087600000000005</v>
      </c>
      <c r="AF28" s="1">
        <v>0</v>
      </c>
      <c r="AG28" s="1">
        <v>0</v>
      </c>
      <c r="AH28" s="1">
        <v>0.92581599999999997</v>
      </c>
      <c r="AI28" s="1">
        <v>3.0000000000000001E-6</v>
      </c>
      <c r="AJ28" s="1">
        <v>0</v>
      </c>
    </row>
    <row r="29" spans="1:36" x14ac:dyDescent="0.25">
      <c r="A29" s="5">
        <f>IF(VLOOKUP(B29,Routing_Link_Mapping!$A:$C,2,FALSE)&lt;&gt;"",VLOOKUP(B29,Routing_Link_Mapping!$A:$C,2,FALSE),"")</f>
        <v>69</v>
      </c>
      <c r="B29" s="6">
        <v>27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3.0318999999999999E-2</v>
      </c>
      <c r="J29" s="1">
        <v>0</v>
      </c>
      <c r="K29" s="1">
        <v>0.117283</v>
      </c>
      <c r="L29" s="1">
        <v>0</v>
      </c>
      <c r="M29" s="1">
        <v>0</v>
      </c>
      <c r="N29" s="1">
        <v>0</v>
      </c>
      <c r="O29" s="1">
        <v>0.158799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8.7714E-2</v>
      </c>
      <c r="AC29" s="1">
        <v>0</v>
      </c>
      <c r="AD29" s="1">
        <v>0</v>
      </c>
      <c r="AE29" s="1">
        <v>0.43340099999999998</v>
      </c>
      <c r="AF29" s="1">
        <v>0</v>
      </c>
      <c r="AG29" s="1">
        <v>0</v>
      </c>
      <c r="AH29" s="1">
        <v>0.80774699999999999</v>
      </c>
      <c r="AI29" s="1">
        <v>1.13E-4</v>
      </c>
      <c r="AJ29" s="1">
        <v>0</v>
      </c>
    </row>
    <row r="30" spans="1:36" x14ac:dyDescent="0.25">
      <c r="A30" s="5">
        <f>IF(VLOOKUP(B30,Routing_Link_Mapping!$A:$C,2,FALSE)&lt;&gt;"",VLOOKUP(B30,Routing_Link_Mapping!$A:$C,2,FALSE),"")</f>
        <v>72</v>
      </c>
      <c r="B30" s="6">
        <v>28</v>
      </c>
      <c r="C30" s="1">
        <v>1.25E-4</v>
      </c>
      <c r="D30" s="1">
        <v>0</v>
      </c>
      <c r="E30" s="1">
        <v>1.748E-3</v>
      </c>
      <c r="F30" s="1">
        <v>0</v>
      </c>
      <c r="G30" s="1">
        <v>6.3999999999999997E-5</v>
      </c>
      <c r="H30" s="1">
        <v>0</v>
      </c>
      <c r="I30" s="1">
        <v>0</v>
      </c>
      <c r="J30" s="1">
        <v>0</v>
      </c>
      <c r="K30" s="1">
        <v>1.8100000000000001E-4</v>
      </c>
      <c r="L30" s="1">
        <v>0</v>
      </c>
      <c r="M30" s="1">
        <v>0</v>
      </c>
      <c r="N30" s="1">
        <v>0</v>
      </c>
      <c r="O30" s="1">
        <v>4.8999999999999998E-4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1.2E-4</v>
      </c>
      <c r="W30" s="1">
        <v>1.8E-5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6.6000000000000005E-5</v>
      </c>
      <c r="AF30" s="1">
        <v>0</v>
      </c>
      <c r="AG30" s="1">
        <v>0</v>
      </c>
      <c r="AH30" s="1">
        <v>0</v>
      </c>
      <c r="AI30" s="1">
        <v>2.1791999999999999E-2</v>
      </c>
      <c r="AJ30" s="1">
        <v>0</v>
      </c>
    </row>
    <row r="31" spans="1:36" x14ac:dyDescent="0.25">
      <c r="A31" s="5">
        <f>IF(VLOOKUP(B31,Routing_Link_Mapping!$A:$C,2,FALSE)&lt;&gt;"",VLOOKUP(B31,Routing_Link_Mapping!$A:$C,2,FALSE),"")</f>
        <v>77</v>
      </c>
      <c r="B31" s="6">
        <v>29</v>
      </c>
      <c r="C31" s="1">
        <v>0.122931</v>
      </c>
      <c r="D31" s="1">
        <v>0.17819499999999999</v>
      </c>
      <c r="E31" s="1">
        <v>0.55029700000000004</v>
      </c>
      <c r="F31" s="1">
        <v>0</v>
      </c>
      <c r="G31" s="1">
        <v>6.7699999999999998E-4</v>
      </c>
      <c r="H31" s="1">
        <v>0</v>
      </c>
      <c r="I31" s="1">
        <v>8.2725999999999994E-2</v>
      </c>
      <c r="J31" s="1">
        <v>1.2626E-2</v>
      </c>
      <c r="K31" s="1">
        <v>0.31639299999999998</v>
      </c>
      <c r="L31" s="1">
        <v>0</v>
      </c>
      <c r="M31" s="1">
        <v>0</v>
      </c>
      <c r="N31" s="1">
        <v>1.196E-2</v>
      </c>
      <c r="O31" s="1">
        <v>0.13708100000000001</v>
      </c>
      <c r="P31" s="1">
        <v>0</v>
      </c>
      <c r="Q31" s="1">
        <v>0</v>
      </c>
      <c r="R31" s="1">
        <v>7.3497000000000007E-2</v>
      </c>
      <c r="S31" s="1">
        <v>0</v>
      </c>
      <c r="T31" s="1">
        <v>0</v>
      </c>
      <c r="U31" s="1">
        <v>0</v>
      </c>
      <c r="V31" s="1">
        <v>6.0116000000000003E-2</v>
      </c>
      <c r="W31" s="1">
        <v>3.9999999999999998E-6</v>
      </c>
      <c r="X31" s="1">
        <v>4.7990000000000003E-3</v>
      </c>
      <c r="Y31" s="1">
        <v>0</v>
      </c>
      <c r="Z31" s="1">
        <v>0</v>
      </c>
      <c r="AA31" s="1">
        <v>0</v>
      </c>
      <c r="AB31" s="1">
        <v>0.74772899999999998</v>
      </c>
      <c r="AC31" s="1">
        <v>0</v>
      </c>
      <c r="AD31" s="1">
        <v>3.9999999999999998E-6</v>
      </c>
      <c r="AE31" s="1">
        <v>0</v>
      </c>
      <c r="AF31" s="1">
        <v>3.5699999999999998E-3</v>
      </c>
      <c r="AG31" s="1">
        <v>0</v>
      </c>
      <c r="AH31" s="1">
        <v>0.74086700000000005</v>
      </c>
      <c r="AI31" s="1">
        <v>1.8E-5</v>
      </c>
      <c r="AJ31" s="1">
        <v>0</v>
      </c>
    </row>
    <row r="32" spans="1:36" x14ac:dyDescent="0.25">
      <c r="A32" s="5">
        <f>IF(VLOOKUP(B32,Routing_Link_Mapping!$A:$C,2,FALSE)&lt;&gt;"",VLOOKUP(B32,Routing_Link_Mapping!$A:$C,2,FALSE),"")</f>
        <v>183</v>
      </c>
      <c r="B32" s="6">
        <v>30</v>
      </c>
      <c r="C32" s="1">
        <v>0</v>
      </c>
      <c r="D32" s="1">
        <v>0</v>
      </c>
      <c r="E32" s="1">
        <v>1.8405999999999999E-2</v>
      </c>
      <c r="F32" s="1">
        <v>0</v>
      </c>
      <c r="G32" s="1">
        <v>1.2E-5</v>
      </c>
      <c r="H32" s="1">
        <v>0</v>
      </c>
      <c r="I32" s="1">
        <v>0.26885100000000001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1.725E-3</v>
      </c>
      <c r="P32" s="1">
        <v>0</v>
      </c>
      <c r="Q32" s="1">
        <v>0</v>
      </c>
      <c r="R32" s="1">
        <v>2.9489999999999998E-3</v>
      </c>
      <c r="S32" s="1">
        <v>0</v>
      </c>
      <c r="T32" s="1">
        <v>0</v>
      </c>
      <c r="U32" s="1">
        <v>0</v>
      </c>
      <c r="V32" s="1">
        <v>2.013E-3</v>
      </c>
      <c r="W32" s="1">
        <v>0</v>
      </c>
      <c r="X32" s="1">
        <v>9.6000000000000002E-5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7.0309999999999999E-3</v>
      </c>
      <c r="AF32" s="1">
        <v>0</v>
      </c>
      <c r="AG32" s="1">
        <v>1.9999999999999999E-6</v>
      </c>
      <c r="AH32" s="1">
        <v>0</v>
      </c>
      <c r="AI32" s="1">
        <v>1.5100000000000001E-4</v>
      </c>
      <c r="AJ32" s="1">
        <v>0</v>
      </c>
    </row>
    <row r="33" spans="1:36" x14ac:dyDescent="0.25">
      <c r="A33" s="5">
        <f>IF(VLOOKUP(B33,Routing_Link_Mapping!$A:$C,2,FALSE)&lt;&gt;"",VLOOKUP(B33,Routing_Link_Mapping!$A:$C,2,FALSE),"")</f>
        <v>130</v>
      </c>
      <c r="B33" s="6">
        <v>31</v>
      </c>
      <c r="C33" s="1">
        <v>0</v>
      </c>
      <c r="D33" s="1">
        <v>0</v>
      </c>
      <c r="E33" s="1">
        <v>1.7881999999999999E-2</v>
      </c>
      <c r="F33" s="1">
        <v>0</v>
      </c>
      <c r="G33" s="1">
        <v>2.7980000000000001E-2</v>
      </c>
      <c r="H33" s="1">
        <v>4.1300000000000001E-4</v>
      </c>
      <c r="I33" s="1">
        <v>0</v>
      </c>
      <c r="J33" s="1">
        <v>0</v>
      </c>
      <c r="K33" s="1">
        <v>1.851E-3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1.2260000000000001E-3</v>
      </c>
      <c r="W33" s="1">
        <v>1.0970000000000001E-3</v>
      </c>
      <c r="X33" s="1">
        <v>0</v>
      </c>
      <c r="Y33" s="1">
        <v>0</v>
      </c>
      <c r="Z33" s="1">
        <v>0</v>
      </c>
      <c r="AA33" s="1">
        <v>0</v>
      </c>
      <c r="AB33" s="1">
        <v>1.756E-3</v>
      </c>
      <c r="AC33" s="1">
        <v>0</v>
      </c>
      <c r="AD33" s="1">
        <v>0</v>
      </c>
      <c r="AE33" s="1">
        <v>3.01E-4</v>
      </c>
      <c r="AF33" s="1">
        <v>0</v>
      </c>
      <c r="AG33" s="1">
        <v>0</v>
      </c>
      <c r="AH33" s="1">
        <v>8.0850000000000002E-3</v>
      </c>
      <c r="AI33" s="1">
        <v>3.9500000000000001E-4</v>
      </c>
      <c r="AJ33" s="1">
        <v>0</v>
      </c>
    </row>
    <row r="34" spans="1:36" x14ac:dyDescent="0.25">
      <c r="A34" s="5">
        <f>IF(VLOOKUP(B34,Routing_Link_Mapping!$A:$C,2,FALSE)&lt;&gt;"",VLOOKUP(B34,Routing_Link_Mapping!$A:$C,2,FALSE),"")</f>
        <v>66</v>
      </c>
      <c r="B34" s="6">
        <v>32</v>
      </c>
      <c r="C34" s="1">
        <v>0.137355</v>
      </c>
      <c r="D34" s="1">
        <v>1.1614359999999999</v>
      </c>
      <c r="E34" s="1">
        <v>3.3476119999999998</v>
      </c>
      <c r="F34" s="1">
        <v>0</v>
      </c>
      <c r="G34" s="1">
        <v>1.0399999999999999E-4</v>
      </c>
      <c r="H34" s="1">
        <v>1.0000000000000001E-5</v>
      </c>
      <c r="I34" s="1">
        <v>0.16084799999999999</v>
      </c>
      <c r="J34" s="1">
        <v>0.44986799999999999</v>
      </c>
      <c r="K34" s="1">
        <v>3.629451</v>
      </c>
      <c r="L34" s="1">
        <v>0</v>
      </c>
      <c r="M34" s="1">
        <v>0</v>
      </c>
      <c r="N34" s="1">
        <v>0.37417699999999998</v>
      </c>
      <c r="O34" s="1">
        <v>1.3848780000000001</v>
      </c>
      <c r="P34" s="1">
        <v>0</v>
      </c>
      <c r="Q34" s="1">
        <v>0</v>
      </c>
      <c r="R34" s="1">
        <v>1.11137</v>
      </c>
      <c r="S34" s="1">
        <v>0</v>
      </c>
      <c r="T34" s="1">
        <v>0</v>
      </c>
      <c r="U34" s="1">
        <v>0</v>
      </c>
      <c r="V34" s="1">
        <v>0.36570200000000003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23.120908</v>
      </c>
      <c r="AC34" s="1">
        <v>0</v>
      </c>
      <c r="AD34" s="1">
        <v>0</v>
      </c>
      <c r="AE34" s="1">
        <v>0.73904099999999995</v>
      </c>
      <c r="AF34" s="1">
        <v>0</v>
      </c>
      <c r="AG34" s="1">
        <v>0</v>
      </c>
      <c r="AH34" s="1">
        <v>0</v>
      </c>
      <c r="AI34" s="1">
        <v>6.9999999999999999E-6</v>
      </c>
      <c r="AJ34" s="1">
        <v>0</v>
      </c>
    </row>
    <row r="35" spans="1:36" x14ac:dyDescent="0.25">
      <c r="A35" s="5">
        <f>IF(VLOOKUP(B35,Routing_Link_Mapping!$A:$C,2,FALSE)&lt;&gt;"",VLOOKUP(B35,Routing_Link_Mapping!$A:$C,2,FALSE),"")</f>
        <v>191</v>
      </c>
      <c r="B35" s="6">
        <v>33</v>
      </c>
      <c r="C35" s="1">
        <v>1.438E-3</v>
      </c>
      <c r="D35" s="1">
        <v>5.5160000000000001E-3</v>
      </c>
      <c r="E35" s="1">
        <v>5.2499999999999997E-4</v>
      </c>
      <c r="F35" s="1">
        <v>0</v>
      </c>
      <c r="G35" s="1">
        <v>1.7E-5</v>
      </c>
      <c r="H35" s="1">
        <v>4.9185E-2</v>
      </c>
      <c r="I35" s="1">
        <v>0</v>
      </c>
      <c r="J35" s="1">
        <v>1.882E-3</v>
      </c>
      <c r="K35" s="1">
        <v>4.169E-3</v>
      </c>
      <c r="L35" s="1">
        <v>0</v>
      </c>
      <c r="M35" s="1">
        <v>0</v>
      </c>
      <c r="N35" s="1">
        <v>3.722E-3</v>
      </c>
      <c r="O35" s="1">
        <v>5.2449999999999997E-3</v>
      </c>
      <c r="P35" s="1">
        <v>0</v>
      </c>
      <c r="Q35" s="1">
        <v>0</v>
      </c>
      <c r="R35" s="1">
        <v>1.851E-3</v>
      </c>
      <c r="S35" s="1">
        <v>0</v>
      </c>
      <c r="T35" s="1">
        <v>1.8696999999999998E-2</v>
      </c>
      <c r="U35" s="1">
        <v>3.4999999999999997E-5</v>
      </c>
      <c r="V35" s="1">
        <v>1.17E-4</v>
      </c>
      <c r="W35" s="1">
        <v>1.8E-5</v>
      </c>
      <c r="X35" s="1">
        <v>1.5999999999999999E-5</v>
      </c>
      <c r="Y35" s="1">
        <v>0</v>
      </c>
      <c r="Z35" s="1">
        <v>0</v>
      </c>
      <c r="AA35" s="1">
        <v>0</v>
      </c>
      <c r="AB35" s="1">
        <v>6.1899999999999998E-4</v>
      </c>
      <c r="AC35" s="1">
        <v>0</v>
      </c>
      <c r="AD35" s="1">
        <v>2.8811E-2</v>
      </c>
      <c r="AE35" s="1">
        <v>2.6400000000000002E-4</v>
      </c>
      <c r="AF35" s="1">
        <v>0</v>
      </c>
      <c r="AG35" s="1">
        <v>1.4E-5</v>
      </c>
      <c r="AH35" s="1">
        <v>1.48E-3</v>
      </c>
      <c r="AI35" s="1">
        <v>0</v>
      </c>
      <c r="AJ35" s="1">
        <v>0</v>
      </c>
    </row>
    <row r="36" spans="1:36" x14ac:dyDescent="0.25">
      <c r="A36" s="5">
        <f>IF(VLOOKUP(B36,Routing_Link_Mapping!$A:$C,2,FALSE)&lt;&gt;"",VLOOKUP(B36,Routing_Link_Mapping!$A:$C,2,FALSE),"")</f>
        <v>185</v>
      </c>
      <c r="B36" s="6">
        <v>34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</row>
    <row r="37" spans="1:36" x14ac:dyDescent="0.25">
      <c r="A37" s="11"/>
      <c r="B37"/>
    </row>
    <row r="38" spans="1:36" x14ac:dyDescent="0.25">
      <c r="A38" s="11"/>
      <c r="B38"/>
    </row>
    <row r="39" spans="1:36" x14ac:dyDescent="0.25">
      <c r="A39" s="11"/>
    </row>
    <row r="40" spans="1:36" x14ac:dyDescent="0.25">
      <c r="A40" s="11"/>
    </row>
    <row r="41" spans="1:36" x14ac:dyDescent="0.25">
      <c r="A41" s="11"/>
    </row>
    <row r="42" spans="1:36" x14ac:dyDescent="0.25">
      <c r="A42" s="11"/>
    </row>
    <row r="43" spans="1:36" x14ac:dyDescent="0.25">
      <c r="A43" s="11"/>
    </row>
    <row r="44" spans="1:36" x14ac:dyDescent="0.25">
      <c r="A44" s="11"/>
    </row>
    <row r="45" spans="1:36" x14ac:dyDescent="0.25">
      <c r="A45" s="11"/>
    </row>
    <row r="46" spans="1:36" x14ac:dyDescent="0.25">
      <c r="A46" s="11"/>
    </row>
    <row r="47" spans="1:36" x14ac:dyDescent="0.25">
      <c r="A47" s="11"/>
    </row>
    <row r="48" spans="1:36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Routing_Link_Mapping</vt:lpstr>
      <vt:lpstr>Distributions</vt:lpstr>
      <vt:lpstr>Inputs</vt:lpstr>
      <vt:lpstr>Compositions</vt:lpstr>
      <vt:lpstr>Car</vt:lpstr>
      <vt:lpstr>Truck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Patrick</dc:creator>
  <cp:lastModifiedBy>Johnson, Patrick</cp:lastModifiedBy>
  <dcterms:created xsi:type="dcterms:W3CDTF">2019-04-09T14:01:03Z</dcterms:created>
  <dcterms:modified xsi:type="dcterms:W3CDTF">2022-04-20T21:05:48Z</dcterms:modified>
</cp:coreProperties>
</file>