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NVA_TPTO\110467001_495_Project_NEXT\Production\Task-3_Traffic\IJR_Revaluation\VISUM\2045 Build\AM\Vhelper\"/>
    </mc:Choice>
  </mc:AlternateContent>
  <xr:revisionPtr revIDLastSave="0" documentId="13_ncr:1_{0A4998A5-1CB2-46D5-AF9A-A4E53F8CAA55}" xr6:coauthVersionLast="46" xr6:coauthVersionMax="46" xr10:uidLastSave="{00000000-0000-0000-0000-000000000000}"/>
  <bookViews>
    <workbookView xWindow="-120" yWindow="-120" windowWidth="29040" windowHeight="15840" tabRatio="884" firstSheet="5" activeTab="16" xr2:uid="{00000000-000D-0000-FFFF-FFFF00000000}"/>
  </bookViews>
  <sheets>
    <sheet name="Control" sheetId="10" r:id="rId1"/>
    <sheet name="Freeway_Zone_Link_Mapping" sheetId="5" r:id="rId2"/>
    <sheet name="Arterial_Zone_Link_Mapping" sheetId="9" r:id="rId3"/>
    <sheet name="Link Closures" sheetId="19" r:id="rId4"/>
    <sheet name="VISUM_Freeway_OD" sheetId="1" r:id="rId5"/>
    <sheet name="Freeway_Truck" sheetId="3" r:id="rId6"/>
    <sheet name="Freeway_HOT" sheetId="14" r:id="rId7"/>
    <sheet name="Freeway_Car" sheetId="4" r:id="rId8"/>
    <sheet name="VISUM_Arterial_OD" sheetId="2" r:id="rId9"/>
    <sheet name="Arterial_Truck" sheetId="6" r:id="rId10"/>
    <sheet name="Arterial_HOT" sheetId="15" r:id="rId11"/>
    <sheet name="Arterial_Car" sheetId="7" r:id="rId12"/>
    <sheet name="Add_Demand_OD" sheetId="16" r:id="rId13"/>
    <sheet name="Compositions" sheetId="8" r:id="rId14"/>
    <sheet name="Compositions2" sheetId="12" state="hidden" r:id="rId15"/>
    <sheet name="Inputs" sheetId="11" r:id="rId16"/>
    <sheet name="Add_Demand_Inputs" sheetId="17" r:id="rId17"/>
    <sheet name="Inputs2" sheetId="13" state="hidden" r:id="rId18"/>
    <sheet name="Add_Demand_Inputs2" sheetId="18" state="hidden" r:id="rId19"/>
  </sheets>
  <externalReferences>
    <externalReference r:id="rId20"/>
  </externalReferences>
  <definedNames>
    <definedName name="_xlnm._FilterDatabase" localSheetId="2" hidden="1">Arterial_Zone_Link_Mapping!$A$1:$G$69</definedName>
    <definedName name="_xlnm._FilterDatabase" localSheetId="1" hidden="1">Freeway_Zone_Link_Mapping!$A$1:$F$47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1" i="4" l="1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AY1" i="4"/>
  <c r="A51" i="4"/>
  <c r="A49" i="14"/>
  <c r="A50" i="14"/>
  <c r="A51" i="14"/>
  <c r="AY1" i="14"/>
  <c r="AW1" i="14"/>
  <c r="AX1" i="14"/>
  <c r="Y51" i="3"/>
  <c r="Y51" i="4" s="1"/>
  <c r="Z51" i="3"/>
  <c r="Z51" i="4" s="1"/>
  <c r="AA51" i="3"/>
  <c r="AA51" i="4" s="1"/>
  <c r="AB51" i="3"/>
  <c r="AB51" i="4" s="1"/>
  <c r="AC51" i="3"/>
  <c r="AC51" i="4" s="1"/>
  <c r="AD51" i="3"/>
  <c r="AD51" i="4" s="1"/>
  <c r="AE51" i="3"/>
  <c r="AE51" i="4" s="1"/>
  <c r="AF51" i="3"/>
  <c r="AF51" i="4" s="1"/>
  <c r="AG51" i="3"/>
  <c r="AG51" i="4" s="1"/>
  <c r="AH51" i="3"/>
  <c r="AH51" i="4" s="1"/>
  <c r="AI51" i="3"/>
  <c r="AI51" i="4" s="1"/>
  <c r="AJ51" i="3"/>
  <c r="AJ51" i="4" s="1"/>
  <c r="AK51" i="3"/>
  <c r="AK51" i="4" s="1"/>
  <c r="AL51" i="3"/>
  <c r="AL51" i="4" s="1"/>
  <c r="AM51" i="3"/>
  <c r="AM51" i="4" s="1"/>
  <c r="AN51" i="3"/>
  <c r="AN51" i="4" s="1"/>
  <c r="AO51" i="3"/>
  <c r="AO51" i="4" s="1"/>
  <c r="AP51" i="3"/>
  <c r="AP51" i="4" s="1"/>
  <c r="AQ51" i="3"/>
  <c r="AQ51" i="4" s="1"/>
  <c r="AR51" i="3"/>
  <c r="AR51" i="4" s="1"/>
  <c r="AS51" i="3"/>
  <c r="AS51" i="4" s="1"/>
  <c r="AT51" i="3"/>
  <c r="AT51" i="4" s="1"/>
  <c r="AU51" i="3"/>
  <c r="AU51" i="4" s="1"/>
  <c r="AV51" i="3"/>
  <c r="AV51" i="4" s="1"/>
  <c r="AW51" i="3"/>
  <c r="AW51" i="4" s="1"/>
  <c r="AX51" i="3"/>
  <c r="AX51" i="4" s="1"/>
  <c r="AY51" i="3"/>
  <c r="AY51" i="4" s="1"/>
  <c r="AY3" i="3"/>
  <c r="AY3" i="4" s="1"/>
  <c r="AY4" i="3"/>
  <c r="AY4" i="4" s="1"/>
  <c r="AY5" i="3"/>
  <c r="AY5" i="4" s="1"/>
  <c r="AY6" i="3"/>
  <c r="AY6" i="4" s="1"/>
  <c r="AY7" i="3"/>
  <c r="AY7" i="4" s="1"/>
  <c r="AY8" i="3"/>
  <c r="AY8" i="4" s="1"/>
  <c r="AY9" i="3"/>
  <c r="AY9" i="4" s="1"/>
  <c r="AY10" i="3"/>
  <c r="AY10" i="4" s="1"/>
  <c r="AY11" i="3"/>
  <c r="AY11" i="4" s="1"/>
  <c r="AY12" i="3"/>
  <c r="AY12" i="4" s="1"/>
  <c r="AY13" i="3"/>
  <c r="AY13" i="4" s="1"/>
  <c r="AY14" i="3"/>
  <c r="AY14" i="4" s="1"/>
  <c r="AY15" i="3"/>
  <c r="AY15" i="4" s="1"/>
  <c r="AY16" i="3"/>
  <c r="AY16" i="4" s="1"/>
  <c r="AY17" i="3"/>
  <c r="AY17" i="4" s="1"/>
  <c r="AY18" i="3"/>
  <c r="AY18" i="4" s="1"/>
  <c r="AY19" i="3"/>
  <c r="AY19" i="4" s="1"/>
  <c r="AY20" i="3"/>
  <c r="AY20" i="4" s="1"/>
  <c r="AY21" i="3"/>
  <c r="AY21" i="4" s="1"/>
  <c r="AY22" i="3"/>
  <c r="AY22" i="4" s="1"/>
  <c r="AY23" i="3"/>
  <c r="AY23" i="4" s="1"/>
  <c r="AY24" i="3"/>
  <c r="AY24" i="4" s="1"/>
  <c r="AY25" i="3"/>
  <c r="AY25" i="4" s="1"/>
  <c r="AY26" i="3"/>
  <c r="AY26" i="4" s="1"/>
  <c r="AY27" i="3"/>
  <c r="AY27" i="4" s="1"/>
  <c r="AY28" i="3"/>
  <c r="AY28" i="4" s="1"/>
  <c r="AY29" i="3"/>
  <c r="AY29" i="4" s="1"/>
  <c r="AY30" i="3"/>
  <c r="AY30" i="4" s="1"/>
  <c r="AY31" i="3"/>
  <c r="AY31" i="4" s="1"/>
  <c r="AY32" i="3"/>
  <c r="AY32" i="4" s="1"/>
  <c r="AY33" i="3"/>
  <c r="AY33" i="4" s="1"/>
  <c r="AY34" i="3"/>
  <c r="AY34" i="4" s="1"/>
  <c r="AY35" i="3"/>
  <c r="AY35" i="4" s="1"/>
  <c r="AY36" i="3"/>
  <c r="AY36" i="4" s="1"/>
  <c r="AY37" i="3"/>
  <c r="AY37" i="4" s="1"/>
  <c r="AY38" i="3"/>
  <c r="AY38" i="4" s="1"/>
  <c r="AY39" i="3"/>
  <c r="AY39" i="4" s="1"/>
  <c r="AY40" i="3"/>
  <c r="AY40" i="4" s="1"/>
  <c r="AY41" i="3"/>
  <c r="AY41" i="4" s="1"/>
  <c r="AY42" i="3"/>
  <c r="AY42" i="4" s="1"/>
  <c r="AY43" i="3"/>
  <c r="AY43" i="4" s="1"/>
  <c r="AY44" i="3"/>
  <c r="AY44" i="4" s="1"/>
  <c r="AY45" i="3"/>
  <c r="AY45" i="4" s="1"/>
  <c r="AY46" i="3"/>
  <c r="AY46" i="4" s="1"/>
  <c r="AY47" i="3"/>
  <c r="AY47" i="4" s="1"/>
  <c r="AY48" i="3"/>
  <c r="AY48" i="4" s="1"/>
  <c r="AY49" i="3"/>
  <c r="AY49" i="4" s="1"/>
  <c r="AY50" i="3"/>
  <c r="AY50" i="4" s="1"/>
  <c r="AY1" i="3"/>
  <c r="A51" i="3"/>
  <c r="AW1" i="16" l="1"/>
  <c r="AX1" i="16"/>
  <c r="A49" i="16"/>
  <c r="A50" i="16"/>
  <c r="AW1" i="4"/>
  <c r="AX1" i="4"/>
  <c r="A49" i="4"/>
  <c r="A50" i="4"/>
  <c r="C49" i="3"/>
  <c r="C49" i="4" s="1"/>
  <c r="D49" i="3"/>
  <c r="D49" i="4" s="1"/>
  <c r="E49" i="3"/>
  <c r="E49" i="4" s="1"/>
  <c r="F49" i="3"/>
  <c r="F49" i="4" s="1"/>
  <c r="G49" i="3"/>
  <c r="G49" i="4" s="1"/>
  <c r="H49" i="3"/>
  <c r="H49" i="4" s="1"/>
  <c r="I49" i="3"/>
  <c r="I49" i="4" s="1"/>
  <c r="J49" i="3"/>
  <c r="J49" i="4" s="1"/>
  <c r="K49" i="3"/>
  <c r="K49" i="4" s="1"/>
  <c r="L49" i="3"/>
  <c r="L49" i="4" s="1"/>
  <c r="M49" i="3"/>
  <c r="M49" i="4" s="1"/>
  <c r="N49" i="3"/>
  <c r="N49" i="4" s="1"/>
  <c r="O49" i="3"/>
  <c r="O49" i="4" s="1"/>
  <c r="P49" i="3"/>
  <c r="P49" i="4" s="1"/>
  <c r="Q49" i="3"/>
  <c r="Q49" i="4" s="1"/>
  <c r="R49" i="3"/>
  <c r="R49" i="4" s="1"/>
  <c r="S49" i="3"/>
  <c r="S49" i="4" s="1"/>
  <c r="T49" i="3"/>
  <c r="T49" i="4" s="1"/>
  <c r="U49" i="3"/>
  <c r="U49" i="4" s="1"/>
  <c r="V49" i="3"/>
  <c r="V49" i="4" s="1"/>
  <c r="W49" i="3"/>
  <c r="W49" i="4" s="1"/>
  <c r="X49" i="3"/>
  <c r="X49" i="4" s="1"/>
  <c r="Y49" i="3"/>
  <c r="Y49" i="4" s="1"/>
  <c r="Z49" i="3"/>
  <c r="Z49" i="4" s="1"/>
  <c r="AA49" i="3"/>
  <c r="AA49" i="4" s="1"/>
  <c r="AB49" i="3"/>
  <c r="AB49" i="4" s="1"/>
  <c r="AC49" i="3"/>
  <c r="AC49" i="4" s="1"/>
  <c r="AD49" i="3"/>
  <c r="AD49" i="4" s="1"/>
  <c r="AE49" i="3"/>
  <c r="AE49" i="4" s="1"/>
  <c r="AF49" i="3"/>
  <c r="AF49" i="4" s="1"/>
  <c r="AG49" i="3"/>
  <c r="AG49" i="4" s="1"/>
  <c r="AH49" i="3"/>
  <c r="AH49" i="4" s="1"/>
  <c r="AI49" i="3"/>
  <c r="AI49" i="4" s="1"/>
  <c r="AJ49" i="3"/>
  <c r="AJ49" i="4" s="1"/>
  <c r="AK49" i="3"/>
  <c r="AK49" i="4" s="1"/>
  <c r="AL49" i="3"/>
  <c r="AL49" i="4" s="1"/>
  <c r="AM49" i="3"/>
  <c r="AM49" i="4" s="1"/>
  <c r="AN49" i="3"/>
  <c r="AN49" i="4" s="1"/>
  <c r="AO49" i="3"/>
  <c r="AO49" i="4" s="1"/>
  <c r="AP49" i="3"/>
  <c r="AP49" i="4" s="1"/>
  <c r="AQ49" i="3"/>
  <c r="AQ49" i="4" s="1"/>
  <c r="AR49" i="3"/>
  <c r="AR49" i="4" s="1"/>
  <c r="AS49" i="3"/>
  <c r="AS49" i="4" s="1"/>
  <c r="AT49" i="3"/>
  <c r="AT49" i="4" s="1"/>
  <c r="AU49" i="3"/>
  <c r="AU49" i="4" s="1"/>
  <c r="AV49" i="3"/>
  <c r="AV49" i="4" s="1"/>
  <c r="AW49" i="3"/>
  <c r="AW49" i="4" s="1"/>
  <c r="AX49" i="3"/>
  <c r="AX49" i="4" s="1"/>
  <c r="C50" i="3"/>
  <c r="C50" i="4" s="1"/>
  <c r="D50" i="3"/>
  <c r="D50" i="4" s="1"/>
  <c r="E50" i="3"/>
  <c r="E50" i="4" s="1"/>
  <c r="F50" i="3"/>
  <c r="F50" i="4" s="1"/>
  <c r="G50" i="3"/>
  <c r="G50" i="4" s="1"/>
  <c r="H50" i="3"/>
  <c r="H50" i="4" s="1"/>
  <c r="I50" i="3"/>
  <c r="I50" i="4" s="1"/>
  <c r="J50" i="3"/>
  <c r="J50" i="4" s="1"/>
  <c r="K50" i="3"/>
  <c r="K50" i="4" s="1"/>
  <c r="L50" i="3"/>
  <c r="L50" i="4" s="1"/>
  <c r="M50" i="3"/>
  <c r="M50" i="4" s="1"/>
  <c r="N50" i="3"/>
  <c r="N50" i="4" s="1"/>
  <c r="O50" i="3"/>
  <c r="O50" i="4" s="1"/>
  <c r="P50" i="3"/>
  <c r="P50" i="4" s="1"/>
  <c r="Q50" i="3"/>
  <c r="Q50" i="4" s="1"/>
  <c r="R50" i="3"/>
  <c r="R50" i="4" s="1"/>
  <c r="S50" i="3"/>
  <c r="S50" i="4" s="1"/>
  <c r="T50" i="3"/>
  <c r="T50" i="4" s="1"/>
  <c r="U50" i="3"/>
  <c r="U50" i="4" s="1"/>
  <c r="V50" i="3"/>
  <c r="V50" i="4" s="1"/>
  <c r="W50" i="3"/>
  <c r="W50" i="4" s="1"/>
  <c r="X50" i="3"/>
  <c r="X50" i="4" s="1"/>
  <c r="Y50" i="3"/>
  <c r="Y50" i="4" s="1"/>
  <c r="Z50" i="3"/>
  <c r="Z50" i="4" s="1"/>
  <c r="AA50" i="3"/>
  <c r="AA50" i="4" s="1"/>
  <c r="AB50" i="3"/>
  <c r="AB50" i="4" s="1"/>
  <c r="AC50" i="3"/>
  <c r="AC50" i="4" s="1"/>
  <c r="AD50" i="3"/>
  <c r="AD50" i="4" s="1"/>
  <c r="AE50" i="3"/>
  <c r="AE50" i="4" s="1"/>
  <c r="AF50" i="3"/>
  <c r="AF50" i="4" s="1"/>
  <c r="AG50" i="3"/>
  <c r="AG50" i="4" s="1"/>
  <c r="AH50" i="3"/>
  <c r="AH50" i="4" s="1"/>
  <c r="AI50" i="3"/>
  <c r="AI50" i="4" s="1"/>
  <c r="AJ50" i="3"/>
  <c r="AJ50" i="4" s="1"/>
  <c r="AK50" i="3"/>
  <c r="AK50" i="4" s="1"/>
  <c r="AL50" i="3"/>
  <c r="AL50" i="4" s="1"/>
  <c r="AM50" i="3"/>
  <c r="AM50" i="4" s="1"/>
  <c r="AN50" i="3"/>
  <c r="AN50" i="4" s="1"/>
  <c r="AO50" i="3"/>
  <c r="AO50" i="4" s="1"/>
  <c r="AP50" i="3"/>
  <c r="AP50" i="4" s="1"/>
  <c r="AQ50" i="3"/>
  <c r="AQ50" i="4" s="1"/>
  <c r="AR50" i="3"/>
  <c r="AR50" i="4" s="1"/>
  <c r="AS50" i="3"/>
  <c r="AS50" i="4" s="1"/>
  <c r="AT50" i="3"/>
  <c r="AT50" i="4" s="1"/>
  <c r="AU50" i="3"/>
  <c r="AU50" i="4" s="1"/>
  <c r="AV50" i="3"/>
  <c r="AV50" i="4" s="1"/>
  <c r="AW50" i="3"/>
  <c r="AW50" i="4" s="1"/>
  <c r="AX50" i="3"/>
  <c r="AX50" i="4" s="1"/>
  <c r="AV4" i="3"/>
  <c r="AW4" i="3"/>
  <c r="AW4" i="4" s="1"/>
  <c r="AX4" i="3"/>
  <c r="AX4" i="4" s="1"/>
  <c r="AV5" i="3"/>
  <c r="AW5" i="3"/>
  <c r="AW5" i="4" s="1"/>
  <c r="AX5" i="3"/>
  <c r="AX5" i="4" s="1"/>
  <c r="AV6" i="3"/>
  <c r="AW6" i="3"/>
  <c r="AW6" i="4" s="1"/>
  <c r="AX6" i="3"/>
  <c r="AX6" i="4" s="1"/>
  <c r="AV7" i="3"/>
  <c r="AV7" i="4" s="1"/>
  <c r="AW7" i="3"/>
  <c r="AW7" i="4" s="1"/>
  <c r="AX7" i="3"/>
  <c r="AX7" i="4" s="1"/>
  <c r="AV8" i="3"/>
  <c r="AV8" i="4" s="1"/>
  <c r="AW8" i="3"/>
  <c r="AW8" i="4" s="1"/>
  <c r="AX8" i="3"/>
  <c r="AX8" i="4" s="1"/>
  <c r="AV9" i="3"/>
  <c r="AV9" i="4" s="1"/>
  <c r="AW9" i="3"/>
  <c r="AW9" i="4" s="1"/>
  <c r="AX9" i="3"/>
  <c r="AX9" i="4" s="1"/>
  <c r="AV10" i="3"/>
  <c r="AV10" i="4" s="1"/>
  <c r="AW10" i="3"/>
  <c r="AW10" i="4" s="1"/>
  <c r="AX10" i="3"/>
  <c r="AX10" i="4" s="1"/>
  <c r="AV11" i="3"/>
  <c r="AV11" i="4" s="1"/>
  <c r="AW11" i="3"/>
  <c r="AW11" i="4" s="1"/>
  <c r="AX11" i="3"/>
  <c r="AX11" i="4" s="1"/>
  <c r="AV12" i="3"/>
  <c r="AV12" i="4" s="1"/>
  <c r="AW12" i="3"/>
  <c r="AW12" i="4" s="1"/>
  <c r="AX12" i="3"/>
  <c r="AX12" i="4" s="1"/>
  <c r="AV13" i="3"/>
  <c r="AV13" i="4" s="1"/>
  <c r="AW13" i="3"/>
  <c r="AW13" i="4" s="1"/>
  <c r="AX13" i="3"/>
  <c r="AX13" i="4" s="1"/>
  <c r="AV14" i="3"/>
  <c r="AV14" i="4" s="1"/>
  <c r="AW14" i="3"/>
  <c r="AW14" i="4" s="1"/>
  <c r="AX14" i="3"/>
  <c r="AX14" i="4" s="1"/>
  <c r="AV15" i="3"/>
  <c r="AV15" i="4" s="1"/>
  <c r="AW15" i="3"/>
  <c r="AW15" i="4" s="1"/>
  <c r="AX15" i="3"/>
  <c r="AX15" i="4" s="1"/>
  <c r="AV16" i="3"/>
  <c r="AV16" i="4" s="1"/>
  <c r="AW16" i="3"/>
  <c r="AW16" i="4" s="1"/>
  <c r="AX16" i="3"/>
  <c r="AX16" i="4" s="1"/>
  <c r="AV17" i="3"/>
  <c r="AV17" i="4" s="1"/>
  <c r="AW17" i="3"/>
  <c r="AW17" i="4" s="1"/>
  <c r="AX17" i="3"/>
  <c r="AX17" i="4" s="1"/>
  <c r="AV18" i="3"/>
  <c r="AV18" i="4" s="1"/>
  <c r="AW18" i="3"/>
  <c r="AW18" i="4" s="1"/>
  <c r="AX18" i="3"/>
  <c r="AX18" i="4" s="1"/>
  <c r="AV19" i="3"/>
  <c r="AV19" i="4" s="1"/>
  <c r="AW19" i="3"/>
  <c r="AW19" i="4" s="1"/>
  <c r="AX19" i="3"/>
  <c r="AX19" i="4" s="1"/>
  <c r="AV20" i="3"/>
  <c r="AV20" i="4" s="1"/>
  <c r="AW20" i="3"/>
  <c r="AW20" i="4" s="1"/>
  <c r="AX20" i="3"/>
  <c r="AX20" i="4" s="1"/>
  <c r="AV21" i="3"/>
  <c r="AV21" i="4" s="1"/>
  <c r="AW21" i="3"/>
  <c r="AW21" i="4" s="1"/>
  <c r="AX21" i="3"/>
  <c r="AX21" i="4" s="1"/>
  <c r="AV22" i="3"/>
  <c r="AV22" i="4" s="1"/>
  <c r="AW22" i="3"/>
  <c r="AW22" i="4" s="1"/>
  <c r="AX22" i="3"/>
  <c r="AX22" i="4" s="1"/>
  <c r="AV23" i="3"/>
  <c r="AV23" i="4" s="1"/>
  <c r="AW23" i="3"/>
  <c r="AW23" i="4" s="1"/>
  <c r="AX23" i="3"/>
  <c r="AX23" i="4" s="1"/>
  <c r="AV24" i="3"/>
  <c r="AV24" i="4" s="1"/>
  <c r="AW24" i="3"/>
  <c r="AW24" i="4" s="1"/>
  <c r="AX24" i="3"/>
  <c r="AX24" i="4" s="1"/>
  <c r="AV25" i="3"/>
  <c r="AV25" i="4" s="1"/>
  <c r="AW25" i="3"/>
  <c r="AW25" i="4" s="1"/>
  <c r="AX25" i="3"/>
  <c r="AX25" i="4" s="1"/>
  <c r="AV26" i="3"/>
  <c r="AV26" i="4" s="1"/>
  <c r="AW26" i="3"/>
  <c r="AW26" i="4" s="1"/>
  <c r="AX26" i="3"/>
  <c r="AX26" i="4" s="1"/>
  <c r="AV27" i="3"/>
  <c r="AV27" i="4" s="1"/>
  <c r="AW27" i="3"/>
  <c r="AW27" i="4" s="1"/>
  <c r="AX27" i="3"/>
  <c r="AX27" i="4" s="1"/>
  <c r="AV28" i="3"/>
  <c r="AV28" i="4" s="1"/>
  <c r="AW28" i="3"/>
  <c r="AW28" i="4" s="1"/>
  <c r="AX28" i="3"/>
  <c r="AX28" i="4" s="1"/>
  <c r="AV29" i="3"/>
  <c r="AV29" i="4" s="1"/>
  <c r="AW29" i="3"/>
  <c r="AW29" i="4" s="1"/>
  <c r="AX29" i="3"/>
  <c r="AX29" i="4" s="1"/>
  <c r="AV30" i="3"/>
  <c r="AV30" i="4" s="1"/>
  <c r="AW30" i="3"/>
  <c r="AW30" i="4" s="1"/>
  <c r="AX30" i="3"/>
  <c r="AX30" i="4" s="1"/>
  <c r="AV31" i="3"/>
  <c r="AV31" i="4" s="1"/>
  <c r="AW31" i="3"/>
  <c r="AW31" i="4" s="1"/>
  <c r="AX31" i="3"/>
  <c r="AX31" i="4" s="1"/>
  <c r="AV32" i="3"/>
  <c r="AV32" i="4" s="1"/>
  <c r="AW32" i="3"/>
  <c r="AW32" i="4" s="1"/>
  <c r="AX32" i="3"/>
  <c r="AX32" i="4" s="1"/>
  <c r="AV33" i="3"/>
  <c r="AV33" i="4" s="1"/>
  <c r="AW33" i="3"/>
  <c r="AW33" i="4" s="1"/>
  <c r="AX33" i="3"/>
  <c r="AX33" i="4" s="1"/>
  <c r="AV34" i="3"/>
  <c r="AV34" i="4" s="1"/>
  <c r="AW34" i="3"/>
  <c r="AW34" i="4" s="1"/>
  <c r="AX34" i="3"/>
  <c r="AX34" i="4" s="1"/>
  <c r="AV35" i="3"/>
  <c r="AV35" i="4" s="1"/>
  <c r="AW35" i="3"/>
  <c r="AW35" i="4" s="1"/>
  <c r="AX35" i="3"/>
  <c r="AX35" i="4" s="1"/>
  <c r="AV36" i="3"/>
  <c r="AV36" i="4" s="1"/>
  <c r="AW36" i="3"/>
  <c r="AW36" i="4" s="1"/>
  <c r="AX36" i="3"/>
  <c r="AX36" i="4" s="1"/>
  <c r="AV37" i="3"/>
  <c r="AV37" i="4" s="1"/>
  <c r="AW37" i="3"/>
  <c r="AW37" i="4" s="1"/>
  <c r="AX37" i="3"/>
  <c r="AX37" i="4" s="1"/>
  <c r="AV38" i="3"/>
  <c r="AV38" i="4" s="1"/>
  <c r="AW38" i="3"/>
  <c r="AW38" i="4" s="1"/>
  <c r="AX38" i="3"/>
  <c r="AX38" i="4" s="1"/>
  <c r="AV39" i="3"/>
  <c r="AV39" i="4" s="1"/>
  <c r="AW39" i="3"/>
  <c r="AW39" i="4" s="1"/>
  <c r="AX39" i="3"/>
  <c r="AX39" i="4" s="1"/>
  <c r="AV40" i="3"/>
  <c r="AV40" i="4" s="1"/>
  <c r="AW40" i="3"/>
  <c r="AW40" i="4" s="1"/>
  <c r="AX40" i="3"/>
  <c r="AX40" i="4" s="1"/>
  <c r="AV41" i="3"/>
  <c r="AV41" i="4" s="1"/>
  <c r="AW41" i="3"/>
  <c r="AW41" i="4" s="1"/>
  <c r="AX41" i="3"/>
  <c r="AX41" i="4" s="1"/>
  <c r="AV42" i="3"/>
  <c r="AV42" i="4" s="1"/>
  <c r="AW42" i="3"/>
  <c r="AW42" i="4" s="1"/>
  <c r="AX42" i="3"/>
  <c r="AX42" i="4" s="1"/>
  <c r="AV43" i="3"/>
  <c r="AV43" i="4" s="1"/>
  <c r="AW43" i="3"/>
  <c r="AW43" i="4" s="1"/>
  <c r="AX43" i="3"/>
  <c r="AX43" i="4" s="1"/>
  <c r="AV44" i="3"/>
  <c r="AV44" i="4" s="1"/>
  <c r="AW44" i="3"/>
  <c r="AW44" i="4" s="1"/>
  <c r="AX44" i="3"/>
  <c r="AX44" i="4" s="1"/>
  <c r="AV45" i="3"/>
  <c r="AV45" i="4" s="1"/>
  <c r="AW45" i="3"/>
  <c r="AW45" i="4" s="1"/>
  <c r="AX45" i="3"/>
  <c r="AX45" i="4" s="1"/>
  <c r="AV46" i="3"/>
  <c r="AV46" i="4" s="1"/>
  <c r="AW46" i="3"/>
  <c r="AW46" i="4" s="1"/>
  <c r="AX46" i="3"/>
  <c r="AX46" i="4" s="1"/>
  <c r="AV47" i="3"/>
  <c r="AV47" i="4" s="1"/>
  <c r="AW47" i="3"/>
  <c r="AW47" i="4" s="1"/>
  <c r="AX47" i="3"/>
  <c r="AX47" i="4" s="1"/>
  <c r="AV48" i="3"/>
  <c r="AV48" i="4" s="1"/>
  <c r="AW48" i="3"/>
  <c r="AW48" i="4" s="1"/>
  <c r="AX48" i="3"/>
  <c r="AX48" i="4" s="1"/>
  <c r="AW3" i="3"/>
  <c r="AW3" i="4" s="1"/>
  <c r="AX3" i="3"/>
  <c r="AX3" i="4" s="1"/>
  <c r="AW1" i="3"/>
  <c r="AX1" i="3"/>
  <c r="A49" i="3"/>
  <c r="A50" i="3"/>
  <c r="U70" i="11" l="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H15" i="3" l="1"/>
  <c r="N4" i="3"/>
  <c r="H4" i="3"/>
  <c r="C46" i="3" l="1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AT1" i="16" l="1"/>
  <c r="AU1" i="16"/>
  <c r="AV1" i="16"/>
  <c r="A46" i="16"/>
  <c r="A47" i="16"/>
  <c r="A48" i="16"/>
  <c r="F78" i="19" l="1"/>
  <c r="F79" i="19"/>
  <c r="F80" i="19"/>
  <c r="F81" i="19"/>
  <c r="F82" i="19"/>
  <c r="F83" i="19"/>
  <c r="F77" i="19"/>
  <c r="F76" i="19"/>
  <c r="F75" i="19"/>
  <c r="F74" i="19"/>
  <c r="F73" i="19"/>
  <c r="F72" i="19"/>
  <c r="F71" i="19"/>
  <c r="F70" i="19"/>
  <c r="F69" i="19"/>
  <c r="F68" i="19"/>
  <c r="F67" i="19"/>
  <c r="F66" i="19"/>
  <c r="F65" i="19"/>
  <c r="F64" i="19"/>
  <c r="F63" i="19"/>
  <c r="F62" i="19"/>
  <c r="F61" i="19"/>
  <c r="F60" i="19"/>
  <c r="F59" i="19"/>
  <c r="F58" i="19"/>
  <c r="F57" i="19"/>
  <c r="F56" i="19"/>
  <c r="F55" i="19"/>
  <c r="F54" i="19"/>
  <c r="F53" i="19"/>
  <c r="F52" i="19"/>
  <c r="F51" i="19"/>
  <c r="F50" i="19"/>
  <c r="F49" i="19"/>
  <c r="F48" i="19"/>
  <c r="F47" i="19"/>
  <c r="F46" i="19"/>
  <c r="F45" i="19"/>
  <c r="F44" i="19"/>
  <c r="F43" i="19"/>
  <c r="F42" i="19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AT1" i="4" l="1"/>
  <c r="AU1" i="4"/>
  <c r="AV1" i="4"/>
  <c r="A46" i="4"/>
  <c r="A47" i="4"/>
  <c r="A48" i="4"/>
  <c r="A46" i="14"/>
  <c r="A47" i="14"/>
  <c r="A48" i="14"/>
  <c r="AT1" i="14"/>
  <c r="AU1" i="14"/>
  <c r="AV1" i="14"/>
  <c r="AT1" i="3"/>
  <c r="AU1" i="3"/>
  <c r="AV1" i="3"/>
  <c r="A46" i="3"/>
  <c r="A47" i="3"/>
  <c r="A48" i="3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6" i="3"/>
  <c r="V46" i="4" s="1"/>
  <c r="W46" i="3"/>
  <c r="W46" i="4" s="1"/>
  <c r="X46" i="3"/>
  <c r="X46" i="4" s="1"/>
  <c r="Y46" i="3"/>
  <c r="Y46" i="4" s="1"/>
  <c r="Z46" i="3"/>
  <c r="Z46" i="4" s="1"/>
  <c r="AA46" i="3"/>
  <c r="AA46" i="4" s="1"/>
  <c r="AB46" i="3"/>
  <c r="AB46" i="4" s="1"/>
  <c r="AC46" i="3"/>
  <c r="AC46" i="4" s="1"/>
  <c r="AD46" i="3"/>
  <c r="AD46" i="4" s="1"/>
  <c r="AE46" i="3"/>
  <c r="AE46" i="4" s="1"/>
  <c r="AF46" i="3"/>
  <c r="AF46" i="4" s="1"/>
  <c r="AG46" i="3"/>
  <c r="AG46" i="4" s="1"/>
  <c r="AH46" i="3"/>
  <c r="AH46" i="4" s="1"/>
  <c r="AI46" i="3"/>
  <c r="AI46" i="4" s="1"/>
  <c r="AJ46" i="3"/>
  <c r="AJ46" i="4" s="1"/>
  <c r="AK46" i="3"/>
  <c r="AK46" i="4" s="1"/>
  <c r="AL46" i="3"/>
  <c r="AL46" i="4" s="1"/>
  <c r="AM46" i="3"/>
  <c r="AM46" i="4" s="1"/>
  <c r="AN46" i="3"/>
  <c r="AN46" i="4" s="1"/>
  <c r="AO46" i="3"/>
  <c r="AO46" i="4" s="1"/>
  <c r="AP46" i="3"/>
  <c r="AP46" i="4" s="1"/>
  <c r="AQ46" i="3"/>
  <c r="AQ46" i="4" s="1"/>
  <c r="AR46" i="3"/>
  <c r="AR46" i="4" s="1"/>
  <c r="AS46" i="3"/>
  <c r="AS46" i="4" s="1"/>
  <c r="V47" i="3"/>
  <c r="V47" i="4" s="1"/>
  <c r="W47" i="3"/>
  <c r="W47" i="4" s="1"/>
  <c r="X47" i="3"/>
  <c r="X47" i="4" s="1"/>
  <c r="Y47" i="3"/>
  <c r="Y47" i="4" s="1"/>
  <c r="Z47" i="3"/>
  <c r="Z47" i="4" s="1"/>
  <c r="AA47" i="3"/>
  <c r="AA47" i="4" s="1"/>
  <c r="AB47" i="3"/>
  <c r="AB47" i="4" s="1"/>
  <c r="AC47" i="3"/>
  <c r="AC47" i="4" s="1"/>
  <c r="AD47" i="3"/>
  <c r="AD47" i="4" s="1"/>
  <c r="AE47" i="3"/>
  <c r="AE47" i="4" s="1"/>
  <c r="AF47" i="3"/>
  <c r="AF47" i="4" s="1"/>
  <c r="AG47" i="3"/>
  <c r="AG47" i="4" s="1"/>
  <c r="AH47" i="3"/>
  <c r="AH47" i="4" s="1"/>
  <c r="AI47" i="3"/>
  <c r="AI47" i="4" s="1"/>
  <c r="AJ47" i="3"/>
  <c r="AJ47" i="4" s="1"/>
  <c r="AK47" i="3"/>
  <c r="AK47" i="4" s="1"/>
  <c r="AL47" i="3"/>
  <c r="AL47" i="4" s="1"/>
  <c r="AM47" i="3"/>
  <c r="AM47" i="4" s="1"/>
  <c r="AN47" i="3"/>
  <c r="AN47" i="4" s="1"/>
  <c r="AO47" i="3"/>
  <c r="AO47" i="4" s="1"/>
  <c r="AP47" i="3"/>
  <c r="AP47" i="4" s="1"/>
  <c r="AQ47" i="3"/>
  <c r="AQ47" i="4" s="1"/>
  <c r="AR47" i="3"/>
  <c r="AR47" i="4" s="1"/>
  <c r="AS47" i="3"/>
  <c r="AS47" i="4" s="1"/>
  <c r="V48" i="3"/>
  <c r="V48" i="4" s="1"/>
  <c r="W48" i="3"/>
  <c r="W48" i="4" s="1"/>
  <c r="X48" i="3"/>
  <c r="X48" i="4" s="1"/>
  <c r="Y48" i="3"/>
  <c r="Y48" i="4" s="1"/>
  <c r="Z48" i="3"/>
  <c r="Z48" i="4" s="1"/>
  <c r="AA48" i="3"/>
  <c r="AA48" i="4" s="1"/>
  <c r="AB48" i="3"/>
  <c r="AB48" i="4" s="1"/>
  <c r="AC48" i="3"/>
  <c r="AC48" i="4" s="1"/>
  <c r="AD48" i="3"/>
  <c r="AD48" i="4" s="1"/>
  <c r="AE48" i="3"/>
  <c r="AE48" i="4" s="1"/>
  <c r="AF48" i="3"/>
  <c r="AF48" i="4" s="1"/>
  <c r="AG48" i="3"/>
  <c r="AG48" i="4" s="1"/>
  <c r="AH48" i="3"/>
  <c r="AH48" i="4" s="1"/>
  <c r="AI48" i="3"/>
  <c r="AI48" i="4" s="1"/>
  <c r="AJ48" i="3"/>
  <c r="AJ48" i="4" s="1"/>
  <c r="AK48" i="3"/>
  <c r="AK48" i="4" s="1"/>
  <c r="AL48" i="3"/>
  <c r="AL48" i="4" s="1"/>
  <c r="AM48" i="3"/>
  <c r="AM48" i="4" s="1"/>
  <c r="AN48" i="3"/>
  <c r="AN48" i="4" s="1"/>
  <c r="AO48" i="3"/>
  <c r="AO48" i="4" s="1"/>
  <c r="AP48" i="3"/>
  <c r="AP48" i="4" s="1"/>
  <c r="AQ48" i="3"/>
  <c r="AQ48" i="4" s="1"/>
  <c r="AR48" i="3"/>
  <c r="AR48" i="4" s="1"/>
  <c r="AS48" i="3"/>
  <c r="AS48" i="4" s="1"/>
  <c r="AT4" i="3"/>
  <c r="AT4" i="4" s="1"/>
  <c r="AU4" i="3"/>
  <c r="AU4" i="4" s="1"/>
  <c r="AV4" i="4"/>
  <c r="AT5" i="3"/>
  <c r="AT5" i="4" s="1"/>
  <c r="AU5" i="3"/>
  <c r="AU5" i="4" s="1"/>
  <c r="AV5" i="4"/>
  <c r="AT6" i="3"/>
  <c r="AT6" i="4" s="1"/>
  <c r="AU6" i="3"/>
  <c r="AU6" i="4" s="1"/>
  <c r="AV6" i="4"/>
  <c r="AT7" i="3"/>
  <c r="AT7" i="4" s="1"/>
  <c r="AU7" i="3"/>
  <c r="AU7" i="4" s="1"/>
  <c r="AT8" i="3"/>
  <c r="AT8" i="4" s="1"/>
  <c r="AU8" i="3"/>
  <c r="AU8" i="4" s="1"/>
  <c r="AT9" i="3"/>
  <c r="AT9" i="4" s="1"/>
  <c r="AU9" i="3"/>
  <c r="AU9" i="4" s="1"/>
  <c r="AT10" i="3"/>
  <c r="AT10" i="4" s="1"/>
  <c r="AU10" i="3"/>
  <c r="AU10" i="4" s="1"/>
  <c r="AT11" i="3"/>
  <c r="AT11" i="4" s="1"/>
  <c r="AU11" i="3"/>
  <c r="AU11" i="4" s="1"/>
  <c r="AT12" i="3"/>
  <c r="AT12" i="4" s="1"/>
  <c r="AU12" i="3"/>
  <c r="AU12" i="4" s="1"/>
  <c r="AT13" i="3"/>
  <c r="AT13" i="4" s="1"/>
  <c r="AU13" i="3"/>
  <c r="AU13" i="4" s="1"/>
  <c r="AT14" i="3"/>
  <c r="AT14" i="4" s="1"/>
  <c r="AU14" i="3"/>
  <c r="AU14" i="4" s="1"/>
  <c r="AT15" i="3"/>
  <c r="AT15" i="4" s="1"/>
  <c r="AU15" i="3"/>
  <c r="AU15" i="4" s="1"/>
  <c r="AT16" i="3"/>
  <c r="AT16" i="4" s="1"/>
  <c r="AU16" i="3"/>
  <c r="AU16" i="4" s="1"/>
  <c r="AT17" i="3"/>
  <c r="AT17" i="4" s="1"/>
  <c r="AU17" i="3"/>
  <c r="AU17" i="4" s="1"/>
  <c r="AT18" i="3"/>
  <c r="AT18" i="4" s="1"/>
  <c r="AU18" i="3"/>
  <c r="AU18" i="4" s="1"/>
  <c r="AT19" i="3"/>
  <c r="AT19" i="4" s="1"/>
  <c r="AU19" i="3"/>
  <c r="AU19" i="4" s="1"/>
  <c r="AT20" i="3"/>
  <c r="AT20" i="4" s="1"/>
  <c r="AU20" i="3"/>
  <c r="AU20" i="4" s="1"/>
  <c r="AT21" i="3"/>
  <c r="AT21" i="4" s="1"/>
  <c r="AU21" i="3"/>
  <c r="AU21" i="4" s="1"/>
  <c r="AT22" i="3"/>
  <c r="AT22" i="4" s="1"/>
  <c r="AU22" i="3"/>
  <c r="AU22" i="4" s="1"/>
  <c r="AT23" i="3"/>
  <c r="AT23" i="4" s="1"/>
  <c r="AU23" i="3"/>
  <c r="AU23" i="4" s="1"/>
  <c r="AT24" i="3"/>
  <c r="AT24" i="4" s="1"/>
  <c r="AU24" i="3"/>
  <c r="AU24" i="4" s="1"/>
  <c r="AT25" i="3"/>
  <c r="AT25" i="4" s="1"/>
  <c r="AU25" i="3"/>
  <c r="AU25" i="4" s="1"/>
  <c r="AT26" i="3"/>
  <c r="AT26" i="4" s="1"/>
  <c r="AU26" i="3"/>
  <c r="AU26" i="4" s="1"/>
  <c r="AT27" i="3"/>
  <c r="AT27" i="4" s="1"/>
  <c r="AU27" i="3"/>
  <c r="AU27" i="4" s="1"/>
  <c r="AT28" i="3"/>
  <c r="AT28" i="4" s="1"/>
  <c r="AU28" i="3"/>
  <c r="AU28" i="4" s="1"/>
  <c r="AT29" i="3"/>
  <c r="AT29" i="4" s="1"/>
  <c r="AU29" i="3"/>
  <c r="AU29" i="4" s="1"/>
  <c r="AT30" i="3"/>
  <c r="AT30" i="4" s="1"/>
  <c r="AU30" i="3"/>
  <c r="AU30" i="4" s="1"/>
  <c r="AT31" i="3"/>
  <c r="AT31" i="4" s="1"/>
  <c r="AU31" i="3"/>
  <c r="AU31" i="4" s="1"/>
  <c r="AT32" i="3"/>
  <c r="AT32" i="4" s="1"/>
  <c r="AU32" i="3"/>
  <c r="AU32" i="4" s="1"/>
  <c r="AT33" i="3"/>
  <c r="AT33" i="4" s="1"/>
  <c r="AU33" i="3"/>
  <c r="AU33" i="4" s="1"/>
  <c r="AT34" i="3"/>
  <c r="AT34" i="4" s="1"/>
  <c r="AU34" i="3"/>
  <c r="AU34" i="4" s="1"/>
  <c r="AT35" i="3"/>
  <c r="AT35" i="4" s="1"/>
  <c r="AU35" i="3"/>
  <c r="AU35" i="4" s="1"/>
  <c r="AT36" i="3"/>
  <c r="AT36" i="4" s="1"/>
  <c r="AU36" i="3"/>
  <c r="AU36" i="4" s="1"/>
  <c r="AT37" i="3"/>
  <c r="AT37" i="4" s="1"/>
  <c r="AU37" i="3"/>
  <c r="AU37" i="4" s="1"/>
  <c r="AT38" i="3"/>
  <c r="AT38" i="4" s="1"/>
  <c r="AU38" i="3"/>
  <c r="AU38" i="4" s="1"/>
  <c r="AT39" i="3"/>
  <c r="AT39" i="4" s="1"/>
  <c r="AU39" i="3"/>
  <c r="AU39" i="4" s="1"/>
  <c r="AT40" i="3"/>
  <c r="AT40" i="4" s="1"/>
  <c r="AU40" i="3"/>
  <c r="AU40" i="4" s="1"/>
  <c r="AT41" i="3"/>
  <c r="AT41" i="4" s="1"/>
  <c r="AU41" i="3"/>
  <c r="AU41" i="4" s="1"/>
  <c r="AT42" i="3"/>
  <c r="AT42" i="4" s="1"/>
  <c r="AU42" i="3"/>
  <c r="AU42" i="4" s="1"/>
  <c r="AT43" i="3"/>
  <c r="AT43" i="4" s="1"/>
  <c r="AU43" i="3"/>
  <c r="AU43" i="4" s="1"/>
  <c r="AT44" i="3"/>
  <c r="AT44" i="4" s="1"/>
  <c r="AU44" i="3"/>
  <c r="AU44" i="4" s="1"/>
  <c r="AT45" i="3"/>
  <c r="AT45" i="4" s="1"/>
  <c r="AU45" i="3"/>
  <c r="AU45" i="4" s="1"/>
  <c r="AT46" i="3"/>
  <c r="AT46" i="4" s="1"/>
  <c r="AU46" i="3"/>
  <c r="AU46" i="4" s="1"/>
  <c r="AT47" i="3"/>
  <c r="AT47" i="4" s="1"/>
  <c r="AU47" i="3"/>
  <c r="AU47" i="4" s="1"/>
  <c r="AT48" i="3"/>
  <c r="AT48" i="4" s="1"/>
  <c r="AU48" i="3"/>
  <c r="AU48" i="4" s="1"/>
  <c r="AT3" i="3"/>
  <c r="AT3" i="4" s="1"/>
  <c r="AU3" i="3"/>
  <c r="AU3" i="4" s="1"/>
  <c r="AV3" i="3"/>
  <c r="AV3" i="4" s="1"/>
  <c r="H47" i="8" l="1"/>
  <c r="J47" i="8"/>
  <c r="N47" i="8"/>
  <c r="P47" i="8"/>
  <c r="P3" i="8"/>
  <c r="P4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P2" i="8"/>
  <c r="F9" i="3"/>
  <c r="G45" i="11"/>
  <c r="G46" i="11"/>
  <c r="H45" i="8" l="1"/>
  <c r="J45" i="8"/>
  <c r="N45" i="8"/>
  <c r="H46" i="8"/>
  <c r="J46" i="8"/>
  <c r="N46" i="8"/>
  <c r="BP1" i="7"/>
  <c r="BQ1" i="7"/>
  <c r="A68" i="7"/>
  <c r="A69" i="7"/>
  <c r="BP1" i="15"/>
  <c r="BQ1" i="15"/>
  <c r="A68" i="15"/>
  <c r="A69" i="15"/>
  <c r="BP3" i="6"/>
  <c r="BP3" i="7" s="1"/>
  <c r="BQ3" i="6"/>
  <c r="BQ3" i="7" s="1"/>
  <c r="BP4" i="6"/>
  <c r="BP4" i="7" s="1"/>
  <c r="BQ4" i="6"/>
  <c r="BQ4" i="7" s="1"/>
  <c r="BP5" i="6"/>
  <c r="BP5" i="7" s="1"/>
  <c r="BQ5" i="6"/>
  <c r="BQ5" i="7" s="1"/>
  <c r="BP6" i="6"/>
  <c r="BP6" i="7" s="1"/>
  <c r="BQ6" i="6"/>
  <c r="BQ6" i="7" s="1"/>
  <c r="BP7" i="6"/>
  <c r="BP7" i="7" s="1"/>
  <c r="BQ7" i="6"/>
  <c r="BQ7" i="7" s="1"/>
  <c r="BP8" i="6"/>
  <c r="BP8" i="7" s="1"/>
  <c r="BQ8" i="6"/>
  <c r="BQ8" i="7" s="1"/>
  <c r="BP9" i="6"/>
  <c r="BP9" i="7" s="1"/>
  <c r="BQ9" i="6"/>
  <c r="BQ9" i="7" s="1"/>
  <c r="BP10" i="6"/>
  <c r="BP10" i="7" s="1"/>
  <c r="BQ10" i="6"/>
  <c r="BQ10" i="7" s="1"/>
  <c r="BP11" i="6"/>
  <c r="BP11" i="7" s="1"/>
  <c r="BQ11" i="6"/>
  <c r="BQ11" i="7" s="1"/>
  <c r="BP12" i="6"/>
  <c r="BP12" i="7" s="1"/>
  <c r="BQ12" i="6"/>
  <c r="BQ12" i="7" s="1"/>
  <c r="BP13" i="6"/>
  <c r="BP13" i="7" s="1"/>
  <c r="BQ13" i="6"/>
  <c r="BQ13" i="7" s="1"/>
  <c r="BP14" i="6"/>
  <c r="BP14" i="7" s="1"/>
  <c r="BQ14" i="6"/>
  <c r="BQ14" i="7" s="1"/>
  <c r="BP15" i="6"/>
  <c r="BP15" i="7" s="1"/>
  <c r="BQ15" i="6"/>
  <c r="BQ15" i="7" s="1"/>
  <c r="BP16" i="6"/>
  <c r="BP16" i="7" s="1"/>
  <c r="BQ16" i="6"/>
  <c r="BQ16" i="7" s="1"/>
  <c r="BP17" i="6"/>
  <c r="BP17" i="7" s="1"/>
  <c r="BQ17" i="6"/>
  <c r="BQ17" i="7" s="1"/>
  <c r="BP18" i="6"/>
  <c r="BP18" i="7" s="1"/>
  <c r="BQ18" i="6"/>
  <c r="BQ18" i="7" s="1"/>
  <c r="BP19" i="6"/>
  <c r="BP19" i="7" s="1"/>
  <c r="BQ19" i="6"/>
  <c r="BQ19" i="7" s="1"/>
  <c r="BP20" i="6"/>
  <c r="BP20" i="7" s="1"/>
  <c r="BQ20" i="6"/>
  <c r="BQ20" i="7" s="1"/>
  <c r="BP21" i="6"/>
  <c r="BP21" i="7" s="1"/>
  <c r="BQ21" i="6"/>
  <c r="BQ21" i="7" s="1"/>
  <c r="BP22" i="6"/>
  <c r="BP22" i="7" s="1"/>
  <c r="BQ22" i="6"/>
  <c r="BQ22" i="7" s="1"/>
  <c r="BP23" i="6"/>
  <c r="BP23" i="7" s="1"/>
  <c r="BQ23" i="6"/>
  <c r="BQ23" i="7" s="1"/>
  <c r="BP24" i="6"/>
  <c r="BP24" i="7" s="1"/>
  <c r="BQ24" i="6"/>
  <c r="BQ24" i="7" s="1"/>
  <c r="BP25" i="6"/>
  <c r="BP25" i="7" s="1"/>
  <c r="BQ25" i="6"/>
  <c r="BQ25" i="7" s="1"/>
  <c r="BP26" i="6"/>
  <c r="BP26" i="7" s="1"/>
  <c r="BQ26" i="6"/>
  <c r="BQ26" i="7" s="1"/>
  <c r="BP27" i="6"/>
  <c r="BP27" i="7" s="1"/>
  <c r="BQ27" i="6"/>
  <c r="BQ27" i="7" s="1"/>
  <c r="BP28" i="6"/>
  <c r="BP28" i="7" s="1"/>
  <c r="BQ28" i="6"/>
  <c r="BQ28" i="7" s="1"/>
  <c r="BP29" i="6"/>
  <c r="BP29" i="7" s="1"/>
  <c r="BQ29" i="6"/>
  <c r="BQ29" i="7" s="1"/>
  <c r="BP30" i="6"/>
  <c r="BP30" i="7" s="1"/>
  <c r="BQ30" i="6"/>
  <c r="BQ30" i="7" s="1"/>
  <c r="BP31" i="6"/>
  <c r="BP31" i="7" s="1"/>
  <c r="BQ31" i="6"/>
  <c r="BQ31" i="7" s="1"/>
  <c r="BP32" i="6"/>
  <c r="BP32" i="7" s="1"/>
  <c r="BQ32" i="6"/>
  <c r="BQ32" i="7" s="1"/>
  <c r="BP33" i="6"/>
  <c r="BP33" i="7" s="1"/>
  <c r="BQ33" i="6"/>
  <c r="BQ33" i="7" s="1"/>
  <c r="BP34" i="6"/>
  <c r="BP34" i="7" s="1"/>
  <c r="BQ34" i="6"/>
  <c r="BQ34" i="7" s="1"/>
  <c r="BP35" i="6"/>
  <c r="BP35" i="7" s="1"/>
  <c r="BQ35" i="6"/>
  <c r="BQ35" i="7" s="1"/>
  <c r="BP36" i="6"/>
  <c r="BP36" i="7" s="1"/>
  <c r="BQ36" i="6"/>
  <c r="BQ36" i="7" s="1"/>
  <c r="BP37" i="6"/>
  <c r="BP37" i="7" s="1"/>
  <c r="BQ37" i="6"/>
  <c r="BQ37" i="7" s="1"/>
  <c r="BP38" i="6"/>
  <c r="BP38" i="7" s="1"/>
  <c r="BQ38" i="6"/>
  <c r="BQ38" i="7" s="1"/>
  <c r="BP39" i="6"/>
  <c r="BP39" i="7" s="1"/>
  <c r="BQ39" i="6"/>
  <c r="BQ39" i="7" s="1"/>
  <c r="BP40" i="6"/>
  <c r="BP40" i="7" s="1"/>
  <c r="BQ40" i="6"/>
  <c r="BQ40" i="7" s="1"/>
  <c r="BP41" i="6"/>
  <c r="BP41" i="7" s="1"/>
  <c r="BQ41" i="6"/>
  <c r="BQ41" i="7" s="1"/>
  <c r="BP42" i="6"/>
  <c r="BP42" i="7" s="1"/>
  <c r="BQ42" i="6"/>
  <c r="BQ42" i="7" s="1"/>
  <c r="BP43" i="6"/>
  <c r="BP43" i="7" s="1"/>
  <c r="BQ43" i="6"/>
  <c r="BQ43" i="7" s="1"/>
  <c r="BP44" i="6"/>
  <c r="BP44" i="7" s="1"/>
  <c r="BQ44" i="6"/>
  <c r="BQ44" i="7" s="1"/>
  <c r="BP45" i="6"/>
  <c r="BP45" i="7" s="1"/>
  <c r="BQ45" i="6"/>
  <c r="BQ45" i="7" s="1"/>
  <c r="BP46" i="6"/>
  <c r="BP46" i="7" s="1"/>
  <c r="BQ46" i="6"/>
  <c r="BQ46" i="7" s="1"/>
  <c r="BP47" i="6"/>
  <c r="BP47" i="7" s="1"/>
  <c r="BQ47" i="6"/>
  <c r="BQ47" i="7" s="1"/>
  <c r="BP48" i="6"/>
  <c r="BP48" i="7" s="1"/>
  <c r="BQ48" i="6"/>
  <c r="BQ48" i="7" s="1"/>
  <c r="BP49" i="6"/>
  <c r="BP49" i="7" s="1"/>
  <c r="BQ49" i="6"/>
  <c r="BQ49" i="7" s="1"/>
  <c r="BP50" i="6"/>
  <c r="BP50" i="7" s="1"/>
  <c r="BQ50" i="6"/>
  <c r="BQ50" i="7" s="1"/>
  <c r="BP51" i="6"/>
  <c r="BP51" i="7" s="1"/>
  <c r="BQ51" i="6"/>
  <c r="BQ51" i="7" s="1"/>
  <c r="BP52" i="6"/>
  <c r="BP52" i="7" s="1"/>
  <c r="BQ52" i="6"/>
  <c r="BQ52" i="7" s="1"/>
  <c r="BP53" i="6"/>
  <c r="BP53" i="7" s="1"/>
  <c r="BQ53" i="6"/>
  <c r="BQ53" i="7" s="1"/>
  <c r="BP54" i="6"/>
  <c r="BP54" i="7" s="1"/>
  <c r="BQ54" i="6"/>
  <c r="BQ54" i="7" s="1"/>
  <c r="BP55" i="6"/>
  <c r="BP55" i="7" s="1"/>
  <c r="BQ55" i="6"/>
  <c r="BQ55" i="7" s="1"/>
  <c r="BP56" i="6"/>
  <c r="BP56" i="7" s="1"/>
  <c r="BQ56" i="6"/>
  <c r="BQ56" i="7" s="1"/>
  <c r="BP57" i="6"/>
  <c r="BP57" i="7" s="1"/>
  <c r="BQ57" i="6"/>
  <c r="BQ57" i="7" s="1"/>
  <c r="BP58" i="6"/>
  <c r="BP58" i="7" s="1"/>
  <c r="BQ58" i="6"/>
  <c r="BQ58" i="7" s="1"/>
  <c r="BP59" i="6"/>
  <c r="BP59" i="7" s="1"/>
  <c r="BQ59" i="6"/>
  <c r="BQ59" i="7" s="1"/>
  <c r="BP60" i="6"/>
  <c r="BP60" i="7" s="1"/>
  <c r="BQ60" i="6"/>
  <c r="BQ60" i="7" s="1"/>
  <c r="BP61" i="6"/>
  <c r="BP61" i="7" s="1"/>
  <c r="BQ61" i="6"/>
  <c r="BQ61" i="7" s="1"/>
  <c r="BP62" i="6"/>
  <c r="BP62" i="7" s="1"/>
  <c r="BQ62" i="6"/>
  <c r="BQ62" i="7" s="1"/>
  <c r="BP63" i="6"/>
  <c r="BP63" i="7" s="1"/>
  <c r="BQ63" i="6"/>
  <c r="BQ63" i="7" s="1"/>
  <c r="BP64" i="6"/>
  <c r="BP64" i="7" s="1"/>
  <c r="BQ64" i="6"/>
  <c r="BQ64" i="7" s="1"/>
  <c r="BP65" i="6"/>
  <c r="BP65" i="7" s="1"/>
  <c r="BQ65" i="6"/>
  <c r="BQ65" i="7" s="1"/>
  <c r="BP66" i="6"/>
  <c r="BP66" i="7" s="1"/>
  <c r="BQ66" i="6"/>
  <c r="BQ66" i="7" s="1"/>
  <c r="BP67" i="6"/>
  <c r="BP67" i="7" s="1"/>
  <c r="BQ67" i="6"/>
  <c r="BQ67" i="7" s="1"/>
  <c r="BP68" i="6"/>
  <c r="BP68" i="7" s="1"/>
  <c r="BQ68" i="6"/>
  <c r="BQ68" i="7" s="1"/>
  <c r="BP69" i="6"/>
  <c r="BP69" i="7" s="1"/>
  <c r="BQ69" i="6"/>
  <c r="BQ69" i="7" s="1"/>
  <c r="BP1" i="6"/>
  <c r="BQ1" i="6"/>
  <c r="C68" i="6"/>
  <c r="D68" i="6"/>
  <c r="D68" i="7" s="1"/>
  <c r="E68" i="6"/>
  <c r="E68" i="7" s="1"/>
  <c r="F68" i="6"/>
  <c r="F68" i="7" s="1"/>
  <c r="G68" i="6"/>
  <c r="G68" i="7" s="1"/>
  <c r="H68" i="6"/>
  <c r="H68" i="7" s="1"/>
  <c r="I68" i="6"/>
  <c r="I68" i="7" s="1"/>
  <c r="J68" i="6"/>
  <c r="J68" i="7" s="1"/>
  <c r="K68" i="6"/>
  <c r="K68" i="7" s="1"/>
  <c r="L68" i="6"/>
  <c r="L68" i="7" s="1"/>
  <c r="M68" i="6"/>
  <c r="M68" i="7" s="1"/>
  <c r="N68" i="6"/>
  <c r="N68" i="7" s="1"/>
  <c r="O68" i="6"/>
  <c r="O68" i="7" s="1"/>
  <c r="P68" i="6"/>
  <c r="P68" i="7" s="1"/>
  <c r="Q68" i="6"/>
  <c r="Q68" i="7" s="1"/>
  <c r="R68" i="6"/>
  <c r="R68" i="7" s="1"/>
  <c r="S68" i="6"/>
  <c r="S68" i="7" s="1"/>
  <c r="T68" i="6"/>
  <c r="T68" i="7" s="1"/>
  <c r="U68" i="6"/>
  <c r="U68" i="7" s="1"/>
  <c r="V68" i="6"/>
  <c r="V68" i="7" s="1"/>
  <c r="W68" i="6"/>
  <c r="W68" i="7" s="1"/>
  <c r="X68" i="6"/>
  <c r="X68" i="7" s="1"/>
  <c r="Y68" i="6"/>
  <c r="Y68" i="7" s="1"/>
  <c r="Z68" i="6"/>
  <c r="Z68" i="7" s="1"/>
  <c r="AA68" i="6"/>
  <c r="AA68" i="7" s="1"/>
  <c r="AB68" i="6"/>
  <c r="AB68" i="7" s="1"/>
  <c r="AC68" i="6"/>
  <c r="AC68" i="7" s="1"/>
  <c r="AD68" i="6"/>
  <c r="AD68" i="7" s="1"/>
  <c r="AE68" i="6"/>
  <c r="AE68" i="7" s="1"/>
  <c r="AF68" i="6"/>
  <c r="AF68" i="7" s="1"/>
  <c r="AG68" i="6"/>
  <c r="AG68" i="7" s="1"/>
  <c r="AH68" i="6"/>
  <c r="AH68" i="7" s="1"/>
  <c r="AI68" i="6"/>
  <c r="AI68" i="7" s="1"/>
  <c r="AJ68" i="6"/>
  <c r="AJ68" i="7" s="1"/>
  <c r="AK68" i="6"/>
  <c r="AK68" i="7" s="1"/>
  <c r="AL68" i="6"/>
  <c r="AL68" i="7" s="1"/>
  <c r="AM68" i="6"/>
  <c r="AM68" i="7" s="1"/>
  <c r="AN68" i="6"/>
  <c r="AN68" i="7" s="1"/>
  <c r="AO68" i="6"/>
  <c r="AO68" i="7" s="1"/>
  <c r="AP68" i="6"/>
  <c r="AP68" i="7" s="1"/>
  <c r="AQ68" i="6"/>
  <c r="AQ68" i="7" s="1"/>
  <c r="AR68" i="6"/>
  <c r="AR68" i="7" s="1"/>
  <c r="AS68" i="6"/>
  <c r="AS68" i="7" s="1"/>
  <c r="AT68" i="6"/>
  <c r="AT68" i="7" s="1"/>
  <c r="AU68" i="6"/>
  <c r="AU68" i="7" s="1"/>
  <c r="AV68" i="6"/>
  <c r="AV68" i="7" s="1"/>
  <c r="AW68" i="6"/>
  <c r="AW68" i="7" s="1"/>
  <c r="AX68" i="6"/>
  <c r="AX68" i="7" s="1"/>
  <c r="AY68" i="6"/>
  <c r="AY68" i="7" s="1"/>
  <c r="AZ68" i="6"/>
  <c r="AZ68" i="7" s="1"/>
  <c r="BA68" i="6"/>
  <c r="BA68" i="7" s="1"/>
  <c r="BB68" i="6"/>
  <c r="BB68" i="7" s="1"/>
  <c r="BC68" i="6"/>
  <c r="BC68" i="7" s="1"/>
  <c r="BD68" i="6"/>
  <c r="BD68" i="7" s="1"/>
  <c r="BE68" i="6"/>
  <c r="BE68" i="7" s="1"/>
  <c r="BF68" i="6"/>
  <c r="BF68" i="7" s="1"/>
  <c r="BG68" i="6"/>
  <c r="BG68" i="7" s="1"/>
  <c r="BH68" i="6"/>
  <c r="BH68" i="7" s="1"/>
  <c r="BI68" i="6"/>
  <c r="BI68" i="7" s="1"/>
  <c r="BJ68" i="6"/>
  <c r="BJ68" i="7" s="1"/>
  <c r="BK68" i="6"/>
  <c r="BK68" i="7" s="1"/>
  <c r="BL68" i="6"/>
  <c r="BL68" i="7" s="1"/>
  <c r="BM68" i="6"/>
  <c r="BM68" i="7" s="1"/>
  <c r="BN68" i="6"/>
  <c r="BN68" i="7" s="1"/>
  <c r="BO68" i="6"/>
  <c r="BO68" i="7" s="1"/>
  <c r="C69" i="6"/>
  <c r="D69" i="6"/>
  <c r="D69" i="7" s="1"/>
  <c r="E69" i="6"/>
  <c r="E69" i="7" s="1"/>
  <c r="F69" i="6"/>
  <c r="F69" i="7" s="1"/>
  <c r="G69" i="6"/>
  <c r="G69" i="7" s="1"/>
  <c r="H69" i="6"/>
  <c r="H69" i="7" s="1"/>
  <c r="I69" i="6"/>
  <c r="I69" i="7" s="1"/>
  <c r="J69" i="6"/>
  <c r="J69" i="7" s="1"/>
  <c r="K69" i="6"/>
  <c r="K69" i="7" s="1"/>
  <c r="L69" i="6"/>
  <c r="L69" i="7" s="1"/>
  <c r="M69" i="6"/>
  <c r="M69" i="7" s="1"/>
  <c r="N69" i="6"/>
  <c r="N69" i="7" s="1"/>
  <c r="O69" i="6"/>
  <c r="O69" i="7" s="1"/>
  <c r="P69" i="6"/>
  <c r="P69" i="7" s="1"/>
  <c r="Q69" i="6"/>
  <c r="Q69" i="7" s="1"/>
  <c r="R69" i="6"/>
  <c r="R69" i="7" s="1"/>
  <c r="S69" i="6"/>
  <c r="S69" i="7" s="1"/>
  <c r="T69" i="6"/>
  <c r="T69" i="7" s="1"/>
  <c r="U69" i="6"/>
  <c r="U69" i="7" s="1"/>
  <c r="V69" i="6"/>
  <c r="V69" i="7" s="1"/>
  <c r="W69" i="6"/>
  <c r="W69" i="7" s="1"/>
  <c r="X69" i="6"/>
  <c r="X69" i="7" s="1"/>
  <c r="Y69" i="6"/>
  <c r="Y69" i="7" s="1"/>
  <c r="Z69" i="6"/>
  <c r="Z69" i="7" s="1"/>
  <c r="AA69" i="6"/>
  <c r="AA69" i="7" s="1"/>
  <c r="AB69" i="6"/>
  <c r="AB69" i="7" s="1"/>
  <c r="AC69" i="6"/>
  <c r="AC69" i="7" s="1"/>
  <c r="AD69" i="6"/>
  <c r="AD69" i="7" s="1"/>
  <c r="AE69" i="6"/>
  <c r="AE69" i="7" s="1"/>
  <c r="AF69" i="6"/>
  <c r="AF69" i="7" s="1"/>
  <c r="AG69" i="6"/>
  <c r="AG69" i="7" s="1"/>
  <c r="AH69" i="6"/>
  <c r="AH69" i="7" s="1"/>
  <c r="AI69" i="6"/>
  <c r="AI69" i="7" s="1"/>
  <c r="AJ69" i="6"/>
  <c r="AJ69" i="7" s="1"/>
  <c r="AK69" i="6"/>
  <c r="AK69" i="7" s="1"/>
  <c r="AL69" i="6"/>
  <c r="AL69" i="7" s="1"/>
  <c r="AM69" i="6"/>
  <c r="AM69" i="7" s="1"/>
  <c r="AN69" i="6"/>
  <c r="AN69" i="7" s="1"/>
  <c r="AO69" i="6"/>
  <c r="AO69" i="7" s="1"/>
  <c r="AP69" i="6"/>
  <c r="AP69" i="7" s="1"/>
  <c r="AQ69" i="6"/>
  <c r="AQ69" i="7" s="1"/>
  <c r="AR69" i="6"/>
  <c r="AR69" i="7" s="1"/>
  <c r="AS69" i="6"/>
  <c r="AS69" i="7" s="1"/>
  <c r="AT69" i="6"/>
  <c r="AT69" i="7" s="1"/>
  <c r="AU69" i="6"/>
  <c r="AU69" i="7" s="1"/>
  <c r="AV69" i="6"/>
  <c r="AV69" i="7" s="1"/>
  <c r="AW69" i="6"/>
  <c r="AW69" i="7" s="1"/>
  <c r="AX69" i="6"/>
  <c r="AX69" i="7" s="1"/>
  <c r="AY69" i="6"/>
  <c r="AY69" i="7" s="1"/>
  <c r="AZ69" i="6"/>
  <c r="AZ69" i="7" s="1"/>
  <c r="BA69" i="6"/>
  <c r="BA69" i="7" s="1"/>
  <c r="BB69" i="6"/>
  <c r="BB69" i="7" s="1"/>
  <c r="BC69" i="6"/>
  <c r="BC69" i="7" s="1"/>
  <c r="BD69" i="6"/>
  <c r="BD69" i="7" s="1"/>
  <c r="BE69" i="6"/>
  <c r="BE69" i="7" s="1"/>
  <c r="BF69" i="6"/>
  <c r="BF69" i="7" s="1"/>
  <c r="BG69" i="6"/>
  <c r="BG69" i="7" s="1"/>
  <c r="BH69" i="6"/>
  <c r="BH69" i="7" s="1"/>
  <c r="BI69" i="6"/>
  <c r="BI69" i="7" s="1"/>
  <c r="BJ69" i="6"/>
  <c r="BJ69" i="7" s="1"/>
  <c r="BK69" i="6"/>
  <c r="BK69" i="7" s="1"/>
  <c r="BL69" i="6"/>
  <c r="BL69" i="7" s="1"/>
  <c r="BM69" i="6"/>
  <c r="BM69" i="7" s="1"/>
  <c r="BN69" i="6"/>
  <c r="BN69" i="7" s="1"/>
  <c r="BO69" i="6"/>
  <c r="BO69" i="7" s="1"/>
  <c r="A68" i="6"/>
  <c r="A69" i="6"/>
  <c r="C69" i="7" l="1"/>
  <c r="C68" i="7"/>
  <c r="G39" i="11"/>
  <c r="G40" i="11"/>
  <c r="G41" i="11"/>
  <c r="G42" i="11"/>
  <c r="G43" i="11"/>
  <c r="G44" i="11"/>
  <c r="H39" i="8" l="1"/>
  <c r="J39" i="8"/>
  <c r="N39" i="8"/>
  <c r="H40" i="8"/>
  <c r="J40" i="8"/>
  <c r="N40" i="8"/>
  <c r="H41" i="8"/>
  <c r="J41" i="8"/>
  <c r="N41" i="8"/>
  <c r="H42" i="8"/>
  <c r="J42" i="8"/>
  <c r="N42" i="8"/>
  <c r="H43" i="8"/>
  <c r="J43" i="8"/>
  <c r="N43" i="8"/>
  <c r="H44" i="8"/>
  <c r="J44" i="8"/>
  <c r="N44" i="8"/>
  <c r="BK1" i="7" l="1"/>
  <c r="BL1" i="7"/>
  <c r="BM1" i="7"/>
  <c r="BN1" i="7"/>
  <c r="BO1" i="7"/>
  <c r="A63" i="7"/>
  <c r="A64" i="7"/>
  <c r="A65" i="7"/>
  <c r="A66" i="7"/>
  <c r="A67" i="7"/>
  <c r="A63" i="15"/>
  <c r="A64" i="15"/>
  <c r="A65" i="15"/>
  <c r="A66" i="15"/>
  <c r="A67" i="15"/>
  <c r="BK1" i="15"/>
  <c r="BL1" i="15"/>
  <c r="BM1" i="15"/>
  <c r="BN1" i="15"/>
  <c r="BO1" i="15"/>
  <c r="C63" i="6"/>
  <c r="D63" i="6"/>
  <c r="D63" i="7" s="1"/>
  <c r="E63" i="6"/>
  <c r="E63" i="7" s="1"/>
  <c r="F63" i="6"/>
  <c r="F63" i="7" s="1"/>
  <c r="G63" i="6"/>
  <c r="G63" i="7" s="1"/>
  <c r="H63" i="6"/>
  <c r="H63" i="7" s="1"/>
  <c r="I63" i="6"/>
  <c r="I63" i="7" s="1"/>
  <c r="J63" i="6"/>
  <c r="J63" i="7" s="1"/>
  <c r="K63" i="6"/>
  <c r="K63" i="7" s="1"/>
  <c r="L63" i="6"/>
  <c r="L63" i="7" s="1"/>
  <c r="M63" i="6"/>
  <c r="M63" i="7" s="1"/>
  <c r="N63" i="6"/>
  <c r="N63" i="7" s="1"/>
  <c r="O63" i="6"/>
  <c r="O63" i="7" s="1"/>
  <c r="P63" i="6"/>
  <c r="P63" i="7" s="1"/>
  <c r="Q63" i="6"/>
  <c r="Q63" i="7" s="1"/>
  <c r="R63" i="6"/>
  <c r="R63" i="7" s="1"/>
  <c r="S63" i="6"/>
  <c r="S63" i="7" s="1"/>
  <c r="T63" i="6"/>
  <c r="T63" i="7" s="1"/>
  <c r="U63" i="6"/>
  <c r="U63" i="7" s="1"/>
  <c r="V63" i="6"/>
  <c r="V63" i="7" s="1"/>
  <c r="W63" i="6"/>
  <c r="W63" i="7" s="1"/>
  <c r="X63" i="6"/>
  <c r="X63" i="7" s="1"/>
  <c r="Y63" i="6"/>
  <c r="Y63" i="7" s="1"/>
  <c r="Z63" i="6"/>
  <c r="Z63" i="7" s="1"/>
  <c r="AA63" i="6"/>
  <c r="AA63" i="7" s="1"/>
  <c r="AB63" i="6"/>
  <c r="AB63" i="7" s="1"/>
  <c r="AC63" i="6"/>
  <c r="AC63" i="7" s="1"/>
  <c r="AD63" i="6"/>
  <c r="AD63" i="7" s="1"/>
  <c r="AE63" i="6"/>
  <c r="AE63" i="7" s="1"/>
  <c r="AF63" i="6"/>
  <c r="AF63" i="7" s="1"/>
  <c r="AG63" i="6"/>
  <c r="AG63" i="7" s="1"/>
  <c r="AH63" i="6"/>
  <c r="AH63" i="7" s="1"/>
  <c r="AI63" i="6"/>
  <c r="AI63" i="7" s="1"/>
  <c r="AJ63" i="6"/>
  <c r="AJ63" i="7" s="1"/>
  <c r="AK63" i="6"/>
  <c r="AK63" i="7" s="1"/>
  <c r="AL63" i="6"/>
  <c r="AL63" i="7" s="1"/>
  <c r="AM63" i="6"/>
  <c r="AM63" i="7" s="1"/>
  <c r="AN63" i="6"/>
  <c r="AN63" i="7" s="1"/>
  <c r="AO63" i="6"/>
  <c r="AO63" i="7" s="1"/>
  <c r="AP63" i="6"/>
  <c r="AP63" i="7" s="1"/>
  <c r="AQ63" i="6"/>
  <c r="AQ63" i="7" s="1"/>
  <c r="AR63" i="6"/>
  <c r="AR63" i="7" s="1"/>
  <c r="AS63" i="6"/>
  <c r="AS63" i="7" s="1"/>
  <c r="AT63" i="6"/>
  <c r="AT63" i="7" s="1"/>
  <c r="AU63" i="6"/>
  <c r="AU63" i="7" s="1"/>
  <c r="AV63" i="6"/>
  <c r="AV63" i="7" s="1"/>
  <c r="AW63" i="6"/>
  <c r="AW63" i="7" s="1"/>
  <c r="AX63" i="6"/>
  <c r="AX63" i="7" s="1"/>
  <c r="AY63" i="6"/>
  <c r="AY63" i="7" s="1"/>
  <c r="AZ63" i="6"/>
  <c r="AZ63" i="7" s="1"/>
  <c r="BA63" i="6"/>
  <c r="BA63" i="7" s="1"/>
  <c r="BB63" i="6"/>
  <c r="BB63" i="7" s="1"/>
  <c r="BC63" i="6"/>
  <c r="BC63" i="7" s="1"/>
  <c r="BD63" i="6"/>
  <c r="BD63" i="7" s="1"/>
  <c r="BE63" i="6"/>
  <c r="BE63" i="7" s="1"/>
  <c r="BF63" i="6"/>
  <c r="BF63" i="7" s="1"/>
  <c r="BG63" i="6"/>
  <c r="BG63" i="7" s="1"/>
  <c r="BH63" i="6"/>
  <c r="BH63" i="7" s="1"/>
  <c r="BI63" i="6"/>
  <c r="BI63" i="7" s="1"/>
  <c r="BJ63" i="6"/>
  <c r="BJ63" i="7" s="1"/>
  <c r="BK63" i="6"/>
  <c r="BK63" i="7" s="1"/>
  <c r="BL63" i="6"/>
  <c r="BL63" i="7" s="1"/>
  <c r="BM63" i="6"/>
  <c r="BM63" i="7" s="1"/>
  <c r="BN63" i="6"/>
  <c r="BN63" i="7" s="1"/>
  <c r="BO63" i="6"/>
  <c r="BO63" i="7" s="1"/>
  <c r="C64" i="6"/>
  <c r="D64" i="6"/>
  <c r="D64" i="7" s="1"/>
  <c r="E64" i="6"/>
  <c r="E64" i="7" s="1"/>
  <c r="F64" i="6"/>
  <c r="F64" i="7" s="1"/>
  <c r="G64" i="6"/>
  <c r="G64" i="7" s="1"/>
  <c r="H64" i="6"/>
  <c r="H64" i="7" s="1"/>
  <c r="I64" i="6"/>
  <c r="I64" i="7" s="1"/>
  <c r="J64" i="6"/>
  <c r="J64" i="7" s="1"/>
  <c r="K64" i="6"/>
  <c r="K64" i="7" s="1"/>
  <c r="L64" i="6"/>
  <c r="L64" i="7" s="1"/>
  <c r="M64" i="6"/>
  <c r="M64" i="7" s="1"/>
  <c r="N64" i="6"/>
  <c r="N64" i="7" s="1"/>
  <c r="O64" i="6"/>
  <c r="O64" i="7" s="1"/>
  <c r="P64" i="6"/>
  <c r="P64" i="7" s="1"/>
  <c r="Q64" i="6"/>
  <c r="Q64" i="7" s="1"/>
  <c r="R64" i="6"/>
  <c r="R64" i="7" s="1"/>
  <c r="S64" i="6"/>
  <c r="S64" i="7" s="1"/>
  <c r="T64" i="6"/>
  <c r="T64" i="7" s="1"/>
  <c r="U64" i="6"/>
  <c r="U64" i="7" s="1"/>
  <c r="V64" i="6"/>
  <c r="V64" i="7" s="1"/>
  <c r="W64" i="6"/>
  <c r="W64" i="7" s="1"/>
  <c r="X64" i="6"/>
  <c r="X64" i="7" s="1"/>
  <c r="Y64" i="6"/>
  <c r="Y64" i="7" s="1"/>
  <c r="Z64" i="6"/>
  <c r="Z64" i="7" s="1"/>
  <c r="AA64" i="6"/>
  <c r="AA64" i="7" s="1"/>
  <c r="AB64" i="6"/>
  <c r="AB64" i="7" s="1"/>
  <c r="AC64" i="6"/>
  <c r="AC64" i="7" s="1"/>
  <c r="AD64" i="6"/>
  <c r="AD64" i="7" s="1"/>
  <c r="AE64" i="6"/>
  <c r="AE64" i="7" s="1"/>
  <c r="AF64" i="6"/>
  <c r="AF64" i="7" s="1"/>
  <c r="AG64" i="6"/>
  <c r="AG64" i="7" s="1"/>
  <c r="AH64" i="6"/>
  <c r="AH64" i="7" s="1"/>
  <c r="AI64" i="6"/>
  <c r="AI64" i="7" s="1"/>
  <c r="AJ64" i="6"/>
  <c r="AJ64" i="7" s="1"/>
  <c r="AK64" i="6"/>
  <c r="AK64" i="7" s="1"/>
  <c r="AL64" i="6"/>
  <c r="AL64" i="7" s="1"/>
  <c r="AM64" i="6"/>
  <c r="AM64" i="7" s="1"/>
  <c r="AN64" i="6"/>
  <c r="AN64" i="7" s="1"/>
  <c r="AO64" i="6"/>
  <c r="AO64" i="7" s="1"/>
  <c r="AP64" i="6"/>
  <c r="AP64" i="7" s="1"/>
  <c r="AQ64" i="6"/>
  <c r="AQ64" i="7" s="1"/>
  <c r="AR64" i="6"/>
  <c r="AR64" i="7" s="1"/>
  <c r="AS64" i="6"/>
  <c r="AS64" i="7" s="1"/>
  <c r="AT64" i="6"/>
  <c r="AT64" i="7" s="1"/>
  <c r="AU64" i="6"/>
  <c r="AU64" i="7" s="1"/>
  <c r="AV64" i="6"/>
  <c r="AV64" i="7" s="1"/>
  <c r="AW64" i="6"/>
  <c r="AW64" i="7" s="1"/>
  <c r="AX64" i="6"/>
  <c r="AX64" i="7" s="1"/>
  <c r="AY64" i="6"/>
  <c r="AY64" i="7" s="1"/>
  <c r="AZ64" i="6"/>
  <c r="AZ64" i="7" s="1"/>
  <c r="BA64" i="6"/>
  <c r="BA64" i="7" s="1"/>
  <c r="BB64" i="6"/>
  <c r="BB64" i="7" s="1"/>
  <c r="BC64" i="6"/>
  <c r="BC64" i="7" s="1"/>
  <c r="BD64" i="6"/>
  <c r="BD64" i="7" s="1"/>
  <c r="BE64" i="6"/>
  <c r="BE64" i="7" s="1"/>
  <c r="BF64" i="6"/>
  <c r="BF64" i="7" s="1"/>
  <c r="BG64" i="6"/>
  <c r="BG64" i="7" s="1"/>
  <c r="BH64" i="6"/>
  <c r="BH64" i="7" s="1"/>
  <c r="BI64" i="6"/>
  <c r="BI64" i="7" s="1"/>
  <c r="BJ64" i="6"/>
  <c r="BJ64" i="7" s="1"/>
  <c r="BK64" i="6"/>
  <c r="BK64" i="7" s="1"/>
  <c r="BL64" i="6"/>
  <c r="BL64" i="7" s="1"/>
  <c r="BM64" i="6"/>
  <c r="BM64" i="7" s="1"/>
  <c r="BN64" i="6"/>
  <c r="BN64" i="7" s="1"/>
  <c r="BO64" i="6"/>
  <c r="BO64" i="7" s="1"/>
  <c r="C65" i="6"/>
  <c r="D65" i="6"/>
  <c r="D65" i="7" s="1"/>
  <c r="E65" i="6"/>
  <c r="E65" i="7" s="1"/>
  <c r="F65" i="6"/>
  <c r="F65" i="7" s="1"/>
  <c r="G65" i="6"/>
  <c r="G65" i="7" s="1"/>
  <c r="H65" i="6"/>
  <c r="H65" i="7" s="1"/>
  <c r="I65" i="6"/>
  <c r="I65" i="7" s="1"/>
  <c r="J65" i="6"/>
  <c r="J65" i="7" s="1"/>
  <c r="K65" i="6"/>
  <c r="K65" i="7" s="1"/>
  <c r="L65" i="6"/>
  <c r="L65" i="7" s="1"/>
  <c r="M65" i="6"/>
  <c r="M65" i="7" s="1"/>
  <c r="N65" i="6"/>
  <c r="N65" i="7" s="1"/>
  <c r="O65" i="6"/>
  <c r="O65" i="7" s="1"/>
  <c r="P65" i="6"/>
  <c r="P65" i="7" s="1"/>
  <c r="Q65" i="6"/>
  <c r="Q65" i="7" s="1"/>
  <c r="R65" i="6"/>
  <c r="R65" i="7" s="1"/>
  <c r="S65" i="6"/>
  <c r="S65" i="7" s="1"/>
  <c r="T65" i="6"/>
  <c r="T65" i="7" s="1"/>
  <c r="U65" i="6"/>
  <c r="U65" i="7" s="1"/>
  <c r="V65" i="6"/>
  <c r="V65" i="7" s="1"/>
  <c r="W65" i="6"/>
  <c r="W65" i="7" s="1"/>
  <c r="X65" i="6"/>
  <c r="X65" i="7" s="1"/>
  <c r="Y65" i="6"/>
  <c r="Y65" i="7" s="1"/>
  <c r="Z65" i="6"/>
  <c r="Z65" i="7" s="1"/>
  <c r="AA65" i="6"/>
  <c r="AA65" i="7" s="1"/>
  <c r="AB65" i="6"/>
  <c r="AB65" i="7" s="1"/>
  <c r="AC65" i="6"/>
  <c r="AC65" i="7" s="1"/>
  <c r="AD65" i="6"/>
  <c r="AD65" i="7" s="1"/>
  <c r="AE65" i="6"/>
  <c r="AE65" i="7" s="1"/>
  <c r="AF65" i="6"/>
  <c r="AF65" i="7" s="1"/>
  <c r="AG65" i="6"/>
  <c r="AG65" i="7" s="1"/>
  <c r="AH65" i="6"/>
  <c r="AH65" i="7" s="1"/>
  <c r="AI65" i="6"/>
  <c r="AI65" i="7" s="1"/>
  <c r="AJ65" i="6"/>
  <c r="AJ65" i="7" s="1"/>
  <c r="AK65" i="6"/>
  <c r="AK65" i="7" s="1"/>
  <c r="AL65" i="6"/>
  <c r="AL65" i="7" s="1"/>
  <c r="AM65" i="6"/>
  <c r="AM65" i="7" s="1"/>
  <c r="AN65" i="6"/>
  <c r="AN65" i="7" s="1"/>
  <c r="AO65" i="6"/>
  <c r="AO65" i="7" s="1"/>
  <c r="AP65" i="6"/>
  <c r="AP65" i="7" s="1"/>
  <c r="AQ65" i="6"/>
  <c r="AQ65" i="7" s="1"/>
  <c r="AR65" i="6"/>
  <c r="AR65" i="7" s="1"/>
  <c r="AS65" i="6"/>
  <c r="AS65" i="7" s="1"/>
  <c r="AT65" i="6"/>
  <c r="AT65" i="7" s="1"/>
  <c r="AU65" i="6"/>
  <c r="AU65" i="7" s="1"/>
  <c r="AV65" i="6"/>
  <c r="AV65" i="7" s="1"/>
  <c r="AW65" i="6"/>
  <c r="AW65" i="7" s="1"/>
  <c r="AX65" i="6"/>
  <c r="AX65" i="7" s="1"/>
  <c r="AY65" i="6"/>
  <c r="AY65" i="7" s="1"/>
  <c r="AZ65" i="6"/>
  <c r="AZ65" i="7" s="1"/>
  <c r="BA65" i="6"/>
  <c r="BA65" i="7" s="1"/>
  <c r="BB65" i="6"/>
  <c r="BB65" i="7" s="1"/>
  <c r="BC65" i="6"/>
  <c r="BC65" i="7" s="1"/>
  <c r="BD65" i="6"/>
  <c r="BD65" i="7" s="1"/>
  <c r="BE65" i="6"/>
  <c r="BE65" i="7" s="1"/>
  <c r="BF65" i="6"/>
  <c r="BF65" i="7" s="1"/>
  <c r="BG65" i="6"/>
  <c r="BG65" i="7" s="1"/>
  <c r="BH65" i="6"/>
  <c r="BH65" i="7" s="1"/>
  <c r="BI65" i="6"/>
  <c r="BI65" i="7" s="1"/>
  <c r="BJ65" i="6"/>
  <c r="BJ65" i="7" s="1"/>
  <c r="BK65" i="6"/>
  <c r="BK65" i="7" s="1"/>
  <c r="BL65" i="6"/>
  <c r="BL65" i="7" s="1"/>
  <c r="BM65" i="6"/>
  <c r="BM65" i="7" s="1"/>
  <c r="BN65" i="6"/>
  <c r="BN65" i="7" s="1"/>
  <c r="BO65" i="6"/>
  <c r="BO65" i="7" s="1"/>
  <c r="C66" i="6"/>
  <c r="C66" i="7" s="1"/>
  <c r="D66" i="6"/>
  <c r="D66" i="7" s="1"/>
  <c r="E66" i="6"/>
  <c r="E66" i="7" s="1"/>
  <c r="F66" i="6"/>
  <c r="F66" i="7" s="1"/>
  <c r="G66" i="6"/>
  <c r="G66" i="7" s="1"/>
  <c r="H66" i="6"/>
  <c r="H66" i="7" s="1"/>
  <c r="I66" i="6"/>
  <c r="I66" i="7" s="1"/>
  <c r="J66" i="6"/>
  <c r="J66" i="7" s="1"/>
  <c r="K66" i="6"/>
  <c r="K66" i="7" s="1"/>
  <c r="L66" i="6"/>
  <c r="L66" i="7" s="1"/>
  <c r="M66" i="6"/>
  <c r="M66" i="7" s="1"/>
  <c r="N66" i="6"/>
  <c r="N66" i="7" s="1"/>
  <c r="O66" i="6"/>
  <c r="O66" i="7" s="1"/>
  <c r="P66" i="6"/>
  <c r="P66" i="7" s="1"/>
  <c r="Q66" i="6"/>
  <c r="Q66" i="7" s="1"/>
  <c r="R66" i="6"/>
  <c r="R66" i="7" s="1"/>
  <c r="S66" i="6"/>
  <c r="S66" i="7" s="1"/>
  <c r="T66" i="6"/>
  <c r="T66" i="7" s="1"/>
  <c r="U66" i="6"/>
  <c r="U66" i="7" s="1"/>
  <c r="V66" i="6"/>
  <c r="V66" i="7" s="1"/>
  <c r="W66" i="6"/>
  <c r="W66" i="7" s="1"/>
  <c r="X66" i="6"/>
  <c r="X66" i="7" s="1"/>
  <c r="Y66" i="6"/>
  <c r="Y66" i="7" s="1"/>
  <c r="Z66" i="6"/>
  <c r="Z66" i="7" s="1"/>
  <c r="AA66" i="6"/>
  <c r="AA66" i="7" s="1"/>
  <c r="AB66" i="6"/>
  <c r="AB66" i="7" s="1"/>
  <c r="AC66" i="6"/>
  <c r="AC66" i="7" s="1"/>
  <c r="AD66" i="6"/>
  <c r="AD66" i="7" s="1"/>
  <c r="AE66" i="6"/>
  <c r="AE66" i="7" s="1"/>
  <c r="AF66" i="6"/>
  <c r="AF66" i="7" s="1"/>
  <c r="AG66" i="6"/>
  <c r="AG66" i="7" s="1"/>
  <c r="AH66" i="6"/>
  <c r="AH66" i="7" s="1"/>
  <c r="AI66" i="6"/>
  <c r="AI66" i="7" s="1"/>
  <c r="AJ66" i="6"/>
  <c r="AJ66" i="7" s="1"/>
  <c r="AK66" i="6"/>
  <c r="AK66" i="7" s="1"/>
  <c r="AL66" i="6"/>
  <c r="AL66" i="7" s="1"/>
  <c r="AM66" i="6"/>
  <c r="AM66" i="7" s="1"/>
  <c r="AN66" i="6"/>
  <c r="AN66" i="7" s="1"/>
  <c r="AO66" i="6"/>
  <c r="AO66" i="7" s="1"/>
  <c r="AP66" i="6"/>
  <c r="AP66" i="7" s="1"/>
  <c r="AQ66" i="6"/>
  <c r="AQ66" i="7" s="1"/>
  <c r="AR66" i="6"/>
  <c r="AR66" i="7" s="1"/>
  <c r="AS66" i="6"/>
  <c r="AS66" i="7" s="1"/>
  <c r="AT66" i="6"/>
  <c r="AT66" i="7" s="1"/>
  <c r="AU66" i="6"/>
  <c r="AU66" i="7" s="1"/>
  <c r="AV66" i="6"/>
  <c r="AV66" i="7" s="1"/>
  <c r="AW66" i="6"/>
  <c r="AW66" i="7" s="1"/>
  <c r="AX66" i="6"/>
  <c r="AX66" i="7" s="1"/>
  <c r="AY66" i="6"/>
  <c r="AY66" i="7" s="1"/>
  <c r="AZ66" i="6"/>
  <c r="AZ66" i="7" s="1"/>
  <c r="BA66" i="6"/>
  <c r="BA66" i="7" s="1"/>
  <c r="BB66" i="6"/>
  <c r="BB66" i="7" s="1"/>
  <c r="BC66" i="6"/>
  <c r="BC66" i="7" s="1"/>
  <c r="BD66" i="6"/>
  <c r="BD66" i="7" s="1"/>
  <c r="BE66" i="6"/>
  <c r="BE66" i="7" s="1"/>
  <c r="BF66" i="6"/>
  <c r="BF66" i="7" s="1"/>
  <c r="BG66" i="6"/>
  <c r="BG66" i="7" s="1"/>
  <c r="BH66" i="6"/>
  <c r="BH66" i="7" s="1"/>
  <c r="BI66" i="6"/>
  <c r="BI66" i="7" s="1"/>
  <c r="BJ66" i="6"/>
  <c r="BJ66" i="7" s="1"/>
  <c r="BK66" i="6"/>
  <c r="BK66" i="7" s="1"/>
  <c r="BL66" i="6"/>
  <c r="BL66" i="7" s="1"/>
  <c r="BM66" i="6"/>
  <c r="BM66" i="7" s="1"/>
  <c r="BN66" i="6"/>
  <c r="BN66" i="7" s="1"/>
  <c r="BO66" i="6"/>
  <c r="BO66" i="7" s="1"/>
  <c r="C67" i="6"/>
  <c r="C67" i="7" s="1"/>
  <c r="D67" i="6"/>
  <c r="D67" i="7" s="1"/>
  <c r="E67" i="6"/>
  <c r="E67" i="7" s="1"/>
  <c r="F67" i="6"/>
  <c r="F67" i="7" s="1"/>
  <c r="G67" i="6"/>
  <c r="G67" i="7" s="1"/>
  <c r="H67" i="6"/>
  <c r="H67" i="7" s="1"/>
  <c r="I67" i="6"/>
  <c r="I67" i="7" s="1"/>
  <c r="J67" i="6"/>
  <c r="J67" i="7" s="1"/>
  <c r="K67" i="6"/>
  <c r="K67" i="7" s="1"/>
  <c r="L67" i="6"/>
  <c r="L67" i="7" s="1"/>
  <c r="M67" i="6"/>
  <c r="M67" i="7" s="1"/>
  <c r="N67" i="6"/>
  <c r="N67" i="7" s="1"/>
  <c r="O67" i="6"/>
  <c r="O67" i="7" s="1"/>
  <c r="P67" i="6"/>
  <c r="P67" i="7" s="1"/>
  <c r="Q67" i="6"/>
  <c r="Q67" i="7" s="1"/>
  <c r="R67" i="6"/>
  <c r="R67" i="7" s="1"/>
  <c r="S67" i="6"/>
  <c r="S67" i="7" s="1"/>
  <c r="T67" i="6"/>
  <c r="T67" i="7" s="1"/>
  <c r="U67" i="6"/>
  <c r="U67" i="7" s="1"/>
  <c r="V67" i="6"/>
  <c r="V67" i="7" s="1"/>
  <c r="W67" i="6"/>
  <c r="W67" i="7" s="1"/>
  <c r="X67" i="6"/>
  <c r="X67" i="7" s="1"/>
  <c r="Y67" i="6"/>
  <c r="Y67" i="7" s="1"/>
  <c r="Z67" i="6"/>
  <c r="Z67" i="7" s="1"/>
  <c r="AA67" i="6"/>
  <c r="AA67" i="7" s="1"/>
  <c r="AB67" i="6"/>
  <c r="AB67" i="7" s="1"/>
  <c r="AC67" i="6"/>
  <c r="AC67" i="7" s="1"/>
  <c r="AD67" i="6"/>
  <c r="AD67" i="7" s="1"/>
  <c r="AE67" i="6"/>
  <c r="AE67" i="7" s="1"/>
  <c r="AF67" i="6"/>
  <c r="AF67" i="7" s="1"/>
  <c r="AG67" i="6"/>
  <c r="AG67" i="7" s="1"/>
  <c r="AH67" i="6"/>
  <c r="AH67" i="7" s="1"/>
  <c r="AI67" i="6"/>
  <c r="AI67" i="7" s="1"/>
  <c r="AJ67" i="6"/>
  <c r="AJ67" i="7" s="1"/>
  <c r="AK67" i="6"/>
  <c r="AK67" i="7" s="1"/>
  <c r="AL67" i="6"/>
  <c r="AL67" i="7" s="1"/>
  <c r="AM67" i="6"/>
  <c r="AM67" i="7" s="1"/>
  <c r="AN67" i="6"/>
  <c r="AN67" i="7" s="1"/>
  <c r="AO67" i="6"/>
  <c r="AO67" i="7" s="1"/>
  <c r="AP67" i="6"/>
  <c r="AP67" i="7" s="1"/>
  <c r="AQ67" i="6"/>
  <c r="AQ67" i="7" s="1"/>
  <c r="AR67" i="6"/>
  <c r="AR67" i="7" s="1"/>
  <c r="AS67" i="6"/>
  <c r="AS67" i="7" s="1"/>
  <c r="AT67" i="6"/>
  <c r="AT67" i="7" s="1"/>
  <c r="AU67" i="6"/>
  <c r="AU67" i="7" s="1"/>
  <c r="AV67" i="6"/>
  <c r="AV67" i="7" s="1"/>
  <c r="AW67" i="6"/>
  <c r="AW67" i="7" s="1"/>
  <c r="AX67" i="6"/>
  <c r="AX67" i="7" s="1"/>
  <c r="AY67" i="6"/>
  <c r="AY67" i="7" s="1"/>
  <c r="AZ67" i="6"/>
  <c r="AZ67" i="7" s="1"/>
  <c r="BA67" i="6"/>
  <c r="BA67" i="7" s="1"/>
  <c r="BB67" i="6"/>
  <c r="BB67" i="7" s="1"/>
  <c r="BC67" i="6"/>
  <c r="BC67" i="7" s="1"/>
  <c r="BD67" i="6"/>
  <c r="BD67" i="7" s="1"/>
  <c r="BE67" i="6"/>
  <c r="BE67" i="7" s="1"/>
  <c r="BF67" i="6"/>
  <c r="BF67" i="7" s="1"/>
  <c r="BG67" i="6"/>
  <c r="BG67" i="7" s="1"/>
  <c r="BH67" i="6"/>
  <c r="BH67" i="7" s="1"/>
  <c r="BI67" i="6"/>
  <c r="BI67" i="7" s="1"/>
  <c r="BJ67" i="6"/>
  <c r="BJ67" i="7" s="1"/>
  <c r="BK67" i="6"/>
  <c r="BK67" i="7" s="1"/>
  <c r="BL67" i="6"/>
  <c r="BL67" i="7" s="1"/>
  <c r="BM67" i="6"/>
  <c r="BM67" i="7" s="1"/>
  <c r="BN67" i="6"/>
  <c r="BN67" i="7" s="1"/>
  <c r="BO67" i="6"/>
  <c r="BO67" i="7" s="1"/>
  <c r="BK3" i="6"/>
  <c r="BK3" i="7" s="1"/>
  <c r="BL3" i="6"/>
  <c r="BL3" i="7" s="1"/>
  <c r="BM3" i="6"/>
  <c r="BM3" i="7" s="1"/>
  <c r="BN3" i="6"/>
  <c r="BN3" i="7" s="1"/>
  <c r="BO3" i="6"/>
  <c r="BO3" i="7" s="1"/>
  <c r="BK4" i="6"/>
  <c r="BK4" i="7" s="1"/>
  <c r="BL4" i="6"/>
  <c r="BL4" i="7" s="1"/>
  <c r="BM4" i="6"/>
  <c r="BM4" i="7" s="1"/>
  <c r="BN4" i="6"/>
  <c r="BN4" i="7" s="1"/>
  <c r="BO4" i="6"/>
  <c r="BO4" i="7" s="1"/>
  <c r="BK5" i="6"/>
  <c r="BK5" i="7" s="1"/>
  <c r="BL5" i="6"/>
  <c r="BL5" i="7" s="1"/>
  <c r="BM5" i="6"/>
  <c r="BM5" i="7" s="1"/>
  <c r="BN5" i="6"/>
  <c r="BN5" i="7" s="1"/>
  <c r="BO5" i="6"/>
  <c r="BO5" i="7" s="1"/>
  <c r="BK6" i="6"/>
  <c r="BK6" i="7" s="1"/>
  <c r="BL6" i="6"/>
  <c r="BL6" i="7" s="1"/>
  <c r="BM6" i="6"/>
  <c r="BM6" i="7" s="1"/>
  <c r="BN6" i="6"/>
  <c r="BN6" i="7" s="1"/>
  <c r="BO6" i="6"/>
  <c r="BO6" i="7" s="1"/>
  <c r="BK7" i="6"/>
  <c r="BK7" i="7" s="1"/>
  <c r="BL7" i="6"/>
  <c r="BL7" i="7" s="1"/>
  <c r="BM7" i="6"/>
  <c r="BM7" i="7" s="1"/>
  <c r="BN7" i="6"/>
  <c r="BN7" i="7" s="1"/>
  <c r="BO7" i="6"/>
  <c r="BO7" i="7" s="1"/>
  <c r="BK8" i="6"/>
  <c r="BK8" i="7" s="1"/>
  <c r="BL8" i="6"/>
  <c r="BL8" i="7" s="1"/>
  <c r="BM8" i="6"/>
  <c r="BM8" i="7" s="1"/>
  <c r="BN8" i="6"/>
  <c r="BN8" i="7" s="1"/>
  <c r="BO8" i="6"/>
  <c r="BO8" i="7" s="1"/>
  <c r="BK9" i="6"/>
  <c r="BK9" i="7" s="1"/>
  <c r="BL9" i="6"/>
  <c r="BL9" i="7" s="1"/>
  <c r="BM9" i="6"/>
  <c r="BM9" i="7" s="1"/>
  <c r="BN9" i="6"/>
  <c r="BN9" i="7" s="1"/>
  <c r="BO9" i="6"/>
  <c r="BO9" i="7" s="1"/>
  <c r="BK10" i="6"/>
  <c r="BK10" i="7" s="1"/>
  <c r="BL10" i="6"/>
  <c r="BL10" i="7" s="1"/>
  <c r="BM10" i="6"/>
  <c r="BM10" i="7" s="1"/>
  <c r="BN10" i="6"/>
  <c r="BN10" i="7" s="1"/>
  <c r="BO10" i="6"/>
  <c r="BO10" i="7" s="1"/>
  <c r="BK11" i="6"/>
  <c r="BK11" i="7" s="1"/>
  <c r="BL11" i="6"/>
  <c r="BL11" i="7" s="1"/>
  <c r="BM11" i="6"/>
  <c r="BM11" i="7" s="1"/>
  <c r="BN11" i="6"/>
  <c r="BN11" i="7" s="1"/>
  <c r="BO11" i="6"/>
  <c r="BO11" i="7" s="1"/>
  <c r="BK12" i="6"/>
  <c r="BK12" i="7" s="1"/>
  <c r="BL12" i="6"/>
  <c r="BL12" i="7" s="1"/>
  <c r="BM12" i="6"/>
  <c r="BM12" i="7" s="1"/>
  <c r="BN12" i="6"/>
  <c r="BN12" i="7" s="1"/>
  <c r="BO12" i="6"/>
  <c r="BO12" i="7" s="1"/>
  <c r="BK13" i="6"/>
  <c r="BK13" i="7" s="1"/>
  <c r="BL13" i="6"/>
  <c r="BL13" i="7" s="1"/>
  <c r="BM13" i="6"/>
  <c r="BM13" i="7" s="1"/>
  <c r="BN13" i="6"/>
  <c r="BN13" i="7" s="1"/>
  <c r="BO13" i="6"/>
  <c r="BO13" i="7" s="1"/>
  <c r="BK14" i="6"/>
  <c r="BK14" i="7" s="1"/>
  <c r="BL14" i="6"/>
  <c r="BL14" i="7" s="1"/>
  <c r="BM14" i="6"/>
  <c r="BM14" i="7" s="1"/>
  <c r="BN14" i="6"/>
  <c r="BN14" i="7" s="1"/>
  <c r="BO14" i="6"/>
  <c r="BO14" i="7" s="1"/>
  <c r="BK15" i="6"/>
  <c r="BK15" i="7" s="1"/>
  <c r="BL15" i="6"/>
  <c r="BL15" i="7" s="1"/>
  <c r="BM15" i="6"/>
  <c r="BM15" i="7" s="1"/>
  <c r="BN15" i="6"/>
  <c r="BN15" i="7" s="1"/>
  <c r="BO15" i="6"/>
  <c r="BO15" i="7" s="1"/>
  <c r="BK16" i="6"/>
  <c r="BK16" i="7" s="1"/>
  <c r="BL16" i="6"/>
  <c r="BL16" i="7" s="1"/>
  <c r="BM16" i="6"/>
  <c r="BM16" i="7" s="1"/>
  <c r="BN16" i="6"/>
  <c r="BN16" i="7" s="1"/>
  <c r="BO16" i="6"/>
  <c r="BO16" i="7" s="1"/>
  <c r="BK17" i="6"/>
  <c r="BK17" i="7" s="1"/>
  <c r="BL17" i="6"/>
  <c r="BL17" i="7" s="1"/>
  <c r="BM17" i="6"/>
  <c r="BM17" i="7" s="1"/>
  <c r="BN17" i="6"/>
  <c r="BN17" i="7" s="1"/>
  <c r="BO17" i="6"/>
  <c r="BO17" i="7" s="1"/>
  <c r="BK18" i="6"/>
  <c r="BK18" i="7" s="1"/>
  <c r="BL18" i="6"/>
  <c r="BL18" i="7" s="1"/>
  <c r="BM18" i="6"/>
  <c r="BM18" i="7" s="1"/>
  <c r="BN18" i="6"/>
  <c r="BN18" i="7" s="1"/>
  <c r="BO18" i="6"/>
  <c r="BO18" i="7" s="1"/>
  <c r="BK19" i="6"/>
  <c r="BK19" i="7" s="1"/>
  <c r="BL19" i="6"/>
  <c r="BL19" i="7" s="1"/>
  <c r="BM19" i="6"/>
  <c r="BM19" i="7" s="1"/>
  <c r="BN19" i="6"/>
  <c r="BN19" i="7" s="1"/>
  <c r="BO19" i="6"/>
  <c r="BO19" i="7" s="1"/>
  <c r="BK20" i="6"/>
  <c r="BK20" i="7" s="1"/>
  <c r="BL20" i="6"/>
  <c r="BL20" i="7" s="1"/>
  <c r="BM20" i="6"/>
  <c r="BM20" i="7" s="1"/>
  <c r="BN20" i="6"/>
  <c r="BN20" i="7" s="1"/>
  <c r="BO20" i="6"/>
  <c r="BO20" i="7" s="1"/>
  <c r="BK21" i="6"/>
  <c r="BK21" i="7" s="1"/>
  <c r="BL21" i="6"/>
  <c r="BL21" i="7" s="1"/>
  <c r="BM21" i="6"/>
  <c r="BM21" i="7" s="1"/>
  <c r="BN21" i="6"/>
  <c r="BN21" i="7" s="1"/>
  <c r="BO21" i="6"/>
  <c r="BO21" i="7" s="1"/>
  <c r="BK22" i="6"/>
  <c r="BK22" i="7" s="1"/>
  <c r="BL22" i="6"/>
  <c r="BL22" i="7" s="1"/>
  <c r="BM22" i="6"/>
  <c r="BM22" i="7" s="1"/>
  <c r="BN22" i="6"/>
  <c r="BN22" i="7" s="1"/>
  <c r="BO22" i="6"/>
  <c r="BO22" i="7" s="1"/>
  <c r="BK23" i="6"/>
  <c r="BK23" i="7" s="1"/>
  <c r="BL23" i="6"/>
  <c r="BL23" i="7" s="1"/>
  <c r="BM23" i="6"/>
  <c r="BM23" i="7" s="1"/>
  <c r="BN23" i="6"/>
  <c r="BN23" i="7" s="1"/>
  <c r="BO23" i="6"/>
  <c r="BO23" i="7" s="1"/>
  <c r="BK24" i="6"/>
  <c r="BK24" i="7" s="1"/>
  <c r="BL24" i="6"/>
  <c r="BL24" i="7" s="1"/>
  <c r="BM24" i="6"/>
  <c r="BM24" i="7" s="1"/>
  <c r="BN24" i="6"/>
  <c r="BN24" i="7" s="1"/>
  <c r="BO24" i="6"/>
  <c r="BO24" i="7" s="1"/>
  <c r="BK25" i="6"/>
  <c r="BK25" i="7" s="1"/>
  <c r="BL25" i="6"/>
  <c r="BL25" i="7" s="1"/>
  <c r="BM25" i="6"/>
  <c r="BM25" i="7" s="1"/>
  <c r="BN25" i="6"/>
  <c r="BN25" i="7" s="1"/>
  <c r="BO25" i="6"/>
  <c r="BO25" i="7" s="1"/>
  <c r="BK26" i="6"/>
  <c r="BK26" i="7" s="1"/>
  <c r="BL26" i="6"/>
  <c r="BL26" i="7" s="1"/>
  <c r="BM26" i="6"/>
  <c r="BM26" i="7" s="1"/>
  <c r="BN26" i="6"/>
  <c r="BN26" i="7" s="1"/>
  <c r="BO26" i="6"/>
  <c r="BO26" i="7" s="1"/>
  <c r="BK27" i="6"/>
  <c r="BK27" i="7" s="1"/>
  <c r="BL27" i="6"/>
  <c r="BL27" i="7" s="1"/>
  <c r="BM27" i="6"/>
  <c r="BM27" i="7" s="1"/>
  <c r="BN27" i="6"/>
  <c r="BN27" i="7" s="1"/>
  <c r="BO27" i="6"/>
  <c r="BO27" i="7" s="1"/>
  <c r="BK28" i="6"/>
  <c r="BK28" i="7" s="1"/>
  <c r="BL28" i="6"/>
  <c r="BL28" i="7" s="1"/>
  <c r="BM28" i="6"/>
  <c r="BM28" i="7" s="1"/>
  <c r="BN28" i="6"/>
  <c r="BN28" i="7" s="1"/>
  <c r="BO28" i="6"/>
  <c r="BO28" i="7" s="1"/>
  <c r="BK29" i="6"/>
  <c r="BK29" i="7" s="1"/>
  <c r="BL29" i="6"/>
  <c r="BL29" i="7" s="1"/>
  <c r="BM29" i="6"/>
  <c r="BM29" i="7" s="1"/>
  <c r="BN29" i="6"/>
  <c r="BN29" i="7" s="1"/>
  <c r="BO29" i="6"/>
  <c r="BO29" i="7" s="1"/>
  <c r="BK30" i="6"/>
  <c r="BK30" i="7" s="1"/>
  <c r="BL30" i="6"/>
  <c r="BL30" i="7" s="1"/>
  <c r="BM30" i="6"/>
  <c r="BM30" i="7" s="1"/>
  <c r="BN30" i="6"/>
  <c r="BN30" i="7" s="1"/>
  <c r="BO30" i="6"/>
  <c r="BO30" i="7" s="1"/>
  <c r="BK31" i="6"/>
  <c r="BK31" i="7" s="1"/>
  <c r="BL31" i="6"/>
  <c r="BL31" i="7" s="1"/>
  <c r="BM31" i="6"/>
  <c r="BM31" i="7" s="1"/>
  <c r="BN31" i="6"/>
  <c r="BN31" i="7" s="1"/>
  <c r="BO31" i="6"/>
  <c r="BO31" i="7" s="1"/>
  <c r="BK32" i="6"/>
  <c r="BK32" i="7" s="1"/>
  <c r="BL32" i="6"/>
  <c r="BL32" i="7" s="1"/>
  <c r="BM32" i="6"/>
  <c r="BM32" i="7" s="1"/>
  <c r="BN32" i="6"/>
  <c r="BN32" i="7" s="1"/>
  <c r="BO32" i="6"/>
  <c r="BO32" i="7" s="1"/>
  <c r="BK33" i="6"/>
  <c r="BK33" i="7" s="1"/>
  <c r="BL33" i="6"/>
  <c r="BL33" i="7" s="1"/>
  <c r="BM33" i="6"/>
  <c r="BM33" i="7" s="1"/>
  <c r="BN33" i="6"/>
  <c r="BN33" i="7" s="1"/>
  <c r="BO33" i="6"/>
  <c r="BO33" i="7" s="1"/>
  <c r="BK34" i="6"/>
  <c r="BK34" i="7" s="1"/>
  <c r="BL34" i="6"/>
  <c r="BL34" i="7" s="1"/>
  <c r="BM34" i="6"/>
  <c r="BM34" i="7" s="1"/>
  <c r="BN34" i="6"/>
  <c r="BN34" i="7" s="1"/>
  <c r="BO34" i="6"/>
  <c r="BO34" i="7" s="1"/>
  <c r="BK35" i="6"/>
  <c r="BK35" i="7" s="1"/>
  <c r="BL35" i="6"/>
  <c r="BL35" i="7" s="1"/>
  <c r="BM35" i="6"/>
  <c r="BM35" i="7" s="1"/>
  <c r="BN35" i="6"/>
  <c r="BN35" i="7" s="1"/>
  <c r="BO35" i="6"/>
  <c r="BO35" i="7" s="1"/>
  <c r="BK36" i="6"/>
  <c r="BK36" i="7" s="1"/>
  <c r="BL36" i="6"/>
  <c r="BL36" i="7" s="1"/>
  <c r="BM36" i="6"/>
  <c r="BM36" i="7" s="1"/>
  <c r="BN36" i="6"/>
  <c r="BN36" i="7" s="1"/>
  <c r="BO36" i="6"/>
  <c r="BO36" i="7" s="1"/>
  <c r="BK37" i="6"/>
  <c r="BK37" i="7" s="1"/>
  <c r="BL37" i="6"/>
  <c r="BL37" i="7" s="1"/>
  <c r="BM37" i="6"/>
  <c r="BM37" i="7" s="1"/>
  <c r="BN37" i="6"/>
  <c r="BN37" i="7" s="1"/>
  <c r="BO37" i="6"/>
  <c r="BO37" i="7" s="1"/>
  <c r="BK38" i="6"/>
  <c r="BK38" i="7" s="1"/>
  <c r="BL38" i="6"/>
  <c r="BL38" i="7" s="1"/>
  <c r="BM38" i="6"/>
  <c r="BM38" i="7" s="1"/>
  <c r="BN38" i="6"/>
  <c r="BN38" i="7" s="1"/>
  <c r="BO38" i="6"/>
  <c r="BO38" i="7" s="1"/>
  <c r="BK39" i="6"/>
  <c r="BK39" i="7" s="1"/>
  <c r="BL39" i="6"/>
  <c r="BL39" i="7" s="1"/>
  <c r="BM39" i="6"/>
  <c r="BM39" i="7" s="1"/>
  <c r="BN39" i="6"/>
  <c r="BN39" i="7" s="1"/>
  <c r="BO39" i="6"/>
  <c r="BO39" i="7" s="1"/>
  <c r="BK40" i="6"/>
  <c r="BK40" i="7" s="1"/>
  <c r="BL40" i="6"/>
  <c r="BL40" i="7" s="1"/>
  <c r="BM40" i="6"/>
  <c r="BM40" i="7" s="1"/>
  <c r="BN40" i="6"/>
  <c r="BN40" i="7" s="1"/>
  <c r="BO40" i="6"/>
  <c r="BO40" i="7" s="1"/>
  <c r="BK41" i="6"/>
  <c r="BK41" i="7" s="1"/>
  <c r="BL41" i="6"/>
  <c r="BL41" i="7" s="1"/>
  <c r="BM41" i="6"/>
  <c r="BM41" i="7" s="1"/>
  <c r="BN41" i="6"/>
  <c r="BN41" i="7" s="1"/>
  <c r="BO41" i="6"/>
  <c r="BO41" i="7" s="1"/>
  <c r="BK42" i="6"/>
  <c r="BK42" i="7" s="1"/>
  <c r="BL42" i="6"/>
  <c r="BL42" i="7" s="1"/>
  <c r="BM42" i="6"/>
  <c r="BM42" i="7" s="1"/>
  <c r="BN42" i="6"/>
  <c r="BN42" i="7" s="1"/>
  <c r="BO42" i="6"/>
  <c r="BO42" i="7" s="1"/>
  <c r="BK43" i="6"/>
  <c r="BK43" i="7" s="1"/>
  <c r="BL43" i="6"/>
  <c r="BL43" i="7" s="1"/>
  <c r="BM43" i="6"/>
  <c r="BM43" i="7" s="1"/>
  <c r="BN43" i="6"/>
  <c r="BN43" i="7" s="1"/>
  <c r="BO43" i="6"/>
  <c r="BO43" i="7" s="1"/>
  <c r="BK44" i="6"/>
  <c r="BK44" i="7" s="1"/>
  <c r="BL44" i="6"/>
  <c r="BL44" i="7" s="1"/>
  <c r="BM44" i="6"/>
  <c r="BM44" i="7" s="1"/>
  <c r="BN44" i="6"/>
  <c r="BN44" i="7" s="1"/>
  <c r="BO44" i="6"/>
  <c r="BO44" i="7" s="1"/>
  <c r="BK45" i="6"/>
  <c r="BK45" i="7" s="1"/>
  <c r="BL45" i="6"/>
  <c r="BL45" i="7" s="1"/>
  <c r="BM45" i="6"/>
  <c r="BM45" i="7" s="1"/>
  <c r="BN45" i="6"/>
  <c r="BN45" i="7" s="1"/>
  <c r="BO45" i="6"/>
  <c r="BO45" i="7" s="1"/>
  <c r="BK46" i="6"/>
  <c r="BK46" i="7" s="1"/>
  <c r="BL46" i="6"/>
  <c r="BL46" i="7" s="1"/>
  <c r="BM46" i="6"/>
  <c r="BM46" i="7" s="1"/>
  <c r="BN46" i="6"/>
  <c r="BN46" i="7" s="1"/>
  <c r="BO46" i="6"/>
  <c r="BO46" i="7" s="1"/>
  <c r="BK47" i="6"/>
  <c r="BK47" i="7" s="1"/>
  <c r="BL47" i="6"/>
  <c r="BL47" i="7" s="1"/>
  <c r="BM47" i="6"/>
  <c r="BM47" i="7" s="1"/>
  <c r="BN47" i="6"/>
  <c r="BN47" i="7" s="1"/>
  <c r="BO47" i="6"/>
  <c r="BO47" i="7" s="1"/>
  <c r="BK48" i="6"/>
  <c r="BK48" i="7" s="1"/>
  <c r="BL48" i="6"/>
  <c r="BL48" i="7" s="1"/>
  <c r="BM48" i="6"/>
  <c r="BM48" i="7" s="1"/>
  <c r="BN48" i="6"/>
  <c r="BN48" i="7" s="1"/>
  <c r="BO48" i="6"/>
  <c r="BO48" i="7" s="1"/>
  <c r="BK49" i="6"/>
  <c r="BK49" i="7" s="1"/>
  <c r="BL49" i="6"/>
  <c r="BL49" i="7" s="1"/>
  <c r="BM49" i="6"/>
  <c r="BM49" i="7" s="1"/>
  <c r="BN49" i="6"/>
  <c r="BN49" i="7" s="1"/>
  <c r="BO49" i="6"/>
  <c r="BO49" i="7" s="1"/>
  <c r="BK50" i="6"/>
  <c r="BK50" i="7" s="1"/>
  <c r="BL50" i="6"/>
  <c r="BL50" i="7" s="1"/>
  <c r="BM50" i="6"/>
  <c r="BM50" i="7" s="1"/>
  <c r="BN50" i="6"/>
  <c r="BN50" i="7" s="1"/>
  <c r="BO50" i="6"/>
  <c r="BO50" i="7" s="1"/>
  <c r="BK51" i="6"/>
  <c r="BK51" i="7" s="1"/>
  <c r="BL51" i="6"/>
  <c r="BL51" i="7" s="1"/>
  <c r="BM51" i="6"/>
  <c r="BM51" i="7" s="1"/>
  <c r="BN51" i="6"/>
  <c r="BN51" i="7" s="1"/>
  <c r="BO51" i="6"/>
  <c r="BO51" i="7" s="1"/>
  <c r="BK52" i="6"/>
  <c r="BK52" i="7" s="1"/>
  <c r="BL52" i="6"/>
  <c r="BL52" i="7" s="1"/>
  <c r="BM52" i="6"/>
  <c r="BM52" i="7" s="1"/>
  <c r="BN52" i="6"/>
  <c r="BN52" i="7" s="1"/>
  <c r="BO52" i="6"/>
  <c r="BO52" i="7" s="1"/>
  <c r="BK53" i="6"/>
  <c r="BK53" i="7" s="1"/>
  <c r="BL53" i="6"/>
  <c r="BL53" i="7" s="1"/>
  <c r="BM53" i="6"/>
  <c r="BM53" i="7" s="1"/>
  <c r="BN53" i="6"/>
  <c r="BN53" i="7" s="1"/>
  <c r="BO53" i="6"/>
  <c r="BO53" i="7" s="1"/>
  <c r="BK54" i="6"/>
  <c r="BK54" i="7" s="1"/>
  <c r="BL54" i="6"/>
  <c r="BL54" i="7" s="1"/>
  <c r="BM54" i="6"/>
  <c r="BM54" i="7" s="1"/>
  <c r="BN54" i="6"/>
  <c r="BN54" i="7" s="1"/>
  <c r="BO54" i="6"/>
  <c r="BO54" i="7" s="1"/>
  <c r="BK55" i="6"/>
  <c r="BK55" i="7" s="1"/>
  <c r="BL55" i="6"/>
  <c r="BL55" i="7" s="1"/>
  <c r="BM55" i="6"/>
  <c r="BM55" i="7" s="1"/>
  <c r="BN55" i="6"/>
  <c r="BN55" i="7" s="1"/>
  <c r="BO55" i="6"/>
  <c r="BO55" i="7" s="1"/>
  <c r="BK56" i="6"/>
  <c r="BK56" i="7" s="1"/>
  <c r="BL56" i="6"/>
  <c r="BL56" i="7" s="1"/>
  <c r="BM56" i="6"/>
  <c r="BM56" i="7" s="1"/>
  <c r="BN56" i="6"/>
  <c r="BN56" i="7" s="1"/>
  <c r="BO56" i="6"/>
  <c r="BO56" i="7" s="1"/>
  <c r="BK57" i="6"/>
  <c r="BK57" i="7" s="1"/>
  <c r="BL57" i="6"/>
  <c r="BL57" i="7" s="1"/>
  <c r="BM57" i="6"/>
  <c r="BM57" i="7" s="1"/>
  <c r="BN57" i="6"/>
  <c r="BN57" i="7" s="1"/>
  <c r="BO57" i="6"/>
  <c r="BO57" i="7" s="1"/>
  <c r="BK58" i="6"/>
  <c r="BK58" i="7" s="1"/>
  <c r="BL58" i="6"/>
  <c r="BL58" i="7" s="1"/>
  <c r="BM58" i="6"/>
  <c r="BM58" i="7" s="1"/>
  <c r="BN58" i="6"/>
  <c r="BN58" i="7" s="1"/>
  <c r="BO58" i="6"/>
  <c r="BO58" i="7" s="1"/>
  <c r="BK59" i="6"/>
  <c r="BK59" i="7" s="1"/>
  <c r="BL59" i="6"/>
  <c r="BL59" i="7" s="1"/>
  <c r="BM59" i="6"/>
  <c r="BM59" i="7" s="1"/>
  <c r="BN59" i="6"/>
  <c r="BN59" i="7" s="1"/>
  <c r="BO59" i="6"/>
  <c r="BO59" i="7" s="1"/>
  <c r="BK60" i="6"/>
  <c r="BK60" i="7" s="1"/>
  <c r="BL60" i="6"/>
  <c r="BL60" i="7" s="1"/>
  <c r="BM60" i="6"/>
  <c r="BM60" i="7" s="1"/>
  <c r="BN60" i="6"/>
  <c r="BN60" i="7" s="1"/>
  <c r="BO60" i="6"/>
  <c r="BO60" i="7" s="1"/>
  <c r="BK61" i="6"/>
  <c r="BK61" i="7" s="1"/>
  <c r="BL61" i="6"/>
  <c r="BL61" i="7" s="1"/>
  <c r="BM61" i="6"/>
  <c r="BM61" i="7" s="1"/>
  <c r="BN61" i="6"/>
  <c r="BN61" i="7" s="1"/>
  <c r="BO61" i="6"/>
  <c r="BO61" i="7" s="1"/>
  <c r="BK62" i="6"/>
  <c r="BK62" i="7" s="1"/>
  <c r="BL62" i="6"/>
  <c r="BL62" i="7" s="1"/>
  <c r="BM62" i="6"/>
  <c r="BM62" i="7" s="1"/>
  <c r="BN62" i="6"/>
  <c r="BN62" i="7" s="1"/>
  <c r="BO62" i="6"/>
  <c r="BO62" i="7" s="1"/>
  <c r="BK1" i="6"/>
  <c r="BL1" i="6"/>
  <c r="BM1" i="6"/>
  <c r="BN1" i="6"/>
  <c r="BO1" i="6"/>
  <c r="A63" i="6"/>
  <c r="A64" i="6"/>
  <c r="A65" i="6"/>
  <c r="A66" i="6"/>
  <c r="A67" i="6"/>
  <c r="AO1" i="4"/>
  <c r="AP1" i="4"/>
  <c r="AQ1" i="4"/>
  <c r="AR1" i="4"/>
  <c r="AS1" i="4"/>
  <c r="A41" i="4"/>
  <c r="A42" i="4"/>
  <c r="A43" i="4"/>
  <c r="A44" i="4"/>
  <c r="A45" i="4"/>
  <c r="AO1" i="14"/>
  <c r="AP1" i="14"/>
  <c r="AQ1" i="14"/>
  <c r="AR1" i="14"/>
  <c r="AS1" i="14"/>
  <c r="A41" i="14"/>
  <c r="A42" i="14"/>
  <c r="A43" i="14"/>
  <c r="A44" i="14"/>
  <c r="A45" i="14"/>
  <c r="C41" i="3"/>
  <c r="D41" i="3"/>
  <c r="D41" i="4" s="1"/>
  <c r="E41" i="3"/>
  <c r="E41" i="4" s="1"/>
  <c r="F41" i="3"/>
  <c r="F41" i="4" s="1"/>
  <c r="G41" i="3"/>
  <c r="G41" i="4" s="1"/>
  <c r="H41" i="3"/>
  <c r="H41" i="4" s="1"/>
  <c r="I41" i="3"/>
  <c r="I41" i="4" s="1"/>
  <c r="J41" i="3"/>
  <c r="J41" i="4" s="1"/>
  <c r="K41" i="3"/>
  <c r="K41" i="4" s="1"/>
  <c r="L41" i="3"/>
  <c r="L41" i="4" s="1"/>
  <c r="M41" i="3"/>
  <c r="M41" i="4" s="1"/>
  <c r="N41" i="3"/>
  <c r="N41" i="4" s="1"/>
  <c r="O41" i="3"/>
  <c r="O41" i="4" s="1"/>
  <c r="P41" i="3"/>
  <c r="P41" i="4" s="1"/>
  <c r="Q41" i="3"/>
  <c r="Q41" i="4" s="1"/>
  <c r="R41" i="3"/>
  <c r="R41" i="4" s="1"/>
  <c r="S41" i="3"/>
  <c r="S41" i="4" s="1"/>
  <c r="T41" i="3"/>
  <c r="T41" i="4" s="1"/>
  <c r="U41" i="3"/>
  <c r="U41" i="4" s="1"/>
  <c r="V41" i="3"/>
  <c r="V41" i="4" s="1"/>
  <c r="W41" i="3"/>
  <c r="W41" i="4" s="1"/>
  <c r="X41" i="3"/>
  <c r="X41" i="4" s="1"/>
  <c r="Y41" i="3"/>
  <c r="Y41" i="4" s="1"/>
  <c r="Z41" i="3"/>
  <c r="Z41" i="4" s="1"/>
  <c r="AA41" i="3"/>
  <c r="AA41" i="4" s="1"/>
  <c r="AB41" i="3"/>
  <c r="AB41" i="4" s="1"/>
  <c r="AC41" i="3"/>
  <c r="AC41" i="4" s="1"/>
  <c r="AD41" i="3"/>
  <c r="AD41" i="4" s="1"/>
  <c r="AE41" i="3"/>
  <c r="AE41" i="4" s="1"/>
  <c r="AF41" i="3"/>
  <c r="AF41" i="4" s="1"/>
  <c r="AG41" i="3"/>
  <c r="AG41" i="4" s="1"/>
  <c r="AH41" i="3"/>
  <c r="AH41" i="4" s="1"/>
  <c r="AI41" i="3"/>
  <c r="AI41" i="4" s="1"/>
  <c r="AJ41" i="3"/>
  <c r="AJ41" i="4" s="1"/>
  <c r="AK41" i="3"/>
  <c r="AK41" i="4" s="1"/>
  <c r="AL41" i="3"/>
  <c r="AL41" i="4" s="1"/>
  <c r="AM41" i="3"/>
  <c r="AM41" i="4" s="1"/>
  <c r="AN41" i="3"/>
  <c r="AN41" i="4" s="1"/>
  <c r="AO41" i="3"/>
  <c r="AO41" i="4" s="1"/>
  <c r="AP41" i="3"/>
  <c r="AP41" i="4" s="1"/>
  <c r="AQ41" i="3"/>
  <c r="AQ41" i="4" s="1"/>
  <c r="AR41" i="3"/>
  <c r="AR41" i="4" s="1"/>
  <c r="AS41" i="3"/>
  <c r="AS41" i="4" s="1"/>
  <c r="C42" i="3"/>
  <c r="D42" i="3"/>
  <c r="D42" i="4" s="1"/>
  <c r="E42" i="3"/>
  <c r="E42" i="4" s="1"/>
  <c r="F42" i="3"/>
  <c r="F42" i="4" s="1"/>
  <c r="G42" i="3"/>
  <c r="G42" i="4" s="1"/>
  <c r="H42" i="3"/>
  <c r="H42" i="4" s="1"/>
  <c r="I42" i="3"/>
  <c r="I42" i="4" s="1"/>
  <c r="J42" i="3"/>
  <c r="J42" i="4" s="1"/>
  <c r="K42" i="3"/>
  <c r="K42" i="4" s="1"/>
  <c r="L42" i="3"/>
  <c r="L42" i="4" s="1"/>
  <c r="M42" i="3"/>
  <c r="M42" i="4" s="1"/>
  <c r="N42" i="3"/>
  <c r="N42" i="4" s="1"/>
  <c r="O42" i="3"/>
  <c r="O42" i="4" s="1"/>
  <c r="P42" i="3"/>
  <c r="P42" i="4" s="1"/>
  <c r="Q42" i="3"/>
  <c r="Q42" i="4" s="1"/>
  <c r="R42" i="3"/>
  <c r="R42" i="4" s="1"/>
  <c r="S42" i="3"/>
  <c r="S42" i="4" s="1"/>
  <c r="T42" i="3"/>
  <c r="T42" i="4" s="1"/>
  <c r="U42" i="3"/>
  <c r="U42" i="4" s="1"/>
  <c r="V42" i="3"/>
  <c r="V42" i="4" s="1"/>
  <c r="W42" i="3"/>
  <c r="W42" i="4" s="1"/>
  <c r="X42" i="3"/>
  <c r="X42" i="4" s="1"/>
  <c r="Y42" i="3"/>
  <c r="Y42" i="4" s="1"/>
  <c r="Z42" i="3"/>
  <c r="Z42" i="4" s="1"/>
  <c r="AA42" i="3"/>
  <c r="AA42" i="4" s="1"/>
  <c r="AB42" i="3"/>
  <c r="AB42" i="4" s="1"/>
  <c r="AC42" i="3"/>
  <c r="AC42" i="4" s="1"/>
  <c r="AD42" i="3"/>
  <c r="AD42" i="4" s="1"/>
  <c r="AE42" i="3"/>
  <c r="AE42" i="4" s="1"/>
  <c r="AF42" i="3"/>
  <c r="AF42" i="4" s="1"/>
  <c r="AG42" i="3"/>
  <c r="AG42" i="4" s="1"/>
  <c r="AH42" i="3"/>
  <c r="AH42" i="4" s="1"/>
  <c r="AI42" i="3"/>
  <c r="AI42" i="4" s="1"/>
  <c r="AJ42" i="3"/>
  <c r="AJ42" i="4" s="1"/>
  <c r="AK42" i="3"/>
  <c r="AK42" i="4" s="1"/>
  <c r="AL42" i="3"/>
  <c r="AL42" i="4" s="1"/>
  <c r="AM42" i="3"/>
  <c r="AM42" i="4" s="1"/>
  <c r="AN42" i="3"/>
  <c r="AN42" i="4" s="1"/>
  <c r="AO42" i="3"/>
  <c r="AO42" i="4" s="1"/>
  <c r="AP42" i="3"/>
  <c r="AP42" i="4" s="1"/>
  <c r="AQ42" i="3"/>
  <c r="AQ42" i="4" s="1"/>
  <c r="AR42" i="3"/>
  <c r="AR42" i="4" s="1"/>
  <c r="AS42" i="3"/>
  <c r="AS42" i="4" s="1"/>
  <c r="C43" i="3"/>
  <c r="C43" i="4" s="1"/>
  <c r="D43" i="3"/>
  <c r="D43" i="4" s="1"/>
  <c r="E43" i="3"/>
  <c r="E43" i="4" s="1"/>
  <c r="F43" i="3"/>
  <c r="F43" i="4" s="1"/>
  <c r="G43" i="3"/>
  <c r="G43" i="4" s="1"/>
  <c r="H43" i="3"/>
  <c r="H43" i="4" s="1"/>
  <c r="I43" i="3"/>
  <c r="I43" i="4" s="1"/>
  <c r="J43" i="3"/>
  <c r="J43" i="4" s="1"/>
  <c r="K43" i="3"/>
  <c r="K43" i="4" s="1"/>
  <c r="L43" i="3"/>
  <c r="L43" i="4" s="1"/>
  <c r="M43" i="3"/>
  <c r="M43" i="4" s="1"/>
  <c r="N43" i="3"/>
  <c r="N43" i="4" s="1"/>
  <c r="O43" i="3"/>
  <c r="O43" i="4" s="1"/>
  <c r="P43" i="3"/>
  <c r="P43" i="4" s="1"/>
  <c r="Q43" i="3"/>
  <c r="Q43" i="4" s="1"/>
  <c r="R43" i="3"/>
  <c r="R43" i="4" s="1"/>
  <c r="S43" i="3"/>
  <c r="S43" i="4" s="1"/>
  <c r="T43" i="3"/>
  <c r="T43" i="4" s="1"/>
  <c r="U43" i="3"/>
  <c r="U43" i="4" s="1"/>
  <c r="V43" i="3"/>
  <c r="V43" i="4" s="1"/>
  <c r="W43" i="3"/>
  <c r="W43" i="4" s="1"/>
  <c r="X43" i="3"/>
  <c r="X43" i="4" s="1"/>
  <c r="Y43" i="3"/>
  <c r="Y43" i="4" s="1"/>
  <c r="Z43" i="3"/>
  <c r="Z43" i="4" s="1"/>
  <c r="AA43" i="3"/>
  <c r="AA43" i="4" s="1"/>
  <c r="AB43" i="3"/>
  <c r="AB43" i="4" s="1"/>
  <c r="AC43" i="3"/>
  <c r="AC43" i="4" s="1"/>
  <c r="AD43" i="3"/>
  <c r="AD43" i="4" s="1"/>
  <c r="AE43" i="3"/>
  <c r="AE43" i="4" s="1"/>
  <c r="AF43" i="3"/>
  <c r="AF43" i="4" s="1"/>
  <c r="AG43" i="3"/>
  <c r="AG43" i="4" s="1"/>
  <c r="AH43" i="3"/>
  <c r="AH43" i="4" s="1"/>
  <c r="AI43" i="3"/>
  <c r="AI43" i="4" s="1"/>
  <c r="AJ43" i="3"/>
  <c r="AJ43" i="4" s="1"/>
  <c r="AK43" i="3"/>
  <c r="AK43" i="4" s="1"/>
  <c r="AL43" i="3"/>
  <c r="AL43" i="4" s="1"/>
  <c r="AM43" i="3"/>
  <c r="AM43" i="4" s="1"/>
  <c r="AN43" i="3"/>
  <c r="AN43" i="4" s="1"/>
  <c r="AO43" i="3"/>
  <c r="AO43" i="4" s="1"/>
  <c r="AP43" i="3"/>
  <c r="AP43" i="4" s="1"/>
  <c r="AQ43" i="3"/>
  <c r="AQ43" i="4" s="1"/>
  <c r="AR43" i="3"/>
  <c r="AR43" i="4" s="1"/>
  <c r="AS43" i="3"/>
  <c r="AS43" i="4" s="1"/>
  <c r="C44" i="3"/>
  <c r="C44" i="4" s="1"/>
  <c r="D44" i="3"/>
  <c r="D44" i="4" s="1"/>
  <c r="E44" i="3"/>
  <c r="E44" i="4" s="1"/>
  <c r="F44" i="3"/>
  <c r="F44" i="4" s="1"/>
  <c r="G44" i="3"/>
  <c r="G44" i="4" s="1"/>
  <c r="H44" i="3"/>
  <c r="H44" i="4" s="1"/>
  <c r="I44" i="3"/>
  <c r="I44" i="4" s="1"/>
  <c r="J44" i="3"/>
  <c r="J44" i="4" s="1"/>
  <c r="K44" i="3"/>
  <c r="K44" i="4" s="1"/>
  <c r="L44" i="3"/>
  <c r="L44" i="4" s="1"/>
  <c r="M44" i="3"/>
  <c r="M44" i="4" s="1"/>
  <c r="N44" i="3"/>
  <c r="N44" i="4" s="1"/>
  <c r="O44" i="3"/>
  <c r="O44" i="4" s="1"/>
  <c r="P44" i="3"/>
  <c r="P44" i="4" s="1"/>
  <c r="Q44" i="3"/>
  <c r="Q44" i="4" s="1"/>
  <c r="R44" i="3"/>
  <c r="R44" i="4" s="1"/>
  <c r="S44" i="3"/>
  <c r="S44" i="4" s="1"/>
  <c r="T44" i="3"/>
  <c r="T44" i="4" s="1"/>
  <c r="U44" i="3"/>
  <c r="U44" i="4" s="1"/>
  <c r="V44" i="3"/>
  <c r="V44" i="4" s="1"/>
  <c r="W44" i="3"/>
  <c r="W44" i="4" s="1"/>
  <c r="X44" i="3"/>
  <c r="X44" i="4" s="1"/>
  <c r="Y44" i="3"/>
  <c r="Y44" i="4" s="1"/>
  <c r="Z44" i="3"/>
  <c r="Z44" i="4" s="1"/>
  <c r="AA44" i="3"/>
  <c r="AA44" i="4" s="1"/>
  <c r="AB44" i="3"/>
  <c r="AB44" i="4" s="1"/>
  <c r="AC44" i="3"/>
  <c r="AC44" i="4" s="1"/>
  <c r="AD44" i="3"/>
  <c r="AD44" i="4" s="1"/>
  <c r="AE44" i="3"/>
  <c r="AE44" i="4" s="1"/>
  <c r="AF44" i="3"/>
  <c r="AF44" i="4" s="1"/>
  <c r="AG44" i="3"/>
  <c r="AG44" i="4" s="1"/>
  <c r="AH44" i="3"/>
  <c r="AH44" i="4" s="1"/>
  <c r="AI44" i="3"/>
  <c r="AI44" i="4" s="1"/>
  <c r="AJ44" i="3"/>
  <c r="AJ44" i="4" s="1"/>
  <c r="AK44" i="3"/>
  <c r="AK44" i="4" s="1"/>
  <c r="AL44" i="3"/>
  <c r="AL44" i="4" s="1"/>
  <c r="AM44" i="3"/>
  <c r="AM44" i="4" s="1"/>
  <c r="AN44" i="3"/>
  <c r="AN44" i="4" s="1"/>
  <c r="AO44" i="3"/>
  <c r="AO44" i="4" s="1"/>
  <c r="AP44" i="3"/>
  <c r="AP44" i="4" s="1"/>
  <c r="AQ44" i="3"/>
  <c r="AQ44" i="4" s="1"/>
  <c r="AR44" i="3"/>
  <c r="AR44" i="4" s="1"/>
  <c r="AS44" i="3"/>
  <c r="AS44" i="4" s="1"/>
  <c r="C45" i="3"/>
  <c r="C45" i="4" s="1"/>
  <c r="D45" i="3"/>
  <c r="D45" i="4" s="1"/>
  <c r="E45" i="3"/>
  <c r="E45" i="4" s="1"/>
  <c r="F45" i="3"/>
  <c r="F45" i="4" s="1"/>
  <c r="G45" i="3"/>
  <c r="G45" i="4" s="1"/>
  <c r="H45" i="3"/>
  <c r="H45" i="4" s="1"/>
  <c r="I45" i="3"/>
  <c r="I45" i="4" s="1"/>
  <c r="J45" i="3"/>
  <c r="J45" i="4" s="1"/>
  <c r="K45" i="3"/>
  <c r="K45" i="4" s="1"/>
  <c r="L45" i="3"/>
  <c r="L45" i="4" s="1"/>
  <c r="M45" i="3"/>
  <c r="M45" i="4" s="1"/>
  <c r="N45" i="3"/>
  <c r="N45" i="4" s="1"/>
  <c r="O45" i="3"/>
  <c r="O45" i="4" s="1"/>
  <c r="P45" i="3"/>
  <c r="P45" i="4" s="1"/>
  <c r="Q45" i="3"/>
  <c r="Q45" i="4" s="1"/>
  <c r="R45" i="3"/>
  <c r="R45" i="4" s="1"/>
  <c r="S45" i="3"/>
  <c r="S45" i="4" s="1"/>
  <c r="T45" i="3"/>
  <c r="T45" i="4" s="1"/>
  <c r="U45" i="3"/>
  <c r="U45" i="4" s="1"/>
  <c r="V45" i="3"/>
  <c r="V45" i="4" s="1"/>
  <c r="W45" i="3"/>
  <c r="W45" i="4" s="1"/>
  <c r="X45" i="3"/>
  <c r="X45" i="4" s="1"/>
  <c r="Y45" i="3"/>
  <c r="Y45" i="4" s="1"/>
  <c r="Z45" i="3"/>
  <c r="Z45" i="4" s="1"/>
  <c r="AA45" i="3"/>
  <c r="AA45" i="4" s="1"/>
  <c r="AB45" i="3"/>
  <c r="AB45" i="4" s="1"/>
  <c r="AC45" i="3"/>
  <c r="AC45" i="4" s="1"/>
  <c r="AD45" i="3"/>
  <c r="AD45" i="4" s="1"/>
  <c r="AE45" i="3"/>
  <c r="AE45" i="4" s="1"/>
  <c r="AF45" i="3"/>
  <c r="AF45" i="4" s="1"/>
  <c r="AG45" i="3"/>
  <c r="AG45" i="4" s="1"/>
  <c r="AH45" i="3"/>
  <c r="AH45" i="4" s="1"/>
  <c r="AI45" i="3"/>
  <c r="AI45" i="4" s="1"/>
  <c r="AJ45" i="3"/>
  <c r="AJ45" i="4" s="1"/>
  <c r="AK45" i="3"/>
  <c r="AK45" i="4" s="1"/>
  <c r="AL45" i="3"/>
  <c r="AL45" i="4" s="1"/>
  <c r="AM45" i="3"/>
  <c r="AM45" i="4" s="1"/>
  <c r="AN45" i="3"/>
  <c r="AN45" i="4" s="1"/>
  <c r="AO45" i="3"/>
  <c r="AO45" i="4" s="1"/>
  <c r="AP45" i="3"/>
  <c r="AP45" i="4" s="1"/>
  <c r="AQ45" i="3"/>
  <c r="AQ45" i="4" s="1"/>
  <c r="AR45" i="3"/>
  <c r="AR45" i="4" s="1"/>
  <c r="AS45" i="3"/>
  <c r="AS45" i="4" s="1"/>
  <c r="AO3" i="3"/>
  <c r="AO3" i="4" s="1"/>
  <c r="AP3" i="3"/>
  <c r="AP3" i="4" s="1"/>
  <c r="AQ3" i="3"/>
  <c r="AQ3" i="4" s="1"/>
  <c r="AR3" i="3"/>
  <c r="AR3" i="4" s="1"/>
  <c r="AS3" i="3"/>
  <c r="AS3" i="4" s="1"/>
  <c r="AO4" i="3"/>
  <c r="AO4" i="4" s="1"/>
  <c r="AP4" i="3"/>
  <c r="AP4" i="4" s="1"/>
  <c r="AQ4" i="3"/>
  <c r="AQ4" i="4" s="1"/>
  <c r="AR4" i="3"/>
  <c r="AR4" i="4" s="1"/>
  <c r="AS4" i="3"/>
  <c r="AS4" i="4" s="1"/>
  <c r="AO5" i="3"/>
  <c r="AO5" i="4" s="1"/>
  <c r="AP5" i="3"/>
  <c r="AP5" i="4" s="1"/>
  <c r="AQ5" i="3"/>
  <c r="AQ5" i="4" s="1"/>
  <c r="AR5" i="3"/>
  <c r="AR5" i="4" s="1"/>
  <c r="AS5" i="3"/>
  <c r="AS5" i="4" s="1"/>
  <c r="AO6" i="3"/>
  <c r="AO6" i="4" s="1"/>
  <c r="AP6" i="3"/>
  <c r="AP6" i="4" s="1"/>
  <c r="AQ6" i="3"/>
  <c r="AQ6" i="4" s="1"/>
  <c r="AR6" i="3"/>
  <c r="AR6" i="4" s="1"/>
  <c r="AS6" i="3"/>
  <c r="AS6" i="4" s="1"/>
  <c r="AO7" i="3"/>
  <c r="AO7" i="4" s="1"/>
  <c r="AP7" i="3"/>
  <c r="AP7" i="4" s="1"/>
  <c r="AQ7" i="3"/>
  <c r="AQ7" i="4" s="1"/>
  <c r="AR7" i="3"/>
  <c r="AR7" i="4" s="1"/>
  <c r="AS7" i="3"/>
  <c r="AS7" i="4" s="1"/>
  <c r="AO8" i="3"/>
  <c r="AO8" i="4" s="1"/>
  <c r="AP8" i="3"/>
  <c r="AP8" i="4" s="1"/>
  <c r="AQ8" i="3"/>
  <c r="AQ8" i="4" s="1"/>
  <c r="AR8" i="3"/>
  <c r="AR8" i="4" s="1"/>
  <c r="AS8" i="3"/>
  <c r="AS8" i="4" s="1"/>
  <c r="AO9" i="3"/>
  <c r="AO9" i="4" s="1"/>
  <c r="AP9" i="3"/>
  <c r="AP9" i="4" s="1"/>
  <c r="AQ9" i="3"/>
  <c r="AQ9" i="4" s="1"/>
  <c r="AR9" i="3"/>
  <c r="AR9" i="4" s="1"/>
  <c r="AS9" i="3"/>
  <c r="AS9" i="4" s="1"/>
  <c r="AO10" i="3"/>
  <c r="AO10" i="4" s="1"/>
  <c r="AP10" i="3"/>
  <c r="AP10" i="4" s="1"/>
  <c r="AQ10" i="3"/>
  <c r="AQ10" i="4" s="1"/>
  <c r="AR10" i="3"/>
  <c r="AR10" i="4" s="1"/>
  <c r="AS10" i="3"/>
  <c r="AS10" i="4" s="1"/>
  <c r="AO11" i="3"/>
  <c r="AO11" i="4" s="1"/>
  <c r="AP11" i="3"/>
  <c r="AP11" i="4" s="1"/>
  <c r="AQ11" i="3"/>
  <c r="AQ11" i="4" s="1"/>
  <c r="AR11" i="3"/>
  <c r="AR11" i="4" s="1"/>
  <c r="AS11" i="3"/>
  <c r="AS11" i="4" s="1"/>
  <c r="AO12" i="3"/>
  <c r="AO12" i="4" s="1"/>
  <c r="AP12" i="3"/>
  <c r="AP12" i="4" s="1"/>
  <c r="AQ12" i="3"/>
  <c r="AQ12" i="4" s="1"/>
  <c r="AR12" i="3"/>
  <c r="AR12" i="4" s="1"/>
  <c r="AS12" i="3"/>
  <c r="AS12" i="4" s="1"/>
  <c r="AO13" i="3"/>
  <c r="AO13" i="4" s="1"/>
  <c r="AP13" i="3"/>
  <c r="AP13" i="4" s="1"/>
  <c r="AQ13" i="3"/>
  <c r="AQ13" i="4" s="1"/>
  <c r="AR13" i="3"/>
  <c r="AR13" i="4" s="1"/>
  <c r="AS13" i="3"/>
  <c r="AS13" i="4" s="1"/>
  <c r="AO14" i="3"/>
  <c r="AO14" i="4" s="1"/>
  <c r="AP14" i="3"/>
  <c r="AP14" i="4" s="1"/>
  <c r="AQ14" i="3"/>
  <c r="AQ14" i="4" s="1"/>
  <c r="AR14" i="3"/>
  <c r="AR14" i="4" s="1"/>
  <c r="AS14" i="3"/>
  <c r="AS14" i="4" s="1"/>
  <c r="AO15" i="3"/>
  <c r="AO15" i="4" s="1"/>
  <c r="AP15" i="3"/>
  <c r="AP15" i="4" s="1"/>
  <c r="AQ15" i="3"/>
  <c r="AQ15" i="4" s="1"/>
  <c r="AR15" i="3"/>
  <c r="AR15" i="4" s="1"/>
  <c r="AS15" i="3"/>
  <c r="AS15" i="4" s="1"/>
  <c r="AO16" i="3"/>
  <c r="AO16" i="4" s="1"/>
  <c r="AP16" i="3"/>
  <c r="AP16" i="4" s="1"/>
  <c r="AQ16" i="3"/>
  <c r="AQ16" i="4" s="1"/>
  <c r="AR16" i="3"/>
  <c r="AR16" i="4" s="1"/>
  <c r="AS16" i="3"/>
  <c r="AS16" i="4" s="1"/>
  <c r="AO17" i="3"/>
  <c r="AO17" i="4" s="1"/>
  <c r="AP17" i="3"/>
  <c r="AP17" i="4" s="1"/>
  <c r="AQ17" i="3"/>
  <c r="AQ17" i="4" s="1"/>
  <c r="AR17" i="3"/>
  <c r="AR17" i="4" s="1"/>
  <c r="AS17" i="3"/>
  <c r="AS17" i="4" s="1"/>
  <c r="AO18" i="3"/>
  <c r="AO18" i="4" s="1"/>
  <c r="AP18" i="3"/>
  <c r="AP18" i="4" s="1"/>
  <c r="AQ18" i="3"/>
  <c r="AQ18" i="4" s="1"/>
  <c r="AR18" i="3"/>
  <c r="AR18" i="4" s="1"/>
  <c r="AS18" i="3"/>
  <c r="AS18" i="4" s="1"/>
  <c r="AO19" i="3"/>
  <c r="AO19" i="4" s="1"/>
  <c r="AP19" i="3"/>
  <c r="AP19" i="4" s="1"/>
  <c r="AQ19" i="3"/>
  <c r="AQ19" i="4" s="1"/>
  <c r="AR19" i="3"/>
  <c r="AR19" i="4" s="1"/>
  <c r="AS19" i="3"/>
  <c r="AS19" i="4" s="1"/>
  <c r="AO20" i="3"/>
  <c r="AO20" i="4" s="1"/>
  <c r="AP20" i="3"/>
  <c r="AP20" i="4" s="1"/>
  <c r="AQ20" i="3"/>
  <c r="AQ20" i="4" s="1"/>
  <c r="AR20" i="3"/>
  <c r="AR20" i="4" s="1"/>
  <c r="AS20" i="3"/>
  <c r="AS20" i="4" s="1"/>
  <c r="AO21" i="3"/>
  <c r="AO21" i="4" s="1"/>
  <c r="AP21" i="3"/>
  <c r="AP21" i="4" s="1"/>
  <c r="AQ21" i="3"/>
  <c r="AQ21" i="4" s="1"/>
  <c r="AR21" i="3"/>
  <c r="AR21" i="4" s="1"/>
  <c r="AS21" i="3"/>
  <c r="AS21" i="4" s="1"/>
  <c r="AO22" i="3"/>
  <c r="AO22" i="4" s="1"/>
  <c r="AP22" i="3"/>
  <c r="AP22" i="4" s="1"/>
  <c r="AQ22" i="3"/>
  <c r="AQ22" i="4" s="1"/>
  <c r="AR22" i="3"/>
  <c r="AR22" i="4" s="1"/>
  <c r="AS22" i="3"/>
  <c r="AS22" i="4" s="1"/>
  <c r="AO23" i="3"/>
  <c r="AO23" i="4" s="1"/>
  <c r="AP23" i="3"/>
  <c r="AP23" i="4" s="1"/>
  <c r="AQ23" i="3"/>
  <c r="AQ23" i="4" s="1"/>
  <c r="AR23" i="3"/>
  <c r="AR23" i="4" s="1"/>
  <c r="AS23" i="3"/>
  <c r="AS23" i="4" s="1"/>
  <c r="AO24" i="3"/>
  <c r="AO24" i="4" s="1"/>
  <c r="AP24" i="3"/>
  <c r="AP24" i="4" s="1"/>
  <c r="AQ24" i="3"/>
  <c r="AQ24" i="4" s="1"/>
  <c r="AR24" i="3"/>
  <c r="AR24" i="4" s="1"/>
  <c r="AS24" i="3"/>
  <c r="AS24" i="4" s="1"/>
  <c r="AO25" i="3"/>
  <c r="AO25" i="4" s="1"/>
  <c r="AP25" i="3"/>
  <c r="AP25" i="4" s="1"/>
  <c r="AQ25" i="3"/>
  <c r="AQ25" i="4" s="1"/>
  <c r="AR25" i="3"/>
  <c r="AR25" i="4" s="1"/>
  <c r="AS25" i="3"/>
  <c r="AS25" i="4" s="1"/>
  <c r="AO26" i="3"/>
  <c r="AO26" i="4" s="1"/>
  <c r="AP26" i="3"/>
  <c r="AP26" i="4" s="1"/>
  <c r="AQ26" i="3"/>
  <c r="AQ26" i="4" s="1"/>
  <c r="AR26" i="3"/>
  <c r="AR26" i="4" s="1"/>
  <c r="AS26" i="3"/>
  <c r="AS26" i="4" s="1"/>
  <c r="AO27" i="3"/>
  <c r="AO27" i="4" s="1"/>
  <c r="AP27" i="3"/>
  <c r="AP27" i="4" s="1"/>
  <c r="AQ27" i="3"/>
  <c r="AQ27" i="4" s="1"/>
  <c r="AR27" i="3"/>
  <c r="AR27" i="4" s="1"/>
  <c r="AS27" i="3"/>
  <c r="AS27" i="4" s="1"/>
  <c r="AO28" i="3"/>
  <c r="AO28" i="4" s="1"/>
  <c r="AP28" i="3"/>
  <c r="AP28" i="4" s="1"/>
  <c r="AQ28" i="3"/>
  <c r="AQ28" i="4" s="1"/>
  <c r="AR28" i="3"/>
  <c r="AR28" i="4" s="1"/>
  <c r="AS28" i="3"/>
  <c r="AS28" i="4" s="1"/>
  <c r="AO29" i="3"/>
  <c r="AO29" i="4" s="1"/>
  <c r="AP29" i="3"/>
  <c r="AP29" i="4" s="1"/>
  <c r="AQ29" i="3"/>
  <c r="AQ29" i="4" s="1"/>
  <c r="AR29" i="3"/>
  <c r="AR29" i="4" s="1"/>
  <c r="AS29" i="3"/>
  <c r="AS29" i="4" s="1"/>
  <c r="AO30" i="3"/>
  <c r="AO30" i="4" s="1"/>
  <c r="AP30" i="3"/>
  <c r="AP30" i="4" s="1"/>
  <c r="AQ30" i="3"/>
  <c r="AQ30" i="4" s="1"/>
  <c r="AR30" i="3"/>
  <c r="AR30" i="4" s="1"/>
  <c r="AS30" i="3"/>
  <c r="AS30" i="4" s="1"/>
  <c r="AO31" i="3"/>
  <c r="AO31" i="4" s="1"/>
  <c r="AP31" i="3"/>
  <c r="AP31" i="4" s="1"/>
  <c r="AQ31" i="3"/>
  <c r="AQ31" i="4" s="1"/>
  <c r="AR31" i="3"/>
  <c r="AR31" i="4" s="1"/>
  <c r="AS31" i="3"/>
  <c r="AS31" i="4" s="1"/>
  <c r="AO32" i="3"/>
  <c r="AO32" i="4" s="1"/>
  <c r="AP32" i="3"/>
  <c r="AP32" i="4" s="1"/>
  <c r="AQ32" i="3"/>
  <c r="AQ32" i="4" s="1"/>
  <c r="AR32" i="3"/>
  <c r="AR32" i="4" s="1"/>
  <c r="AS32" i="3"/>
  <c r="AS32" i="4" s="1"/>
  <c r="AO33" i="3"/>
  <c r="AO33" i="4" s="1"/>
  <c r="AP33" i="3"/>
  <c r="AP33" i="4" s="1"/>
  <c r="AQ33" i="3"/>
  <c r="AQ33" i="4" s="1"/>
  <c r="AR33" i="3"/>
  <c r="AR33" i="4" s="1"/>
  <c r="AS33" i="3"/>
  <c r="AS33" i="4" s="1"/>
  <c r="AO34" i="3"/>
  <c r="AO34" i="4" s="1"/>
  <c r="AP34" i="3"/>
  <c r="AP34" i="4" s="1"/>
  <c r="AQ34" i="3"/>
  <c r="AQ34" i="4" s="1"/>
  <c r="AR34" i="3"/>
  <c r="AR34" i="4" s="1"/>
  <c r="AS34" i="3"/>
  <c r="AS34" i="4" s="1"/>
  <c r="AO35" i="3"/>
  <c r="AO35" i="4" s="1"/>
  <c r="AP35" i="3"/>
  <c r="AP35" i="4" s="1"/>
  <c r="AQ35" i="3"/>
  <c r="AQ35" i="4" s="1"/>
  <c r="AR35" i="3"/>
  <c r="AR35" i="4" s="1"/>
  <c r="AS35" i="3"/>
  <c r="AS35" i="4" s="1"/>
  <c r="AO36" i="3"/>
  <c r="AO36" i="4" s="1"/>
  <c r="AP36" i="3"/>
  <c r="AP36" i="4" s="1"/>
  <c r="AQ36" i="3"/>
  <c r="AQ36" i="4" s="1"/>
  <c r="AR36" i="3"/>
  <c r="AR36" i="4" s="1"/>
  <c r="AS36" i="3"/>
  <c r="AS36" i="4" s="1"/>
  <c r="AO37" i="3"/>
  <c r="AO37" i="4" s="1"/>
  <c r="AP37" i="3"/>
  <c r="AP37" i="4" s="1"/>
  <c r="AQ37" i="3"/>
  <c r="AQ37" i="4" s="1"/>
  <c r="AR37" i="3"/>
  <c r="AR37" i="4" s="1"/>
  <c r="AS37" i="3"/>
  <c r="AS37" i="4" s="1"/>
  <c r="AO38" i="3"/>
  <c r="AO38" i="4" s="1"/>
  <c r="AP38" i="3"/>
  <c r="AP38" i="4" s="1"/>
  <c r="AQ38" i="3"/>
  <c r="AQ38" i="4" s="1"/>
  <c r="AR38" i="3"/>
  <c r="AR38" i="4" s="1"/>
  <c r="AS38" i="3"/>
  <c r="AS38" i="4" s="1"/>
  <c r="AO39" i="3"/>
  <c r="AO39" i="4" s="1"/>
  <c r="AP39" i="3"/>
  <c r="AP39" i="4" s="1"/>
  <c r="AQ39" i="3"/>
  <c r="AQ39" i="4" s="1"/>
  <c r="AR39" i="3"/>
  <c r="AR39" i="4" s="1"/>
  <c r="AS39" i="3"/>
  <c r="AS39" i="4" s="1"/>
  <c r="AO40" i="3"/>
  <c r="AO40" i="4" s="1"/>
  <c r="AP40" i="3"/>
  <c r="AP40" i="4" s="1"/>
  <c r="AQ40" i="3"/>
  <c r="AQ40" i="4" s="1"/>
  <c r="AR40" i="3"/>
  <c r="AR40" i="4" s="1"/>
  <c r="AS40" i="3"/>
  <c r="AS40" i="4" s="1"/>
  <c r="AO1" i="3"/>
  <c r="AP1" i="3"/>
  <c r="AQ1" i="3"/>
  <c r="AR1" i="3"/>
  <c r="AS1" i="3"/>
  <c r="A41" i="3"/>
  <c r="A42" i="3"/>
  <c r="A43" i="3"/>
  <c r="A44" i="3"/>
  <c r="A45" i="3"/>
  <c r="C63" i="7" l="1"/>
  <c r="C64" i="7"/>
  <c r="C65" i="7"/>
  <c r="C42" i="4"/>
  <c r="C41" i="4"/>
  <c r="F15" i="3"/>
  <c r="D15" i="10" l="1"/>
  <c r="D14" i="10"/>
  <c r="B15" i="10"/>
  <c r="B14" i="10"/>
  <c r="J48" i="8" l="1"/>
  <c r="H48" i="8"/>
  <c r="N3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52" i="8"/>
  <c r="N27" i="8"/>
  <c r="N28" i="8"/>
  <c r="N29" i="8"/>
  <c r="N30" i="8"/>
  <c r="N31" i="8"/>
  <c r="N32" i="8"/>
  <c r="N33" i="8"/>
  <c r="N34" i="8"/>
  <c r="N35" i="8"/>
  <c r="N36" i="8"/>
  <c r="N37" i="8"/>
  <c r="N38" i="8"/>
  <c r="N2" i="8"/>
  <c r="H3" i="8" l="1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52" i="8"/>
  <c r="H27" i="8"/>
  <c r="H28" i="8"/>
  <c r="H29" i="8"/>
  <c r="H30" i="8"/>
  <c r="H31" i="8"/>
  <c r="H32" i="8"/>
  <c r="H33" i="8"/>
  <c r="H34" i="8"/>
  <c r="H35" i="8"/>
  <c r="H36" i="8"/>
  <c r="H37" i="8"/>
  <c r="H38" i="8"/>
  <c r="H2" i="8"/>
  <c r="C4" i="6"/>
  <c r="D4" i="6"/>
  <c r="D4" i="7" s="1"/>
  <c r="E4" i="6"/>
  <c r="E4" i="7" s="1"/>
  <c r="F4" i="6"/>
  <c r="F4" i="7" s="1"/>
  <c r="G4" i="6"/>
  <c r="G4" i="7" s="1"/>
  <c r="H4" i="6"/>
  <c r="H4" i="7" s="1"/>
  <c r="I4" i="6"/>
  <c r="I4" i="7" s="1"/>
  <c r="J4" i="6"/>
  <c r="J4" i="7" s="1"/>
  <c r="K4" i="6"/>
  <c r="K4" i="7" s="1"/>
  <c r="L4" i="6"/>
  <c r="L4" i="7" s="1"/>
  <c r="M4" i="6"/>
  <c r="M4" i="7" s="1"/>
  <c r="N4" i="6"/>
  <c r="N4" i="7" s="1"/>
  <c r="O4" i="6"/>
  <c r="O4" i="7" s="1"/>
  <c r="P4" i="6"/>
  <c r="P4" i="7" s="1"/>
  <c r="Q4" i="6"/>
  <c r="Q4" i="7" s="1"/>
  <c r="R4" i="6"/>
  <c r="S4" i="6"/>
  <c r="S4" i="7" s="1"/>
  <c r="T4" i="6"/>
  <c r="T4" i="7" s="1"/>
  <c r="U4" i="6"/>
  <c r="U4" i="7" s="1"/>
  <c r="V4" i="6"/>
  <c r="V4" i="7" s="1"/>
  <c r="W4" i="6"/>
  <c r="W4" i="7" s="1"/>
  <c r="X4" i="6"/>
  <c r="X4" i="7" s="1"/>
  <c r="Y4" i="6"/>
  <c r="Y4" i="7" s="1"/>
  <c r="Z4" i="6"/>
  <c r="Z4" i="7" s="1"/>
  <c r="AA4" i="6"/>
  <c r="AA4" i="7" s="1"/>
  <c r="AB4" i="6"/>
  <c r="AB4" i="7" s="1"/>
  <c r="AC4" i="6"/>
  <c r="AC4" i="7" s="1"/>
  <c r="AD4" i="6"/>
  <c r="AD4" i="7" s="1"/>
  <c r="AE4" i="6"/>
  <c r="AE4" i="7" s="1"/>
  <c r="AF4" i="6"/>
  <c r="AF4" i="7" s="1"/>
  <c r="AG4" i="6"/>
  <c r="AG4" i="7" s="1"/>
  <c r="AH4" i="6"/>
  <c r="AI4" i="6"/>
  <c r="AJ4" i="6"/>
  <c r="AJ4" i="7" s="1"/>
  <c r="AK4" i="6"/>
  <c r="AK4" i="7" s="1"/>
  <c r="AL4" i="6"/>
  <c r="AL4" i="7" s="1"/>
  <c r="AM4" i="6"/>
  <c r="AM4" i="7" s="1"/>
  <c r="AN4" i="6"/>
  <c r="AN4" i="7" s="1"/>
  <c r="AO4" i="6"/>
  <c r="AO4" i="7" s="1"/>
  <c r="AP4" i="6"/>
  <c r="AQ4" i="6"/>
  <c r="AR4" i="6"/>
  <c r="AR4" i="7" s="1"/>
  <c r="AS4" i="6"/>
  <c r="AT4" i="6"/>
  <c r="AU4" i="6"/>
  <c r="AV4" i="6"/>
  <c r="AW4" i="6"/>
  <c r="AX4" i="6"/>
  <c r="AY4" i="6"/>
  <c r="AZ4" i="6"/>
  <c r="BA4" i="6"/>
  <c r="BB4" i="6"/>
  <c r="BC4" i="6"/>
  <c r="BD4" i="6"/>
  <c r="BE4" i="6"/>
  <c r="BF4" i="6"/>
  <c r="BG4" i="6"/>
  <c r="BG4" i="7" s="1"/>
  <c r="BH4" i="6"/>
  <c r="BH4" i="7" s="1"/>
  <c r="BI4" i="6"/>
  <c r="BI4" i="7" s="1"/>
  <c r="BJ4" i="6"/>
  <c r="BJ4" i="7" s="1"/>
  <c r="C5" i="6"/>
  <c r="D5" i="6"/>
  <c r="D5" i="7" s="1"/>
  <c r="E5" i="6"/>
  <c r="E5" i="7" s="1"/>
  <c r="F5" i="6"/>
  <c r="F5" i="7" s="1"/>
  <c r="G5" i="6"/>
  <c r="G5" i="7" s="1"/>
  <c r="H5" i="6"/>
  <c r="H5" i="7" s="1"/>
  <c r="I5" i="6"/>
  <c r="I5" i="7" s="1"/>
  <c r="J5" i="6"/>
  <c r="J5" i="7" s="1"/>
  <c r="K5" i="6"/>
  <c r="K5" i="7" s="1"/>
  <c r="L5" i="6"/>
  <c r="L5" i="7" s="1"/>
  <c r="M5" i="6"/>
  <c r="M5" i="7" s="1"/>
  <c r="N5" i="6"/>
  <c r="N5" i="7" s="1"/>
  <c r="O5" i="6"/>
  <c r="O5" i="7" s="1"/>
  <c r="P5" i="6"/>
  <c r="P5" i="7" s="1"/>
  <c r="Q5" i="6"/>
  <c r="Q5" i="7" s="1"/>
  <c r="R5" i="6"/>
  <c r="S5" i="6"/>
  <c r="S5" i="7" s="1"/>
  <c r="T5" i="6"/>
  <c r="T5" i="7" s="1"/>
  <c r="U5" i="6"/>
  <c r="U5" i="7" s="1"/>
  <c r="V5" i="6"/>
  <c r="V5" i="7" s="1"/>
  <c r="W5" i="6"/>
  <c r="W5" i="7" s="1"/>
  <c r="X5" i="6"/>
  <c r="X5" i="7" s="1"/>
  <c r="Y5" i="6"/>
  <c r="Y5" i="7" s="1"/>
  <c r="Z5" i="6"/>
  <c r="Z5" i="7" s="1"/>
  <c r="AA5" i="6"/>
  <c r="AA5" i="7" s="1"/>
  <c r="AB5" i="6"/>
  <c r="AB5" i="7" s="1"/>
  <c r="AC5" i="6"/>
  <c r="AC5" i="7" s="1"/>
  <c r="AD5" i="6"/>
  <c r="AD5" i="7" s="1"/>
  <c r="AE5" i="6"/>
  <c r="AE5" i="7" s="1"/>
  <c r="AF5" i="6"/>
  <c r="AF5" i="7" s="1"/>
  <c r="AG5" i="6"/>
  <c r="AG5" i="7" s="1"/>
  <c r="AH5" i="6"/>
  <c r="AI5" i="6"/>
  <c r="AJ5" i="6"/>
  <c r="AJ5" i="7" s="1"/>
  <c r="AK5" i="6"/>
  <c r="AK5" i="7" s="1"/>
  <c r="AL5" i="6"/>
  <c r="AL5" i="7" s="1"/>
  <c r="AM5" i="6"/>
  <c r="AM5" i="7" s="1"/>
  <c r="AN5" i="6"/>
  <c r="AN5" i="7" s="1"/>
  <c r="AO5" i="6"/>
  <c r="AO5" i="7" s="1"/>
  <c r="AP5" i="6"/>
  <c r="AQ5" i="6"/>
  <c r="AR5" i="6"/>
  <c r="AR5" i="7" s="1"/>
  <c r="AS5" i="6"/>
  <c r="AT5" i="6"/>
  <c r="AU5" i="6"/>
  <c r="AV5" i="6"/>
  <c r="AW5" i="6"/>
  <c r="AX5" i="6"/>
  <c r="AY5" i="6"/>
  <c r="AZ5" i="6"/>
  <c r="BA5" i="6"/>
  <c r="BB5" i="6"/>
  <c r="BC5" i="6"/>
  <c r="BD5" i="6"/>
  <c r="BE5" i="6"/>
  <c r="BF5" i="6"/>
  <c r="BG5" i="6"/>
  <c r="BG5" i="7" s="1"/>
  <c r="BH5" i="6"/>
  <c r="BH5" i="7" s="1"/>
  <c r="BI5" i="6"/>
  <c r="BI5" i="7" s="1"/>
  <c r="BJ5" i="6"/>
  <c r="BJ5" i="7" s="1"/>
  <c r="C6" i="6"/>
  <c r="D6" i="6"/>
  <c r="D6" i="7" s="1"/>
  <c r="E6" i="6"/>
  <c r="E6" i="7" s="1"/>
  <c r="F6" i="6"/>
  <c r="F6" i="7" s="1"/>
  <c r="G6" i="6"/>
  <c r="G6" i="7" s="1"/>
  <c r="H6" i="6"/>
  <c r="H6" i="7" s="1"/>
  <c r="I6" i="6"/>
  <c r="I6" i="7" s="1"/>
  <c r="J6" i="6"/>
  <c r="J6" i="7" s="1"/>
  <c r="K6" i="6"/>
  <c r="K6" i="7" s="1"/>
  <c r="L6" i="6"/>
  <c r="L6" i="7" s="1"/>
  <c r="M6" i="6"/>
  <c r="M6" i="7" s="1"/>
  <c r="N6" i="6"/>
  <c r="N6" i="7" s="1"/>
  <c r="O6" i="6"/>
  <c r="O6" i="7" s="1"/>
  <c r="P6" i="6"/>
  <c r="P6" i="7" s="1"/>
  <c r="Q6" i="6"/>
  <c r="Q6" i="7" s="1"/>
  <c r="R6" i="6"/>
  <c r="S6" i="6"/>
  <c r="S6" i="7" s="1"/>
  <c r="T6" i="6"/>
  <c r="T6" i="7" s="1"/>
  <c r="U6" i="6"/>
  <c r="U6" i="7" s="1"/>
  <c r="V6" i="6"/>
  <c r="V6" i="7" s="1"/>
  <c r="W6" i="6"/>
  <c r="W6" i="7" s="1"/>
  <c r="X6" i="6"/>
  <c r="X6" i="7" s="1"/>
  <c r="Y6" i="6"/>
  <c r="Y6" i="7" s="1"/>
  <c r="Z6" i="6"/>
  <c r="Z6" i="7" s="1"/>
  <c r="AA6" i="6"/>
  <c r="AA6" i="7" s="1"/>
  <c r="AB6" i="6"/>
  <c r="AB6" i="7" s="1"/>
  <c r="AC6" i="6"/>
  <c r="AC6" i="7" s="1"/>
  <c r="AD6" i="6"/>
  <c r="AD6" i="7" s="1"/>
  <c r="AE6" i="6"/>
  <c r="AE6" i="7" s="1"/>
  <c r="AF6" i="6"/>
  <c r="AF6" i="7" s="1"/>
  <c r="AG6" i="6"/>
  <c r="AG6" i="7" s="1"/>
  <c r="AH6" i="6"/>
  <c r="AI6" i="6"/>
  <c r="AJ6" i="6"/>
  <c r="AJ6" i="7" s="1"/>
  <c r="AK6" i="6"/>
  <c r="AK6" i="7" s="1"/>
  <c r="AL6" i="6"/>
  <c r="AL6" i="7" s="1"/>
  <c r="AM6" i="6"/>
  <c r="AM6" i="7" s="1"/>
  <c r="AN6" i="6"/>
  <c r="AN6" i="7" s="1"/>
  <c r="AO6" i="6"/>
  <c r="AO6" i="7" s="1"/>
  <c r="AP6" i="6"/>
  <c r="AQ6" i="6"/>
  <c r="AR6" i="6"/>
  <c r="AR6" i="7" s="1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G6" i="7" s="1"/>
  <c r="BH6" i="6"/>
  <c r="BH6" i="7" s="1"/>
  <c r="BI6" i="6"/>
  <c r="BI6" i="7" s="1"/>
  <c r="BJ6" i="6"/>
  <c r="BJ6" i="7" s="1"/>
  <c r="C7" i="6"/>
  <c r="D7" i="6"/>
  <c r="D7" i="7" s="1"/>
  <c r="E7" i="6"/>
  <c r="E7" i="7" s="1"/>
  <c r="F7" i="6"/>
  <c r="F7" i="7" s="1"/>
  <c r="G7" i="6"/>
  <c r="G7" i="7" s="1"/>
  <c r="H7" i="6"/>
  <c r="H7" i="7" s="1"/>
  <c r="I7" i="6"/>
  <c r="I7" i="7" s="1"/>
  <c r="J7" i="6"/>
  <c r="J7" i="7" s="1"/>
  <c r="K7" i="6"/>
  <c r="K7" i="7" s="1"/>
  <c r="L7" i="6"/>
  <c r="L7" i="7" s="1"/>
  <c r="M7" i="6"/>
  <c r="M7" i="7" s="1"/>
  <c r="N7" i="6"/>
  <c r="N7" i="7" s="1"/>
  <c r="O7" i="6"/>
  <c r="O7" i="7" s="1"/>
  <c r="P7" i="6"/>
  <c r="P7" i="7" s="1"/>
  <c r="Q7" i="6"/>
  <c r="Q7" i="7" s="1"/>
  <c r="R7" i="6"/>
  <c r="S7" i="6"/>
  <c r="S7" i="7" s="1"/>
  <c r="T7" i="6"/>
  <c r="T7" i="7" s="1"/>
  <c r="U7" i="6"/>
  <c r="U7" i="7" s="1"/>
  <c r="V7" i="6"/>
  <c r="V7" i="7" s="1"/>
  <c r="W7" i="6"/>
  <c r="W7" i="7" s="1"/>
  <c r="X7" i="6"/>
  <c r="X7" i="7" s="1"/>
  <c r="Y7" i="6"/>
  <c r="Y7" i="7" s="1"/>
  <c r="Z7" i="6"/>
  <c r="Z7" i="7" s="1"/>
  <c r="AA7" i="6"/>
  <c r="AA7" i="7" s="1"/>
  <c r="AB7" i="6"/>
  <c r="AB7" i="7" s="1"/>
  <c r="AC7" i="6"/>
  <c r="AC7" i="7" s="1"/>
  <c r="AD7" i="6"/>
  <c r="AD7" i="7" s="1"/>
  <c r="AE7" i="6"/>
  <c r="AE7" i="7" s="1"/>
  <c r="AF7" i="6"/>
  <c r="AF7" i="7" s="1"/>
  <c r="AG7" i="6"/>
  <c r="AG7" i="7" s="1"/>
  <c r="AH7" i="6"/>
  <c r="AI7" i="6"/>
  <c r="AJ7" i="6"/>
  <c r="AJ7" i="7" s="1"/>
  <c r="AK7" i="6"/>
  <c r="AK7" i="7" s="1"/>
  <c r="AL7" i="6"/>
  <c r="AL7" i="7" s="1"/>
  <c r="AM7" i="6"/>
  <c r="AM7" i="7" s="1"/>
  <c r="AN7" i="6"/>
  <c r="AN7" i="7" s="1"/>
  <c r="AO7" i="6"/>
  <c r="AO7" i="7" s="1"/>
  <c r="AP7" i="6"/>
  <c r="AQ7" i="6"/>
  <c r="AR7" i="6"/>
  <c r="AR7" i="7" s="1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G7" i="7" s="1"/>
  <c r="BH7" i="6"/>
  <c r="BH7" i="7" s="1"/>
  <c r="BI7" i="6"/>
  <c r="BI7" i="7" s="1"/>
  <c r="BJ7" i="6"/>
  <c r="BJ7" i="7" s="1"/>
  <c r="C8" i="6"/>
  <c r="D8" i="6"/>
  <c r="D8" i="7" s="1"/>
  <c r="E8" i="6"/>
  <c r="E8" i="7" s="1"/>
  <c r="F8" i="6"/>
  <c r="F8" i="7" s="1"/>
  <c r="G8" i="6"/>
  <c r="G8" i="7" s="1"/>
  <c r="H8" i="6"/>
  <c r="H8" i="7" s="1"/>
  <c r="I8" i="6"/>
  <c r="I8" i="7" s="1"/>
  <c r="J8" i="6"/>
  <c r="J8" i="7" s="1"/>
  <c r="K8" i="6"/>
  <c r="K8" i="7" s="1"/>
  <c r="L8" i="6"/>
  <c r="L8" i="7" s="1"/>
  <c r="M8" i="6"/>
  <c r="M8" i="7" s="1"/>
  <c r="N8" i="6"/>
  <c r="N8" i="7" s="1"/>
  <c r="O8" i="6"/>
  <c r="O8" i="7" s="1"/>
  <c r="P8" i="6"/>
  <c r="P8" i="7" s="1"/>
  <c r="Q8" i="6"/>
  <c r="Q8" i="7" s="1"/>
  <c r="R8" i="6"/>
  <c r="S8" i="6"/>
  <c r="S8" i="7" s="1"/>
  <c r="T8" i="6"/>
  <c r="T8" i="7" s="1"/>
  <c r="U8" i="6"/>
  <c r="U8" i="7" s="1"/>
  <c r="V8" i="6"/>
  <c r="V8" i="7" s="1"/>
  <c r="W8" i="6"/>
  <c r="W8" i="7" s="1"/>
  <c r="X8" i="6"/>
  <c r="X8" i="7" s="1"/>
  <c r="Y8" i="6"/>
  <c r="Y8" i="7" s="1"/>
  <c r="Z8" i="6"/>
  <c r="Z8" i="7" s="1"/>
  <c r="AA8" i="6"/>
  <c r="AA8" i="7" s="1"/>
  <c r="AB8" i="6"/>
  <c r="AB8" i="7" s="1"/>
  <c r="AC8" i="6"/>
  <c r="AC8" i="7" s="1"/>
  <c r="AD8" i="6"/>
  <c r="AD8" i="7" s="1"/>
  <c r="AE8" i="6"/>
  <c r="AE8" i="7" s="1"/>
  <c r="AF8" i="6"/>
  <c r="AF8" i="7" s="1"/>
  <c r="AG8" i="6"/>
  <c r="AG8" i="7" s="1"/>
  <c r="AH8" i="6"/>
  <c r="AI8" i="6"/>
  <c r="AJ8" i="6"/>
  <c r="AJ8" i="7" s="1"/>
  <c r="AK8" i="6"/>
  <c r="AK8" i="7" s="1"/>
  <c r="AL8" i="6"/>
  <c r="AL8" i="7" s="1"/>
  <c r="AM8" i="6"/>
  <c r="AM8" i="7" s="1"/>
  <c r="AN8" i="6"/>
  <c r="AN8" i="7" s="1"/>
  <c r="AO8" i="6"/>
  <c r="AO8" i="7" s="1"/>
  <c r="AP8" i="6"/>
  <c r="AQ8" i="6"/>
  <c r="AR8" i="6"/>
  <c r="AR8" i="7" s="1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G8" i="7" s="1"/>
  <c r="BH8" i="6"/>
  <c r="BH8" i="7" s="1"/>
  <c r="BI8" i="6"/>
  <c r="BI8" i="7" s="1"/>
  <c r="BJ8" i="6"/>
  <c r="BJ8" i="7" s="1"/>
  <c r="C9" i="6"/>
  <c r="D9" i="6"/>
  <c r="D9" i="7" s="1"/>
  <c r="E9" i="6"/>
  <c r="E9" i="7" s="1"/>
  <c r="F9" i="6"/>
  <c r="F9" i="7" s="1"/>
  <c r="G9" i="6"/>
  <c r="G9" i="7" s="1"/>
  <c r="H9" i="6"/>
  <c r="H9" i="7" s="1"/>
  <c r="I9" i="6"/>
  <c r="I9" i="7" s="1"/>
  <c r="J9" i="6"/>
  <c r="J9" i="7" s="1"/>
  <c r="K9" i="6"/>
  <c r="K9" i="7" s="1"/>
  <c r="L9" i="6"/>
  <c r="L9" i="7" s="1"/>
  <c r="M9" i="6"/>
  <c r="M9" i="7" s="1"/>
  <c r="N9" i="6"/>
  <c r="N9" i="7" s="1"/>
  <c r="O9" i="6"/>
  <c r="O9" i="7" s="1"/>
  <c r="P9" i="6"/>
  <c r="P9" i="7" s="1"/>
  <c r="Q9" i="6"/>
  <c r="Q9" i="7" s="1"/>
  <c r="R9" i="6"/>
  <c r="S9" i="6"/>
  <c r="S9" i="7" s="1"/>
  <c r="T9" i="6"/>
  <c r="T9" i="7" s="1"/>
  <c r="U9" i="6"/>
  <c r="U9" i="7" s="1"/>
  <c r="V9" i="6"/>
  <c r="V9" i="7" s="1"/>
  <c r="W9" i="6"/>
  <c r="W9" i="7" s="1"/>
  <c r="X9" i="6"/>
  <c r="X9" i="7" s="1"/>
  <c r="Y9" i="6"/>
  <c r="Y9" i="7" s="1"/>
  <c r="Z9" i="6"/>
  <c r="Z9" i="7" s="1"/>
  <c r="AA9" i="6"/>
  <c r="AA9" i="7" s="1"/>
  <c r="AB9" i="6"/>
  <c r="AB9" i="7" s="1"/>
  <c r="AC9" i="6"/>
  <c r="AC9" i="7" s="1"/>
  <c r="AD9" i="6"/>
  <c r="AD9" i="7" s="1"/>
  <c r="AE9" i="6"/>
  <c r="AE9" i="7" s="1"/>
  <c r="AF9" i="6"/>
  <c r="AF9" i="7" s="1"/>
  <c r="AG9" i="6"/>
  <c r="AG9" i="7" s="1"/>
  <c r="AH9" i="6"/>
  <c r="AI9" i="6"/>
  <c r="AJ9" i="6"/>
  <c r="AJ9" i="7" s="1"/>
  <c r="AK9" i="6"/>
  <c r="AK9" i="7" s="1"/>
  <c r="AL9" i="6"/>
  <c r="AL9" i="7" s="1"/>
  <c r="AM9" i="6"/>
  <c r="AM9" i="7" s="1"/>
  <c r="AN9" i="6"/>
  <c r="AN9" i="7" s="1"/>
  <c r="AO9" i="6"/>
  <c r="AO9" i="7" s="1"/>
  <c r="AP9" i="6"/>
  <c r="AQ9" i="6"/>
  <c r="AR9" i="6"/>
  <c r="AR9" i="7" s="1"/>
  <c r="AS9" i="6"/>
  <c r="AT9" i="6"/>
  <c r="AU9" i="6"/>
  <c r="AV9" i="6"/>
  <c r="AW9" i="6"/>
  <c r="AX9" i="6"/>
  <c r="AY9" i="6"/>
  <c r="AZ9" i="6"/>
  <c r="BA9" i="6"/>
  <c r="BB9" i="6"/>
  <c r="BC9" i="6"/>
  <c r="BD9" i="6"/>
  <c r="BE9" i="6"/>
  <c r="BF9" i="6"/>
  <c r="BG9" i="6"/>
  <c r="BH9" i="6"/>
  <c r="BH9" i="7" s="1"/>
  <c r="BI9" i="6"/>
  <c r="BI9" i="7" s="1"/>
  <c r="BJ9" i="6"/>
  <c r="BJ9" i="7" s="1"/>
  <c r="C10" i="6"/>
  <c r="D10" i="6"/>
  <c r="D10" i="7" s="1"/>
  <c r="E10" i="6"/>
  <c r="E10" i="7" s="1"/>
  <c r="F10" i="6"/>
  <c r="F10" i="7" s="1"/>
  <c r="G10" i="6"/>
  <c r="H10" i="6"/>
  <c r="H10" i="7" s="1"/>
  <c r="I10" i="6"/>
  <c r="I10" i="7" s="1"/>
  <c r="J10" i="6"/>
  <c r="J10" i="7" s="1"/>
  <c r="K10" i="6"/>
  <c r="L10" i="6"/>
  <c r="L10" i="7" s="1"/>
  <c r="M10" i="6"/>
  <c r="M10" i="7" s="1"/>
  <c r="N10" i="6"/>
  <c r="N10" i="7" s="1"/>
  <c r="O10" i="6"/>
  <c r="P10" i="6"/>
  <c r="P10" i="7" s="1"/>
  <c r="Q10" i="6"/>
  <c r="Q10" i="7" s="1"/>
  <c r="R10" i="6"/>
  <c r="S10" i="6"/>
  <c r="S10" i="7" s="1"/>
  <c r="T10" i="6"/>
  <c r="T10" i="7" s="1"/>
  <c r="U10" i="6"/>
  <c r="U10" i="7" s="1"/>
  <c r="V10" i="6"/>
  <c r="V10" i="7" s="1"/>
  <c r="W10" i="6"/>
  <c r="W10" i="7" s="1"/>
  <c r="X10" i="6"/>
  <c r="X10" i="7" s="1"/>
  <c r="Y10" i="6"/>
  <c r="Y10" i="7" s="1"/>
  <c r="Z10" i="6"/>
  <c r="Z10" i="7" s="1"/>
  <c r="AA10" i="6"/>
  <c r="AA10" i="7" s="1"/>
  <c r="AB10" i="6"/>
  <c r="AB10" i="7" s="1"/>
  <c r="AC10" i="6"/>
  <c r="AC10" i="7" s="1"/>
  <c r="AD10" i="6"/>
  <c r="AD10" i="7" s="1"/>
  <c r="AE10" i="6"/>
  <c r="AE10" i="7" s="1"/>
  <c r="AF10" i="6"/>
  <c r="AF10" i="7" s="1"/>
  <c r="AG10" i="6"/>
  <c r="AG10" i="7" s="1"/>
  <c r="AH10" i="6"/>
  <c r="AI10" i="6"/>
  <c r="AJ10" i="6"/>
  <c r="AJ10" i="7" s="1"/>
  <c r="AK10" i="6"/>
  <c r="AK10" i="7" s="1"/>
  <c r="AL10" i="6"/>
  <c r="AL10" i="7" s="1"/>
  <c r="AM10" i="6"/>
  <c r="AM10" i="7" s="1"/>
  <c r="AN10" i="6"/>
  <c r="AN10" i="7" s="1"/>
  <c r="AO10" i="6"/>
  <c r="AO10" i="7" s="1"/>
  <c r="AP10" i="6"/>
  <c r="AQ10" i="6"/>
  <c r="AR10" i="6"/>
  <c r="AR10" i="7" s="1"/>
  <c r="AS10" i="6"/>
  <c r="AT10" i="6"/>
  <c r="AU10" i="6"/>
  <c r="AV10" i="6"/>
  <c r="AW10" i="6"/>
  <c r="AX10" i="6"/>
  <c r="AY10" i="6"/>
  <c r="AZ10" i="6"/>
  <c r="BA10" i="6"/>
  <c r="BB10" i="6"/>
  <c r="BC10" i="6"/>
  <c r="BD10" i="6"/>
  <c r="BE10" i="6"/>
  <c r="BF10" i="6"/>
  <c r="BG10" i="6"/>
  <c r="BG10" i="7" s="1"/>
  <c r="BH10" i="6"/>
  <c r="BH10" i="7" s="1"/>
  <c r="BI10" i="6"/>
  <c r="BI10" i="7" s="1"/>
  <c r="BJ10" i="6"/>
  <c r="BJ10" i="7" s="1"/>
  <c r="C11" i="6"/>
  <c r="D11" i="6"/>
  <c r="D11" i="7" s="1"/>
  <c r="E11" i="6"/>
  <c r="E11" i="7" s="1"/>
  <c r="F11" i="6"/>
  <c r="F11" i="7" s="1"/>
  <c r="G11" i="6"/>
  <c r="G11" i="7" s="1"/>
  <c r="H11" i="6"/>
  <c r="H11" i="7" s="1"/>
  <c r="I11" i="6"/>
  <c r="I11" i="7" s="1"/>
  <c r="J11" i="6"/>
  <c r="J11" i="7" s="1"/>
  <c r="K11" i="6"/>
  <c r="K11" i="7" s="1"/>
  <c r="L11" i="6"/>
  <c r="L11" i="7" s="1"/>
  <c r="M11" i="6"/>
  <c r="M11" i="7" s="1"/>
  <c r="N11" i="6"/>
  <c r="N11" i="7" s="1"/>
  <c r="O11" i="6"/>
  <c r="O11" i="7" s="1"/>
  <c r="P11" i="6"/>
  <c r="P11" i="7" s="1"/>
  <c r="Q11" i="6"/>
  <c r="Q11" i="7" s="1"/>
  <c r="R11" i="6"/>
  <c r="S11" i="6"/>
  <c r="S11" i="7" s="1"/>
  <c r="T11" i="6"/>
  <c r="T11" i="7" s="1"/>
  <c r="U11" i="6"/>
  <c r="U11" i="7" s="1"/>
  <c r="V11" i="6"/>
  <c r="V11" i="7" s="1"/>
  <c r="W11" i="6"/>
  <c r="W11" i="7" s="1"/>
  <c r="X11" i="6"/>
  <c r="X11" i="7" s="1"/>
  <c r="Y11" i="6"/>
  <c r="Y11" i="7" s="1"/>
  <c r="Z11" i="6"/>
  <c r="Z11" i="7" s="1"/>
  <c r="AA11" i="6"/>
  <c r="AA11" i="7" s="1"/>
  <c r="AB11" i="6"/>
  <c r="AB11" i="7" s="1"/>
  <c r="AC11" i="6"/>
  <c r="AC11" i="7" s="1"/>
  <c r="AD11" i="6"/>
  <c r="AD11" i="7" s="1"/>
  <c r="AE11" i="6"/>
  <c r="AE11" i="7" s="1"/>
  <c r="AF11" i="6"/>
  <c r="AF11" i="7" s="1"/>
  <c r="AG11" i="6"/>
  <c r="AG11" i="7" s="1"/>
  <c r="AH11" i="6"/>
  <c r="AI11" i="6"/>
  <c r="AJ11" i="6"/>
  <c r="AJ11" i="7" s="1"/>
  <c r="AK11" i="6"/>
  <c r="AK11" i="7" s="1"/>
  <c r="AL11" i="6"/>
  <c r="AL11" i="7" s="1"/>
  <c r="AM11" i="6"/>
  <c r="AM11" i="7" s="1"/>
  <c r="AN11" i="6"/>
  <c r="AN11" i="7" s="1"/>
  <c r="AO11" i="6"/>
  <c r="AO11" i="7" s="1"/>
  <c r="AP11" i="6"/>
  <c r="AQ11" i="6"/>
  <c r="AR11" i="6"/>
  <c r="AR11" i="7" s="1"/>
  <c r="AS11" i="6"/>
  <c r="AT11" i="6"/>
  <c r="AU11" i="6"/>
  <c r="AV11" i="6"/>
  <c r="AW11" i="6"/>
  <c r="AX11" i="6"/>
  <c r="AY11" i="6"/>
  <c r="AZ11" i="6"/>
  <c r="BA11" i="6"/>
  <c r="BB11" i="6"/>
  <c r="BC11" i="6"/>
  <c r="BD11" i="6"/>
  <c r="BE11" i="6"/>
  <c r="BF11" i="6"/>
  <c r="BG11" i="6"/>
  <c r="BG11" i="7" s="1"/>
  <c r="BH11" i="6"/>
  <c r="BH11" i="7" s="1"/>
  <c r="BI11" i="6"/>
  <c r="BI11" i="7" s="1"/>
  <c r="BJ11" i="6"/>
  <c r="BJ11" i="7" s="1"/>
  <c r="C12" i="6"/>
  <c r="D12" i="6"/>
  <c r="D12" i="7" s="1"/>
  <c r="E12" i="6"/>
  <c r="E12" i="7" s="1"/>
  <c r="F12" i="6"/>
  <c r="F12" i="7" s="1"/>
  <c r="G12" i="6"/>
  <c r="G12" i="7" s="1"/>
  <c r="H12" i="6"/>
  <c r="H12" i="7" s="1"/>
  <c r="I12" i="6"/>
  <c r="I12" i="7" s="1"/>
  <c r="J12" i="6"/>
  <c r="J12" i="7" s="1"/>
  <c r="K12" i="6"/>
  <c r="K12" i="7" s="1"/>
  <c r="L12" i="6"/>
  <c r="L12" i="7" s="1"/>
  <c r="M12" i="6"/>
  <c r="M12" i="7" s="1"/>
  <c r="N12" i="6"/>
  <c r="N12" i="7" s="1"/>
  <c r="O12" i="6"/>
  <c r="O12" i="7" s="1"/>
  <c r="P12" i="6"/>
  <c r="P12" i="7" s="1"/>
  <c r="Q12" i="6"/>
  <c r="Q12" i="7" s="1"/>
  <c r="R12" i="6"/>
  <c r="S12" i="6"/>
  <c r="S12" i="7" s="1"/>
  <c r="T12" i="6"/>
  <c r="T12" i="7" s="1"/>
  <c r="U12" i="6"/>
  <c r="U12" i="7" s="1"/>
  <c r="V12" i="6"/>
  <c r="V12" i="7" s="1"/>
  <c r="W12" i="6"/>
  <c r="W12" i="7" s="1"/>
  <c r="X12" i="6"/>
  <c r="X12" i="7" s="1"/>
  <c r="Y12" i="6"/>
  <c r="Y12" i="7" s="1"/>
  <c r="Z12" i="6"/>
  <c r="Z12" i="7" s="1"/>
  <c r="AA12" i="6"/>
  <c r="AA12" i="7" s="1"/>
  <c r="AB12" i="6"/>
  <c r="AB12" i="7" s="1"/>
  <c r="AC12" i="6"/>
  <c r="AC12" i="7" s="1"/>
  <c r="AD12" i="6"/>
  <c r="AD12" i="7" s="1"/>
  <c r="AE12" i="6"/>
  <c r="AE12" i="7" s="1"/>
  <c r="AF12" i="6"/>
  <c r="AF12" i="7" s="1"/>
  <c r="AG12" i="6"/>
  <c r="AG12" i="7" s="1"/>
  <c r="AH12" i="6"/>
  <c r="AI12" i="6"/>
  <c r="AJ12" i="6"/>
  <c r="AJ12" i="7" s="1"/>
  <c r="AK12" i="6"/>
  <c r="AK12" i="7" s="1"/>
  <c r="AL12" i="6"/>
  <c r="AL12" i="7" s="1"/>
  <c r="AM12" i="6"/>
  <c r="AM12" i="7" s="1"/>
  <c r="AN12" i="6"/>
  <c r="AN12" i="7" s="1"/>
  <c r="AO12" i="6"/>
  <c r="AO12" i="7" s="1"/>
  <c r="AP12" i="6"/>
  <c r="AQ12" i="6"/>
  <c r="AR12" i="6"/>
  <c r="AR12" i="7" s="1"/>
  <c r="AS12" i="6"/>
  <c r="AT12" i="6"/>
  <c r="AU12" i="6"/>
  <c r="AV12" i="6"/>
  <c r="AW12" i="6"/>
  <c r="AX12" i="6"/>
  <c r="AY12" i="6"/>
  <c r="AZ12" i="6"/>
  <c r="BA12" i="6"/>
  <c r="BB12" i="6"/>
  <c r="BC12" i="6"/>
  <c r="BD12" i="6"/>
  <c r="BE12" i="6"/>
  <c r="BF12" i="6"/>
  <c r="BG12" i="6"/>
  <c r="BG12" i="7" s="1"/>
  <c r="BH12" i="6"/>
  <c r="BH12" i="7" s="1"/>
  <c r="BI12" i="6"/>
  <c r="BI12" i="7" s="1"/>
  <c r="BJ12" i="6"/>
  <c r="BJ12" i="7" s="1"/>
  <c r="C13" i="6"/>
  <c r="D13" i="6"/>
  <c r="D13" i="7" s="1"/>
  <c r="E13" i="6"/>
  <c r="E13" i="7" s="1"/>
  <c r="F13" i="6"/>
  <c r="F13" i="7" s="1"/>
  <c r="G13" i="6"/>
  <c r="G13" i="7" s="1"/>
  <c r="H13" i="6"/>
  <c r="H13" i="7" s="1"/>
  <c r="I13" i="6"/>
  <c r="I13" i="7" s="1"/>
  <c r="J13" i="6"/>
  <c r="J13" i="7" s="1"/>
  <c r="K13" i="6"/>
  <c r="K13" i="7" s="1"/>
  <c r="L13" i="6"/>
  <c r="L13" i="7" s="1"/>
  <c r="M13" i="6"/>
  <c r="M13" i="7" s="1"/>
  <c r="N13" i="6"/>
  <c r="N13" i="7" s="1"/>
  <c r="O13" i="6"/>
  <c r="O13" i="7" s="1"/>
  <c r="P13" i="6"/>
  <c r="P13" i="7" s="1"/>
  <c r="Q13" i="6"/>
  <c r="Q13" i="7" s="1"/>
  <c r="R13" i="6"/>
  <c r="S13" i="6"/>
  <c r="S13" i="7" s="1"/>
  <c r="T13" i="6"/>
  <c r="T13" i="7" s="1"/>
  <c r="U13" i="6"/>
  <c r="U13" i="7" s="1"/>
  <c r="V13" i="6"/>
  <c r="V13" i="7" s="1"/>
  <c r="W13" i="6"/>
  <c r="W13" i="7" s="1"/>
  <c r="X13" i="6"/>
  <c r="X13" i="7" s="1"/>
  <c r="Y13" i="6"/>
  <c r="Y13" i="7" s="1"/>
  <c r="Z13" i="6"/>
  <c r="Z13" i="7" s="1"/>
  <c r="AA13" i="6"/>
  <c r="AA13" i="7" s="1"/>
  <c r="AB13" i="6"/>
  <c r="AB13" i="7" s="1"/>
  <c r="AC13" i="6"/>
  <c r="AC13" i="7" s="1"/>
  <c r="AD13" i="6"/>
  <c r="AD13" i="7" s="1"/>
  <c r="AE13" i="6"/>
  <c r="AE13" i="7" s="1"/>
  <c r="AF13" i="6"/>
  <c r="AF13" i="7" s="1"/>
  <c r="AG13" i="6"/>
  <c r="AG13" i="7" s="1"/>
  <c r="AH13" i="6"/>
  <c r="AI13" i="6"/>
  <c r="AJ13" i="6"/>
  <c r="AK13" i="6"/>
  <c r="AK13" i="7" s="1"/>
  <c r="AL13" i="6"/>
  <c r="AL13" i="7" s="1"/>
  <c r="AM13" i="6"/>
  <c r="AM13" i="7" s="1"/>
  <c r="AN13" i="6"/>
  <c r="AO13" i="6"/>
  <c r="AO13" i="7" s="1"/>
  <c r="AP13" i="6"/>
  <c r="AQ13" i="6"/>
  <c r="AR13" i="6"/>
  <c r="AR13" i="7" s="1"/>
  <c r="AS13" i="6"/>
  <c r="AT13" i="6"/>
  <c r="AU13" i="6"/>
  <c r="AV13" i="6"/>
  <c r="AW13" i="6"/>
  <c r="AX13" i="6"/>
  <c r="AY13" i="6"/>
  <c r="AZ13" i="6"/>
  <c r="BA13" i="6"/>
  <c r="BB13" i="6"/>
  <c r="BC13" i="6"/>
  <c r="BD13" i="6"/>
  <c r="BE13" i="6"/>
  <c r="BF13" i="6"/>
  <c r="BG13" i="6"/>
  <c r="BH13" i="6"/>
  <c r="BH13" i="7" s="1"/>
  <c r="BI13" i="6"/>
  <c r="BI13" i="7" s="1"/>
  <c r="BJ13" i="6"/>
  <c r="BJ13" i="7" s="1"/>
  <c r="C14" i="6"/>
  <c r="D14" i="6"/>
  <c r="D14" i="7" s="1"/>
  <c r="E14" i="6"/>
  <c r="E14" i="7" s="1"/>
  <c r="F14" i="6"/>
  <c r="F14" i="7" s="1"/>
  <c r="G14" i="6"/>
  <c r="H14" i="6"/>
  <c r="H14" i="7" s="1"/>
  <c r="I14" i="6"/>
  <c r="I14" i="7" s="1"/>
  <c r="J14" i="6"/>
  <c r="J14" i="7" s="1"/>
  <c r="K14" i="6"/>
  <c r="L14" i="6"/>
  <c r="L14" i="7" s="1"/>
  <c r="M14" i="6"/>
  <c r="M14" i="7" s="1"/>
  <c r="N14" i="6"/>
  <c r="N14" i="7" s="1"/>
  <c r="O14" i="6"/>
  <c r="P14" i="6"/>
  <c r="P14" i="7" s="1"/>
  <c r="Q14" i="6"/>
  <c r="Q14" i="7" s="1"/>
  <c r="R14" i="6"/>
  <c r="S14" i="6"/>
  <c r="S14" i="7" s="1"/>
  <c r="T14" i="6"/>
  <c r="T14" i="7" s="1"/>
  <c r="U14" i="6"/>
  <c r="U14" i="7" s="1"/>
  <c r="V14" i="6"/>
  <c r="V14" i="7" s="1"/>
  <c r="W14" i="6"/>
  <c r="W14" i="7" s="1"/>
  <c r="X14" i="6"/>
  <c r="X14" i="7" s="1"/>
  <c r="Y14" i="6"/>
  <c r="Y14" i="7" s="1"/>
  <c r="Z14" i="6"/>
  <c r="Z14" i="7" s="1"/>
  <c r="AA14" i="6"/>
  <c r="AA14" i="7" s="1"/>
  <c r="AB14" i="6"/>
  <c r="AB14" i="7" s="1"/>
  <c r="AC14" i="6"/>
  <c r="AC14" i="7" s="1"/>
  <c r="AD14" i="6"/>
  <c r="AD14" i="7" s="1"/>
  <c r="AE14" i="6"/>
  <c r="AE14" i="7" s="1"/>
  <c r="AF14" i="6"/>
  <c r="AF14" i="7" s="1"/>
  <c r="AG14" i="6"/>
  <c r="AG14" i="7" s="1"/>
  <c r="AH14" i="6"/>
  <c r="AI14" i="6"/>
  <c r="AJ14" i="6"/>
  <c r="AJ14" i="7" s="1"/>
  <c r="AK14" i="6"/>
  <c r="AK14" i="7" s="1"/>
  <c r="AL14" i="6"/>
  <c r="AL14" i="7" s="1"/>
  <c r="AM14" i="6"/>
  <c r="AM14" i="7" s="1"/>
  <c r="AN14" i="6"/>
  <c r="AN14" i="7" s="1"/>
  <c r="AO14" i="6"/>
  <c r="AO14" i="7" s="1"/>
  <c r="AP14" i="6"/>
  <c r="AQ14" i="6"/>
  <c r="AR14" i="6"/>
  <c r="AR14" i="7" s="1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BF14" i="6"/>
  <c r="BG14" i="6"/>
  <c r="BG14" i="7" s="1"/>
  <c r="BH14" i="6"/>
  <c r="BH14" i="7" s="1"/>
  <c r="BI14" i="6"/>
  <c r="BI14" i="7" s="1"/>
  <c r="BJ14" i="6"/>
  <c r="BJ14" i="7" s="1"/>
  <c r="C15" i="6"/>
  <c r="D15" i="6"/>
  <c r="D15" i="7" s="1"/>
  <c r="E15" i="6"/>
  <c r="E15" i="7" s="1"/>
  <c r="F15" i="6"/>
  <c r="F15" i="7" s="1"/>
  <c r="G15" i="6"/>
  <c r="G15" i="7" s="1"/>
  <c r="H15" i="6"/>
  <c r="H15" i="7" s="1"/>
  <c r="I15" i="6"/>
  <c r="I15" i="7" s="1"/>
  <c r="J15" i="6"/>
  <c r="J15" i="7" s="1"/>
  <c r="K15" i="6"/>
  <c r="K15" i="7" s="1"/>
  <c r="L15" i="6"/>
  <c r="L15" i="7" s="1"/>
  <c r="M15" i="6"/>
  <c r="M15" i="7" s="1"/>
  <c r="N15" i="6"/>
  <c r="N15" i="7" s="1"/>
  <c r="O15" i="6"/>
  <c r="O15" i="7" s="1"/>
  <c r="P15" i="6"/>
  <c r="P15" i="7" s="1"/>
  <c r="Q15" i="6"/>
  <c r="Q15" i="7" s="1"/>
  <c r="R15" i="6"/>
  <c r="S15" i="6"/>
  <c r="T15" i="6"/>
  <c r="T15" i="7" s="1"/>
  <c r="U15" i="6"/>
  <c r="U15" i="7" s="1"/>
  <c r="V15" i="6"/>
  <c r="V15" i="7" s="1"/>
  <c r="W15" i="6"/>
  <c r="X15" i="6"/>
  <c r="X15" i="7" s="1"/>
  <c r="Y15" i="6"/>
  <c r="Y15" i="7" s="1"/>
  <c r="Z15" i="6"/>
  <c r="Z15" i="7" s="1"/>
  <c r="AA15" i="6"/>
  <c r="AB15" i="6"/>
  <c r="AB15" i="7" s="1"/>
  <c r="AC15" i="6"/>
  <c r="AC15" i="7" s="1"/>
  <c r="AD15" i="6"/>
  <c r="AD15" i="7" s="1"/>
  <c r="AE15" i="6"/>
  <c r="AF15" i="6"/>
  <c r="AF15" i="7" s="1"/>
  <c r="AG15" i="6"/>
  <c r="AG15" i="7" s="1"/>
  <c r="AH15" i="6"/>
  <c r="AI15" i="6"/>
  <c r="AJ15" i="6"/>
  <c r="AJ15" i="7" s="1"/>
  <c r="AK15" i="6"/>
  <c r="AK15" i="7" s="1"/>
  <c r="AL15" i="6"/>
  <c r="AL15" i="7" s="1"/>
  <c r="AM15" i="6"/>
  <c r="AN15" i="6"/>
  <c r="AN15" i="7" s="1"/>
  <c r="AO15" i="6"/>
  <c r="AO15" i="7" s="1"/>
  <c r="AP15" i="6"/>
  <c r="AQ15" i="6"/>
  <c r="AR15" i="6"/>
  <c r="AR15" i="7" s="1"/>
  <c r="AS15" i="6"/>
  <c r="AT15" i="6"/>
  <c r="AU15" i="6"/>
  <c r="AV15" i="6"/>
  <c r="AW15" i="6"/>
  <c r="AX15" i="6"/>
  <c r="AY15" i="6"/>
  <c r="AZ15" i="6"/>
  <c r="BA15" i="6"/>
  <c r="BB15" i="6"/>
  <c r="BC15" i="6"/>
  <c r="BD15" i="6"/>
  <c r="BE15" i="6"/>
  <c r="BF15" i="6"/>
  <c r="BG15" i="6"/>
  <c r="BG15" i="7" s="1"/>
  <c r="BH15" i="6"/>
  <c r="BH15" i="7" s="1"/>
  <c r="BI15" i="6"/>
  <c r="BI15" i="7" s="1"/>
  <c r="BJ15" i="6"/>
  <c r="BJ15" i="7" s="1"/>
  <c r="C16" i="6"/>
  <c r="D16" i="6"/>
  <c r="D16" i="7" s="1"/>
  <c r="E16" i="6"/>
  <c r="E16" i="7" s="1"/>
  <c r="F16" i="6"/>
  <c r="F16" i="7" s="1"/>
  <c r="G16" i="6"/>
  <c r="G16" i="7" s="1"/>
  <c r="H16" i="6"/>
  <c r="H16" i="7" s="1"/>
  <c r="I16" i="6"/>
  <c r="I16" i="7" s="1"/>
  <c r="J16" i="6"/>
  <c r="J16" i="7" s="1"/>
  <c r="K16" i="6"/>
  <c r="K16" i="7" s="1"/>
  <c r="L16" i="6"/>
  <c r="L16" i="7" s="1"/>
  <c r="M16" i="6"/>
  <c r="M16" i="7" s="1"/>
  <c r="N16" i="6"/>
  <c r="N16" i="7" s="1"/>
  <c r="O16" i="6"/>
  <c r="O16" i="7" s="1"/>
  <c r="P16" i="6"/>
  <c r="P16" i="7" s="1"/>
  <c r="Q16" i="6"/>
  <c r="Q16" i="7" s="1"/>
  <c r="R16" i="6"/>
  <c r="S16" i="6"/>
  <c r="S16" i="7" s="1"/>
  <c r="T16" i="6"/>
  <c r="T16" i="7" s="1"/>
  <c r="U16" i="6"/>
  <c r="U16" i="7" s="1"/>
  <c r="V16" i="6"/>
  <c r="V16" i="7" s="1"/>
  <c r="W16" i="6"/>
  <c r="W16" i="7" s="1"/>
  <c r="X16" i="6"/>
  <c r="X16" i="7" s="1"/>
  <c r="Y16" i="6"/>
  <c r="Y16" i="7" s="1"/>
  <c r="Z16" i="6"/>
  <c r="Z16" i="7" s="1"/>
  <c r="AA16" i="6"/>
  <c r="AA16" i="7" s="1"/>
  <c r="AB16" i="6"/>
  <c r="AB16" i="7" s="1"/>
  <c r="AC16" i="6"/>
  <c r="AC16" i="7" s="1"/>
  <c r="AD16" i="6"/>
  <c r="AD16" i="7" s="1"/>
  <c r="AE16" i="6"/>
  <c r="AE16" i="7" s="1"/>
  <c r="AF16" i="6"/>
  <c r="AF16" i="7" s="1"/>
  <c r="AG16" i="6"/>
  <c r="AG16" i="7" s="1"/>
  <c r="AH16" i="6"/>
  <c r="AI16" i="6"/>
  <c r="AJ16" i="6"/>
  <c r="AJ16" i="7" s="1"/>
  <c r="AK16" i="6"/>
  <c r="AK16" i="7" s="1"/>
  <c r="AL16" i="6"/>
  <c r="AL16" i="7" s="1"/>
  <c r="AM16" i="6"/>
  <c r="AN16" i="6"/>
  <c r="AN16" i="7" s="1"/>
  <c r="AO16" i="6"/>
  <c r="AO16" i="7" s="1"/>
  <c r="AP16" i="6"/>
  <c r="AQ16" i="6"/>
  <c r="AR16" i="6"/>
  <c r="AR16" i="7" s="1"/>
  <c r="AS16" i="6"/>
  <c r="AT16" i="6"/>
  <c r="AU16" i="6"/>
  <c r="AV16" i="6"/>
  <c r="AW16" i="6"/>
  <c r="AX16" i="6"/>
  <c r="AY16" i="6"/>
  <c r="AZ16" i="6"/>
  <c r="BA16" i="6"/>
  <c r="BB16" i="6"/>
  <c r="BC16" i="6"/>
  <c r="BD16" i="6"/>
  <c r="BE16" i="6"/>
  <c r="BF16" i="6"/>
  <c r="BG16" i="6"/>
  <c r="BH16" i="6"/>
  <c r="BH16" i="7" s="1"/>
  <c r="BI16" i="6"/>
  <c r="BI16" i="7" s="1"/>
  <c r="BJ16" i="6"/>
  <c r="BJ16" i="7" s="1"/>
  <c r="C17" i="6"/>
  <c r="D17" i="6"/>
  <c r="D17" i="7" s="1"/>
  <c r="E17" i="6"/>
  <c r="E17" i="7" s="1"/>
  <c r="F17" i="6"/>
  <c r="F17" i="7" s="1"/>
  <c r="G17" i="6"/>
  <c r="H17" i="6"/>
  <c r="H17" i="7" s="1"/>
  <c r="I17" i="6"/>
  <c r="I17" i="7" s="1"/>
  <c r="J17" i="6"/>
  <c r="J17" i="7" s="1"/>
  <c r="K17" i="6"/>
  <c r="L17" i="6"/>
  <c r="L17" i="7" s="1"/>
  <c r="M17" i="6"/>
  <c r="M17" i="7" s="1"/>
  <c r="N17" i="6"/>
  <c r="N17" i="7" s="1"/>
  <c r="O17" i="6"/>
  <c r="P17" i="6"/>
  <c r="P17" i="7" s="1"/>
  <c r="Q17" i="6"/>
  <c r="Q17" i="7" s="1"/>
  <c r="R17" i="6"/>
  <c r="S17" i="6"/>
  <c r="T17" i="6"/>
  <c r="T17" i="7" s="1"/>
  <c r="U17" i="6"/>
  <c r="U17" i="7" s="1"/>
  <c r="V17" i="6"/>
  <c r="V17" i="7" s="1"/>
  <c r="W17" i="6"/>
  <c r="X17" i="6"/>
  <c r="X17" i="7" s="1"/>
  <c r="Y17" i="6"/>
  <c r="Y17" i="7" s="1"/>
  <c r="Z17" i="6"/>
  <c r="Z17" i="7" s="1"/>
  <c r="AA17" i="6"/>
  <c r="AB17" i="6"/>
  <c r="AB17" i="7" s="1"/>
  <c r="AC17" i="6"/>
  <c r="AC17" i="7" s="1"/>
  <c r="AD17" i="6"/>
  <c r="AD17" i="7" s="1"/>
  <c r="AE17" i="6"/>
  <c r="AF17" i="6"/>
  <c r="AF17" i="7" s="1"/>
  <c r="AG17" i="6"/>
  <c r="AG17" i="7" s="1"/>
  <c r="AH17" i="6"/>
  <c r="AI17" i="6"/>
  <c r="AJ17" i="6"/>
  <c r="AJ17" i="7" s="1"/>
  <c r="AK17" i="6"/>
  <c r="AK17" i="7" s="1"/>
  <c r="AL17" i="6"/>
  <c r="AL17" i="7" s="1"/>
  <c r="AM17" i="6"/>
  <c r="AM17" i="7" s="1"/>
  <c r="AN17" i="6"/>
  <c r="AN17" i="7" s="1"/>
  <c r="AO17" i="6"/>
  <c r="AO17" i="7" s="1"/>
  <c r="AP17" i="6"/>
  <c r="AQ17" i="6"/>
  <c r="AR17" i="6"/>
  <c r="AR17" i="7" s="1"/>
  <c r="AS17" i="6"/>
  <c r="AT17" i="6"/>
  <c r="AU17" i="6"/>
  <c r="AV17" i="6"/>
  <c r="AW17" i="6"/>
  <c r="AX17" i="6"/>
  <c r="AY17" i="6"/>
  <c r="AZ17" i="6"/>
  <c r="BA17" i="6"/>
  <c r="BB17" i="6"/>
  <c r="BC17" i="6"/>
  <c r="BD17" i="6"/>
  <c r="BE17" i="6"/>
  <c r="BF17" i="6"/>
  <c r="BG17" i="6"/>
  <c r="BG17" i="7" s="1"/>
  <c r="BH17" i="6"/>
  <c r="BH17" i="7" s="1"/>
  <c r="BI17" i="6"/>
  <c r="BI17" i="7" s="1"/>
  <c r="BJ17" i="6"/>
  <c r="BJ17" i="7" s="1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L18" i="6"/>
  <c r="AM18" i="6"/>
  <c r="AN18" i="6"/>
  <c r="AO18" i="6"/>
  <c r="AP18" i="6"/>
  <c r="AQ18" i="6"/>
  <c r="AR18" i="6"/>
  <c r="AS18" i="6"/>
  <c r="AT18" i="6"/>
  <c r="AU18" i="6"/>
  <c r="AV18" i="6"/>
  <c r="AW18" i="6"/>
  <c r="AX18" i="6"/>
  <c r="AY18" i="6"/>
  <c r="AZ18" i="6"/>
  <c r="BA18" i="6"/>
  <c r="BB18" i="6"/>
  <c r="BC18" i="6"/>
  <c r="BD18" i="6"/>
  <c r="BE18" i="6"/>
  <c r="BF18" i="6"/>
  <c r="BG18" i="6"/>
  <c r="BH18" i="6"/>
  <c r="BI18" i="6"/>
  <c r="BJ18" i="6"/>
  <c r="C19" i="6"/>
  <c r="D19" i="6"/>
  <c r="D19" i="7" s="1"/>
  <c r="E19" i="6"/>
  <c r="E19" i="7" s="1"/>
  <c r="F19" i="6"/>
  <c r="F19" i="7" s="1"/>
  <c r="G19" i="6"/>
  <c r="G19" i="7" s="1"/>
  <c r="H19" i="6"/>
  <c r="H19" i="7" s="1"/>
  <c r="I19" i="6"/>
  <c r="I19" i="7" s="1"/>
  <c r="J19" i="6"/>
  <c r="J19" i="7" s="1"/>
  <c r="K19" i="6"/>
  <c r="K19" i="7" s="1"/>
  <c r="L19" i="6"/>
  <c r="L19" i="7" s="1"/>
  <c r="M19" i="6"/>
  <c r="M19" i="7" s="1"/>
  <c r="N19" i="6"/>
  <c r="N19" i="7" s="1"/>
  <c r="O19" i="6"/>
  <c r="O19" i="7" s="1"/>
  <c r="P19" i="6"/>
  <c r="P19" i="7" s="1"/>
  <c r="Q19" i="6"/>
  <c r="Q19" i="7" s="1"/>
  <c r="R19" i="6"/>
  <c r="S19" i="6"/>
  <c r="T19" i="6"/>
  <c r="T19" i="7" s="1"/>
  <c r="U19" i="6"/>
  <c r="U19" i="7" s="1"/>
  <c r="V19" i="6"/>
  <c r="V19" i="7" s="1"/>
  <c r="W19" i="6"/>
  <c r="X19" i="6"/>
  <c r="X19" i="7" s="1"/>
  <c r="Y19" i="6"/>
  <c r="Y19" i="7" s="1"/>
  <c r="Z19" i="6"/>
  <c r="Z19" i="7" s="1"/>
  <c r="AA19" i="6"/>
  <c r="AB19" i="6"/>
  <c r="AB19" i="7" s="1"/>
  <c r="AC19" i="6"/>
  <c r="AC19" i="7" s="1"/>
  <c r="AD19" i="6"/>
  <c r="AD19" i="7" s="1"/>
  <c r="AE19" i="6"/>
  <c r="AF19" i="6"/>
  <c r="AF19" i="7" s="1"/>
  <c r="AG19" i="6"/>
  <c r="AG19" i="7" s="1"/>
  <c r="AH19" i="6"/>
  <c r="AI19" i="6"/>
  <c r="AJ19" i="6"/>
  <c r="AJ19" i="7" s="1"/>
  <c r="AK19" i="6"/>
  <c r="AK19" i="7" s="1"/>
  <c r="AL19" i="6"/>
  <c r="AL19" i="7" s="1"/>
  <c r="AM19" i="6"/>
  <c r="AN19" i="6"/>
  <c r="AN19" i="7" s="1"/>
  <c r="AO19" i="6"/>
  <c r="AO19" i="7" s="1"/>
  <c r="AP19" i="6"/>
  <c r="AQ19" i="6"/>
  <c r="AR19" i="6"/>
  <c r="AR19" i="7" s="1"/>
  <c r="AS19" i="6"/>
  <c r="AT19" i="6"/>
  <c r="AU19" i="6"/>
  <c r="AV19" i="6"/>
  <c r="AW19" i="6"/>
  <c r="AX19" i="6"/>
  <c r="AY19" i="6"/>
  <c r="AZ19" i="6"/>
  <c r="BA19" i="6"/>
  <c r="BB19" i="6"/>
  <c r="BC19" i="6"/>
  <c r="BD19" i="6"/>
  <c r="BE19" i="6"/>
  <c r="BF19" i="6"/>
  <c r="BG19" i="6"/>
  <c r="BH19" i="6"/>
  <c r="BH19" i="7" s="1"/>
  <c r="BI19" i="6"/>
  <c r="BI19" i="7" s="1"/>
  <c r="BJ19" i="6"/>
  <c r="BJ19" i="7" s="1"/>
  <c r="C20" i="6"/>
  <c r="D20" i="6"/>
  <c r="D20" i="7" s="1"/>
  <c r="E20" i="6"/>
  <c r="E20" i="7" s="1"/>
  <c r="F20" i="6"/>
  <c r="F20" i="7" s="1"/>
  <c r="G20" i="6"/>
  <c r="H20" i="6"/>
  <c r="H20" i="7" s="1"/>
  <c r="I20" i="6"/>
  <c r="I20" i="7" s="1"/>
  <c r="J20" i="6"/>
  <c r="J20" i="7" s="1"/>
  <c r="K20" i="6"/>
  <c r="L20" i="6"/>
  <c r="L20" i="7" s="1"/>
  <c r="M20" i="6"/>
  <c r="M20" i="7" s="1"/>
  <c r="N20" i="6"/>
  <c r="N20" i="7" s="1"/>
  <c r="O20" i="6"/>
  <c r="P20" i="6"/>
  <c r="P20" i="7" s="1"/>
  <c r="Q20" i="6"/>
  <c r="Q20" i="7" s="1"/>
  <c r="R20" i="6"/>
  <c r="S20" i="6"/>
  <c r="S20" i="7" s="1"/>
  <c r="T20" i="6"/>
  <c r="T20" i="7" s="1"/>
  <c r="U20" i="6"/>
  <c r="U20" i="7" s="1"/>
  <c r="V20" i="6"/>
  <c r="V20" i="7" s="1"/>
  <c r="W20" i="6"/>
  <c r="W20" i="7" s="1"/>
  <c r="X20" i="6"/>
  <c r="X20" i="7" s="1"/>
  <c r="Y20" i="6"/>
  <c r="Y20" i="7" s="1"/>
  <c r="Z20" i="6"/>
  <c r="Z20" i="7" s="1"/>
  <c r="AA20" i="6"/>
  <c r="AA20" i="7" s="1"/>
  <c r="AB20" i="6"/>
  <c r="AB20" i="7" s="1"/>
  <c r="AC20" i="6"/>
  <c r="AC20" i="7" s="1"/>
  <c r="AD20" i="6"/>
  <c r="AD20" i="7" s="1"/>
  <c r="AE20" i="6"/>
  <c r="AE20" i="7" s="1"/>
  <c r="AF20" i="6"/>
  <c r="AF20" i="7" s="1"/>
  <c r="AG20" i="6"/>
  <c r="AG20" i="7" s="1"/>
  <c r="AH20" i="6"/>
  <c r="AI20" i="6"/>
  <c r="AJ20" i="6"/>
  <c r="AJ20" i="7" s="1"/>
  <c r="AK20" i="6"/>
  <c r="AK20" i="7" s="1"/>
  <c r="AL20" i="6"/>
  <c r="AL20" i="7" s="1"/>
  <c r="AM20" i="6"/>
  <c r="AM20" i="7" s="1"/>
  <c r="AN20" i="6"/>
  <c r="AN20" i="7" s="1"/>
  <c r="AO20" i="6"/>
  <c r="AO20" i="7" s="1"/>
  <c r="AP20" i="6"/>
  <c r="AQ20" i="6"/>
  <c r="AR20" i="6"/>
  <c r="AR20" i="7" s="1"/>
  <c r="AS20" i="6"/>
  <c r="AT20" i="6"/>
  <c r="AU20" i="6"/>
  <c r="AV20" i="6"/>
  <c r="AW20" i="6"/>
  <c r="AX20" i="6"/>
  <c r="AY20" i="6"/>
  <c r="AZ20" i="6"/>
  <c r="BA20" i="6"/>
  <c r="BB20" i="6"/>
  <c r="BC20" i="6"/>
  <c r="BD20" i="6"/>
  <c r="BE20" i="6"/>
  <c r="BF20" i="6"/>
  <c r="BG20" i="6"/>
  <c r="BG20" i="7" s="1"/>
  <c r="BH20" i="6"/>
  <c r="BH20" i="7" s="1"/>
  <c r="BI20" i="6"/>
  <c r="BI20" i="7" s="1"/>
  <c r="BJ20" i="6"/>
  <c r="BJ20" i="7" s="1"/>
  <c r="C21" i="6"/>
  <c r="D21" i="6"/>
  <c r="D21" i="7" s="1"/>
  <c r="E21" i="6"/>
  <c r="E21" i="7" s="1"/>
  <c r="F21" i="6"/>
  <c r="F21" i="7" s="1"/>
  <c r="G21" i="6"/>
  <c r="G21" i="7" s="1"/>
  <c r="H21" i="6"/>
  <c r="H21" i="7" s="1"/>
  <c r="I21" i="6"/>
  <c r="I21" i="7" s="1"/>
  <c r="J21" i="6"/>
  <c r="J21" i="7" s="1"/>
  <c r="K21" i="6"/>
  <c r="K21" i="7" s="1"/>
  <c r="L21" i="6"/>
  <c r="L21" i="7" s="1"/>
  <c r="M21" i="6"/>
  <c r="M21" i="7" s="1"/>
  <c r="N21" i="6"/>
  <c r="N21" i="7" s="1"/>
  <c r="O21" i="6"/>
  <c r="O21" i="7" s="1"/>
  <c r="P21" i="6"/>
  <c r="P21" i="7" s="1"/>
  <c r="Q21" i="6"/>
  <c r="Q21" i="7" s="1"/>
  <c r="R21" i="6"/>
  <c r="S21" i="6"/>
  <c r="T21" i="6"/>
  <c r="T21" i="7" s="1"/>
  <c r="U21" i="6"/>
  <c r="U21" i="7" s="1"/>
  <c r="V21" i="6"/>
  <c r="V21" i="7" s="1"/>
  <c r="W21" i="6"/>
  <c r="X21" i="6"/>
  <c r="X21" i="7" s="1"/>
  <c r="Y21" i="6"/>
  <c r="Y21" i="7" s="1"/>
  <c r="Z21" i="6"/>
  <c r="Z21" i="7" s="1"/>
  <c r="AA21" i="6"/>
  <c r="AB21" i="6"/>
  <c r="AB21" i="7" s="1"/>
  <c r="AC21" i="6"/>
  <c r="AC21" i="7" s="1"/>
  <c r="AD21" i="6"/>
  <c r="AD21" i="7" s="1"/>
  <c r="AE21" i="6"/>
  <c r="AF21" i="6"/>
  <c r="AF21" i="7" s="1"/>
  <c r="AG21" i="6"/>
  <c r="AG21" i="7" s="1"/>
  <c r="AH21" i="6"/>
  <c r="AI21" i="6"/>
  <c r="AJ21" i="6"/>
  <c r="AJ21" i="7" s="1"/>
  <c r="AK21" i="6"/>
  <c r="AK21" i="7" s="1"/>
  <c r="AL21" i="6"/>
  <c r="AL21" i="7" s="1"/>
  <c r="AM21" i="6"/>
  <c r="AN21" i="6"/>
  <c r="AN21" i="7" s="1"/>
  <c r="AO21" i="6"/>
  <c r="AO21" i="7" s="1"/>
  <c r="AP21" i="6"/>
  <c r="AQ21" i="6"/>
  <c r="AR21" i="6"/>
  <c r="AR21" i="7" s="1"/>
  <c r="AS21" i="6"/>
  <c r="AT21" i="6"/>
  <c r="AU21" i="6"/>
  <c r="AV21" i="6"/>
  <c r="AW21" i="6"/>
  <c r="AX21" i="6"/>
  <c r="AY21" i="6"/>
  <c r="AZ21" i="6"/>
  <c r="BA21" i="6"/>
  <c r="BB21" i="6"/>
  <c r="BC21" i="6"/>
  <c r="BD21" i="6"/>
  <c r="BE21" i="6"/>
  <c r="BF21" i="6"/>
  <c r="BG21" i="6"/>
  <c r="BH21" i="6"/>
  <c r="BH21" i="7" s="1"/>
  <c r="BI21" i="6"/>
  <c r="BI21" i="7" s="1"/>
  <c r="BJ21" i="6"/>
  <c r="BJ21" i="7" s="1"/>
  <c r="C22" i="6"/>
  <c r="D22" i="6"/>
  <c r="D22" i="7" s="1"/>
  <c r="E22" i="6"/>
  <c r="E22" i="7" s="1"/>
  <c r="F22" i="6"/>
  <c r="F22" i="7" s="1"/>
  <c r="G22" i="6"/>
  <c r="H22" i="6"/>
  <c r="H22" i="7" s="1"/>
  <c r="I22" i="6"/>
  <c r="I22" i="7" s="1"/>
  <c r="J22" i="6"/>
  <c r="J22" i="7" s="1"/>
  <c r="K22" i="6"/>
  <c r="L22" i="6"/>
  <c r="L22" i="7" s="1"/>
  <c r="M22" i="6"/>
  <c r="M22" i="7" s="1"/>
  <c r="N22" i="6"/>
  <c r="N22" i="7" s="1"/>
  <c r="O22" i="6"/>
  <c r="P22" i="6"/>
  <c r="P22" i="7" s="1"/>
  <c r="Q22" i="6"/>
  <c r="Q22" i="7" s="1"/>
  <c r="R22" i="6"/>
  <c r="S22" i="6"/>
  <c r="S22" i="7" s="1"/>
  <c r="T22" i="6"/>
  <c r="T22" i="7" s="1"/>
  <c r="U22" i="6"/>
  <c r="U22" i="7" s="1"/>
  <c r="V22" i="6"/>
  <c r="V22" i="7" s="1"/>
  <c r="W22" i="6"/>
  <c r="W22" i="7" s="1"/>
  <c r="X22" i="6"/>
  <c r="X22" i="7" s="1"/>
  <c r="Y22" i="6"/>
  <c r="Y22" i="7" s="1"/>
  <c r="Z22" i="6"/>
  <c r="Z22" i="7" s="1"/>
  <c r="AA22" i="6"/>
  <c r="AA22" i="7" s="1"/>
  <c r="AB22" i="6"/>
  <c r="AB22" i="7" s="1"/>
  <c r="AC22" i="6"/>
  <c r="AC22" i="7" s="1"/>
  <c r="AD22" i="6"/>
  <c r="AD22" i="7" s="1"/>
  <c r="AE22" i="6"/>
  <c r="AE22" i="7" s="1"/>
  <c r="AF22" i="6"/>
  <c r="AF22" i="7" s="1"/>
  <c r="AG22" i="6"/>
  <c r="AG22" i="7" s="1"/>
  <c r="AH22" i="6"/>
  <c r="AI22" i="6"/>
  <c r="AJ22" i="6"/>
  <c r="AJ22" i="7" s="1"/>
  <c r="AK22" i="6"/>
  <c r="AK22" i="7" s="1"/>
  <c r="AL22" i="6"/>
  <c r="AL22" i="7" s="1"/>
  <c r="AM22" i="6"/>
  <c r="AM22" i="7" s="1"/>
  <c r="AN22" i="6"/>
  <c r="AN22" i="7" s="1"/>
  <c r="AO22" i="6"/>
  <c r="AO22" i="7" s="1"/>
  <c r="AP22" i="6"/>
  <c r="AQ22" i="6"/>
  <c r="AR22" i="6"/>
  <c r="AR22" i="7" s="1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BG22" i="6"/>
  <c r="BG22" i="7" s="1"/>
  <c r="BH22" i="6"/>
  <c r="BH22" i="7" s="1"/>
  <c r="BI22" i="6"/>
  <c r="BI22" i="7" s="1"/>
  <c r="BJ22" i="6"/>
  <c r="BJ22" i="7" s="1"/>
  <c r="C23" i="6"/>
  <c r="D23" i="6"/>
  <c r="D23" i="7" s="1"/>
  <c r="E23" i="6"/>
  <c r="E23" i="7" s="1"/>
  <c r="F23" i="6"/>
  <c r="F23" i="7" s="1"/>
  <c r="G23" i="6"/>
  <c r="G23" i="7" s="1"/>
  <c r="H23" i="6"/>
  <c r="H23" i="7" s="1"/>
  <c r="I23" i="6"/>
  <c r="I23" i="7" s="1"/>
  <c r="J23" i="6"/>
  <c r="J23" i="7" s="1"/>
  <c r="K23" i="6"/>
  <c r="K23" i="7" s="1"/>
  <c r="L23" i="6"/>
  <c r="L23" i="7" s="1"/>
  <c r="M23" i="6"/>
  <c r="M23" i="7" s="1"/>
  <c r="N23" i="6"/>
  <c r="N23" i="7" s="1"/>
  <c r="O23" i="6"/>
  <c r="O23" i="7" s="1"/>
  <c r="P23" i="6"/>
  <c r="P23" i="7" s="1"/>
  <c r="Q23" i="6"/>
  <c r="Q23" i="7" s="1"/>
  <c r="R23" i="6"/>
  <c r="S23" i="6"/>
  <c r="T23" i="6"/>
  <c r="T23" i="7" s="1"/>
  <c r="U23" i="6"/>
  <c r="U23" i="7" s="1"/>
  <c r="V23" i="6"/>
  <c r="V23" i="7" s="1"/>
  <c r="W23" i="6"/>
  <c r="X23" i="6"/>
  <c r="X23" i="7" s="1"/>
  <c r="Y23" i="6"/>
  <c r="Y23" i="7" s="1"/>
  <c r="Z23" i="6"/>
  <c r="Z23" i="7" s="1"/>
  <c r="AA23" i="6"/>
  <c r="AB23" i="6"/>
  <c r="AB23" i="7" s="1"/>
  <c r="AC23" i="6"/>
  <c r="AC23" i="7" s="1"/>
  <c r="AD23" i="6"/>
  <c r="AD23" i="7" s="1"/>
  <c r="AE23" i="6"/>
  <c r="AF23" i="6"/>
  <c r="AF23" i="7" s="1"/>
  <c r="AG23" i="6"/>
  <c r="AG23" i="7" s="1"/>
  <c r="AH23" i="6"/>
  <c r="AI23" i="6"/>
  <c r="AJ23" i="6"/>
  <c r="AJ23" i="7" s="1"/>
  <c r="AK23" i="6"/>
  <c r="AK23" i="7" s="1"/>
  <c r="AL23" i="6"/>
  <c r="AL23" i="7" s="1"/>
  <c r="AM23" i="6"/>
  <c r="AN23" i="6"/>
  <c r="AN23" i="7" s="1"/>
  <c r="AO23" i="6"/>
  <c r="AO23" i="7" s="1"/>
  <c r="AP23" i="6"/>
  <c r="AQ23" i="6"/>
  <c r="AR23" i="6"/>
  <c r="AR23" i="7" s="1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H23" i="7" s="1"/>
  <c r="BI23" i="6"/>
  <c r="BI23" i="7" s="1"/>
  <c r="BJ23" i="6"/>
  <c r="BJ23" i="7" s="1"/>
  <c r="C24" i="6"/>
  <c r="D24" i="6"/>
  <c r="D24" i="7" s="1"/>
  <c r="E24" i="6"/>
  <c r="E24" i="7" s="1"/>
  <c r="F24" i="6"/>
  <c r="F24" i="7" s="1"/>
  <c r="G24" i="6"/>
  <c r="H24" i="6"/>
  <c r="H24" i="7" s="1"/>
  <c r="I24" i="6"/>
  <c r="I24" i="7" s="1"/>
  <c r="J24" i="6"/>
  <c r="J24" i="7" s="1"/>
  <c r="K24" i="6"/>
  <c r="L24" i="6"/>
  <c r="L24" i="7" s="1"/>
  <c r="M24" i="6"/>
  <c r="M24" i="7" s="1"/>
  <c r="N24" i="6"/>
  <c r="N24" i="7" s="1"/>
  <c r="O24" i="6"/>
  <c r="P24" i="6"/>
  <c r="P24" i="7" s="1"/>
  <c r="Q24" i="6"/>
  <c r="Q24" i="7" s="1"/>
  <c r="R24" i="6"/>
  <c r="S24" i="6"/>
  <c r="S24" i="7" s="1"/>
  <c r="T24" i="6"/>
  <c r="T24" i="7" s="1"/>
  <c r="U24" i="6"/>
  <c r="U24" i="7" s="1"/>
  <c r="V24" i="6"/>
  <c r="V24" i="7" s="1"/>
  <c r="W24" i="6"/>
  <c r="W24" i="7" s="1"/>
  <c r="X24" i="6"/>
  <c r="X24" i="7" s="1"/>
  <c r="Y24" i="6"/>
  <c r="Y24" i="7" s="1"/>
  <c r="Z24" i="6"/>
  <c r="Z24" i="7" s="1"/>
  <c r="AA24" i="6"/>
  <c r="AA24" i="7" s="1"/>
  <c r="AB24" i="6"/>
  <c r="AB24" i="7" s="1"/>
  <c r="AC24" i="6"/>
  <c r="AC24" i="7" s="1"/>
  <c r="AD24" i="6"/>
  <c r="AD24" i="7" s="1"/>
  <c r="AE24" i="6"/>
  <c r="AE24" i="7" s="1"/>
  <c r="AF24" i="6"/>
  <c r="AF24" i="7" s="1"/>
  <c r="AG24" i="6"/>
  <c r="AG24" i="7" s="1"/>
  <c r="AH24" i="6"/>
  <c r="AI24" i="6"/>
  <c r="AJ24" i="6"/>
  <c r="AJ24" i="7" s="1"/>
  <c r="AK24" i="6"/>
  <c r="AK24" i="7" s="1"/>
  <c r="AL24" i="6"/>
  <c r="AL24" i="7" s="1"/>
  <c r="AM24" i="6"/>
  <c r="AM24" i="7" s="1"/>
  <c r="AN24" i="6"/>
  <c r="AN24" i="7" s="1"/>
  <c r="AO24" i="6"/>
  <c r="AO24" i="7" s="1"/>
  <c r="AP24" i="6"/>
  <c r="AQ24" i="6"/>
  <c r="AR24" i="6"/>
  <c r="AR24" i="7" s="1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BG24" i="6"/>
  <c r="BG24" i="7" s="1"/>
  <c r="BH24" i="6"/>
  <c r="BH24" i="7" s="1"/>
  <c r="BI24" i="6"/>
  <c r="BI24" i="7" s="1"/>
  <c r="BJ24" i="6"/>
  <c r="BJ24" i="7" s="1"/>
  <c r="C25" i="6"/>
  <c r="D25" i="6"/>
  <c r="D25" i="7" s="1"/>
  <c r="E25" i="6"/>
  <c r="E25" i="7" s="1"/>
  <c r="F25" i="6"/>
  <c r="F25" i="7" s="1"/>
  <c r="G25" i="6"/>
  <c r="G25" i="7" s="1"/>
  <c r="H25" i="6"/>
  <c r="H25" i="7" s="1"/>
  <c r="I25" i="6"/>
  <c r="I25" i="7" s="1"/>
  <c r="J25" i="6"/>
  <c r="J25" i="7" s="1"/>
  <c r="K25" i="6"/>
  <c r="K25" i="7" s="1"/>
  <c r="L25" i="6"/>
  <c r="L25" i="7" s="1"/>
  <c r="M25" i="6"/>
  <c r="M25" i="7" s="1"/>
  <c r="N25" i="6"/>
  <c r="N25" i="7" s="1"/>
  <c r="O25" i="6"/>
  <c r="O25" i="7" s="1"/>
  <c r="P25" i="6"/>
  <c r="P25" i="7" s="1"/>
  <c r="Q25" i="6"/>
  <c r="Q25" i="7" s="1"/>
  <c r="R25" i="6"/>
  <c r="S25" i="6"/>
  <c r="T25" i="6"/>
  <c r="T25" i="7" s="1"/>
  <c r="U25" i="6"/>
  <c r="U25" i="7" s="1"/>
  <c r="V25" i="6"/>
  <c r="V25" i="7" s="1"/>
  <c r="W25" i="6"/>
  <c r="X25" i="6"/>
  <c r="X25" i="7" s="1"/>
  <c r="Y25" i="6"/>
  <c r="Y25" i="7" s="1"/>
  <c r="Z25" i="6"/>
  <c r="Z25" i="7" s="1"/>
  <c r="AA25" i="6"/>
  <c r="AB25" i="6"/>
  <c r="AB25" i="7" s="1"/>
  <c r="AC25" i="6"/>
  <c r="AC25" i="7" s="1"/>
  <c r="AD25" i="6"/>
  <c r="AD25" i="7" s="1"/>
  <c r="AE25" i="6"/>
  <c r="AF25" i="6"/>
  <c r="AF25" i="7" s="1"/>
  <c r="AG25" i="6"/>
  <c r="AG25" i="7" s="1"/>
  <c r="AH25" i="6"/>
  <c r="AI25" i="6"/>
  <c r="AJ25" i="6"/>
  <c r="AJ25" i="7" s="1"/>
  <c r="AK25" i="6"/>
  <c r="AK25" i="7" s="1"/>
  <c r="AL25" i="6"/>
  <c r="AL25" i="7" s="1"/>
  <c r="AM25" i="6"/>
  <c r="AN25" i="6"/>
  <c r="AN25" i="7" s="1"/>
  <c r="AO25" i="6"/>
  <c r="AO25" i="7" s="1"/>
  <c r="AP25" i="6"/>
  <c r="AQ25" i="6"/>
  <c r="AR25" i="6"/>
  <c r="AR25" i="7" s="1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H25" i="7" s="1"/>
  <c r="BI25" i="6"/>
  <c r="BI25" i="7" s="1"/>
  <c r="BJ25" i="6"/>
  <c r="BJ25" i="7" s="1"/>
  <c r="C26" i="6"/>
  <c r="D26" i="6"/>
  <c r="D26" i="7" s="1"/>
  <c r="E26" i="6"/>
  <c r="E26" i="7" s="1"/>
  <c r="F26" i="6"/>
  <c r="F26" i="7" s="1"/>
  <c r="G26" i="6"/>
  <c r="H26" i="6"/>
  <c r="H26" i="7" s="1"/>
  <c r="I26" i="6"/>
  <c r="I26" i="7" s="1"/>
  <c r="J26" i="6"/>
  <c r="J26" i="7" s="1"/>
  <c r="K26" i="6"/>
  <c r="L26" i="6"/>
  <c r="L26" i="7" s="1"/>
  <c r="M26" i="6"/>
  <c r="M26" i="7" s="1"/>
  <c r="N26" i="6"/>
  <c r="N26" i="7" s="1"/>
  <c r="O26" i="6"/>
  <c r="P26" i="6"/>
  <c r="P26" i="7" s="1"/>
  <c r="Q26" i="6"/>
  <c r="Q26" i="7" s="1"/>
  <c r="R26" i="6"/>
  <c r="S26" i="6"/>
  <c r="S26" i="7" s="1"/>
  <c r="T26" i="6"/>
  <c r="T26" i="7" s="1"/>
  <c r="U26" i="6"/>
  <c r="U26" i="7" s="1"/>
  <c r="V26" i="6"/>
  <c r="V26" i="7" s="1"/>
  <c r="W26" i="6"/>
  <c r="W26" i="7" s="1"/>
  <c r="X26" i="6"/>
  <c r="X26" i="7" s="1"/>
  <c r="Y26" i="6"/>
  <c r="Y26" i="7" s="1"/>
  <c r="Z26" i="6"/>
  <c r="Z26" i="7" s="1"/>
  <c r="AA26" i="6"/>
  <c r="AA26" i="7" s="1"/>
  <c r="AB26" i="6"/>
  <c r="AB26" i="7" s="1"/>
  <c r="AC26" i="6"/>
  <c r="AC26" i="7" s="1"/>
  <c r="AD26" i="6"/>
  <c r="AD26" i="7" s="1"/>
  <c r="AE26" i="6"/>
  <c r="AE26" i="7" s="1"/>
  <c r="AF26" i="6"/>
  <c r="AF26" i="7" s="1"/>
  <c r="AG26" i="6"/>
  <c r="AG26" i="7" s="1"/>
  <c r="AH26" i="6"/>
  <c r="AI26" i="6"/>
  <c r="AJ26" i="6"/>
  <c r="AJ26" i="7" s="1"/>
  <c r="AK26" i="6"/>
  <c r="AK26" i="7" s="1"/>
  <c r="AL26" i="6"/>
  <c r="AL26" i="7" s="1"/>
  <c r="AM26" i="6"/>
  <c r="AM26" i="7" s="1"/>
  <c r="AN26" i="6"/>
  <c r="AN26" i="7" s="1"/>
  <c r="AO26" i="6"/>
  <c r="AO26" i="7" s="1"/>
  <c r="AP26" i="6"/>
  <c r="AQ26" i="6"/>
  <c r="AR26" i="6"/>
  <c r="AR26" i="7" s="1"/>
  <c r="AS26" i="6"/>
  <c r="AT26" i="6"/>
  <c r="AU26" i="6"/>
  <c r="AV26" i="6"/>
  <c r="AW26" i="6"/>
  <c r="AX26" i="6"/>
  <c r="AY26" i="6"/>
  <c r="AZ26" i="6"/>
  <c r="BA26" i="6"/>
  <c r="BB26" i="6"/>
  <c r="BC26" i="6"/>
  <c r="BD26" i="6"/>
  <c r="BE26" i="6"/>
  <c r="BF26" i="6"/>
  <c r="BG26" i="6"/>
  <c r="BG26" i="7" s="1"/>
  <c r="BH26" i="6"/>
  <c r="BH26" i="7" s="1"/>
  <c r="BI26" i="6"/>
  <c r="BI26" i="7" s="1"/>
  <c r="BJ26" i="6"/>
  <c r="BJ26" i="7" s="1"/>
  <c r="C27" i="6"/>
  <c r="D27" i="6"/>
  <c r="D27" i="7" s="1"/>
  <c r="E27" i="6"/>
  <c r="E27" i="7" s="1"/>
  <c r="F27" i="6"/>
  <c r="F27" i="7" s="1"/>
  <c r="G27" i="6"/>
  <c r="G27" i="7" s="1"/>
  <c r="H27" i="6"/>
  <c r="H27" i="7" s="1"/>
  <c r="I27" i="6"/>
  <c r="I27" i="7" s="1"/>
  <c r="J27" i="6"/>
  <c r="J27" i="7" s="1"/>
  <c r="K27" i="6"/>
  <c r="K27" i="7" s="1"/>
  <c r="L27" i="6"/>
  <c r="L27" i="7" s="1"/>
  <c r="M27" i="6"/>
  <c r="M27" i="7" s="1"/>
  <c r="N27" i="6"/>
  <c r="N27" i="7" s="1"/>
  <c r="O27" i="6"/>
  <c r="O27" i="7" s="1"/>
  <c r="P27" i="6"/>
  <c r="P27" i="7" s="1"/>
  <c r="Q27" i="6"/>
  <c r="Q27" i="7" s="1"/>
  <c r="R27" i="6"/>
  <c r="S27" i="6"/>
  <c r="T27" i="6"/>
  <c r="T27" i="7" s="1"/>
  <c r="U27" i="6"/>
  <c r="U27" i="7" s="1"/>
  <c r="V27" i="6"/>
  <c r="V27" i="7" s="1"/>
  <c r="W27" i="6"/>
  <c r="X27" i="6"/>
  <c r="X27" i="7" s="1"/>
  <c r="Y27" i="6"/>
  <c r="Y27" i="7" s="1"/>
  <c r="Z27" i="6"/>
  <c r="Z27" i="7" s="1"/>
  <c r="AA27" i="6"/>
  <c r="AB27" i="6"/>
  <c r="AB27" i="7" s="1"/>
  <c r="AC27" i="6"/>
  <c r="AC27" i="7" s="1"/>
  <c r="AD27" i="6"/>
  <c r="AD27" i="7" s="1"/>
  <c r="AE27" i="6"/>
  <c r="AF27" i="6"/>
  <c r="AF27" i="7" s="1"/>
  <c r="AG27" i="6"/>
  <c r="AG27" i="7" s="1"/>
  <c r="AH27" i="6"/>
  <c r="AI27" i="6"/>
  <c r="AJ27" i="6"/>
  <c r="AJ27" i="7" s="1"/>
  <c r="AK27" i="6"/>
  <c r="AL27" i="6"/>
  <c r="AL27" i="7" s="1"/>
  <c r="AM27" i="6"/>
  <c r="AN27" i="6"/>
  <c r="AN27" i="7" s="1"/>
  <c r="AO27" i="6"/>
  <c r="AP27" i="6"/>
  <c r="AQ27" i="6"/>
  <c r="AR27" i="6"/>
  <c r="AR27" i="7" s="1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BG27" i="6"/>
  <c r="BH27" i="6"/>
  <c r="BH27" i="7" s="1"/>
  <c r="BI27" i="6"/>
  <c r="BI27" i="7" s="1"/>
  <c r="BJ27" i="6"/>
  <c r="BJ27" i="7" s="1"/>
  <c r="C28" i="6"/>
  <c r="D28" i="6"/>
  <c r="D28" i="7" s="1"/>
  <c r="E28" i="6"/>
  <c r="E28" i="7" s="1"/>
  <c r="F28" i="6"/>
  <c r="F28" i="7" s="1"/>
  <c r="G28" i="6"/>
  <c r="H28" i="6"/>
  <c r="H28" i="7" s="1"/>
  <c r="I28" i="6"/>
  <c r="I28" i="7" s="1"/>
  <c r="J28" i="6"/>
  <c r="J28" i="7" s="1"/>
  <c r="K28" i="6"/>
  <c r="L28" i="6"/>
  <c r="L28" i="7" s="1"/>
  <c r="M28" i="6"/>
  <c r="M28" i="7" s="1"/>
  <c r="N28" i="6"/>
  <c r="N28" i="7" s="1"/>
  <c r="O28" i="6"/>
  <c r="P28" i="6"/>
  <c r="P28" i="7" s="1"/>
  <c r="Q28" i="6"/>
  <c r="Q28" i="7" s="1"/>
  <c r="R28" i="6"/>
  <c r="S28" i="6"/>
  <c r="S28" i="7" s="1"/>
  <c r="T28" i="6"/>
  <c r="T28" i="7" s="1"/>
  <c r="U28" i="6"/>
  <c r="V28" i="6"/>
  <c r="V28" i="7" s="1"/>
  <c r="W28" i="6"/>
  <c r="W28" i="7" s="1"/>
  <c r="X28" i="6"/>
  <c r="X28" i="7" s="1"/>
  <c r="Y28" i="6"/>
  <c r="Z28" i="6"/>
  <c r="Z28" i="7" s="1"/>
  <c r="AA28" i="6"/>
  <c r="AA28" i="7" s="1"/>
  <c r="AB28" i="6"/>
  <c r="AB28" i="7" s="1"/>
  <c r="AC28" i="6"/>
  <c r="AD28" i="6"/>
  <c r="AD28" i="7" s="1"/>
  <c r="AE28" i="6"/>
  <c r="AE28" i="7" s="1"/>
  <c r="AF28" i="6"/>
  <c r="AF28" i="7" s="1"/>
  <c r="AG28" i="6"/>
  <c r="AH28" i="6"/>
  <c r="AI28" i="6"/>
  <c r="AJ28" i="6"/>
  <c r="AJ28" i="7" s="1"/>
  <c r="AK28" i="6"/>
  <c r="AK28" i="7" s="1"/>
  <c r="AL28" i="6"/>
  <c r="AL28" i="7" s="1"/>
  <c r="AM28" i="6"/>
  <c r="AM28" i="7" s="1"/>
  <c r="AN28" i="6"/>
  <c r="AN28" i="7" s="1"/>
  <c r="AO28" i="6"/>
  <c r="AO28" i="7" s="1"/>
  <c r="AP28" i="6"/>
  <c r="AQ28" i="6"/>
  <c r="AR28" i="6"/>
  <c r="AR28" i="7" s="1"/>
  <c r="AS28" i="6"/>
  <c r="AT28" i="6"/>
  <c r="AU28" i="6"/>
  <c r="AV28" i="6"/>
  <c r="AW28" i="6"/>
  <c r="AX28" i="6"/>
  <c r="AY28" i="6"/>
  <c r="AZ28" i="6"/>
  <c r="BA28" i="6"/>
  <c r="BB28" i="6"/>
  <c r="BC28" i="6"/>
  <c r="BD28" i="6"/>
  <c r="BE28" i="6"/>
  <c r="BF28" i="6"/>
  <c r="BG28" i="6"/>
  <c r="BG28" i="7" s="1"/>
  <c r="BH28" i="6"/>
  <c r="BH28" i="7" s="1"/>
  <c r="BI28" i="6"/>
  <c r="BI28" i="7" s="1"/>
  <c r="BJ28" i="6"/>
  <c r="BJ28" i="7" s="1"/>
  <c r="C29" i="6"/>
  <c r="D29" i="6"/>
  <c r="D29" i="7" s="1"/>
  <c r="E29" i="6"/>
  <c r="E29" i="7" s="1"/>
  <c r="F29" i="6"/>
  <c r="F29" i="7" s="1"/>
  <c r="G29" i="6"/>
  <c r="G29" i="7" s="1"/>
  <c r="H29" i="6"/>
  <c r="H29" i="7" s="1"/>
  <c r="I29" i="6"/>
  <c r="I29" i="7" s="1"/>
  <c r="J29" i="6"/>
  <c r="J29" i="7" s="1"/>
  <c r="K29" i="6"/>
  <c r="K29" i="7" s="1"/>
  <c r="L29" i="6"/>
  <c r="L29" i="7" s="1"/>
  <c r="M29" i="6"/>
  <c r="M29" i="7" s="1"/>
  <c r="N29" i="6"/>
  <c r="N29" i="7" s="1"/>
  <c r="O29" i="6"/>
  <c r="O29" i="7" s="1"/>
  <c r="P29" i="6"/>
  <c r="P29" i="7" s="1"/>
  <c r="Q29" i="6"/>
  <c r="Q29" i="7" s="1"/>
  <c r="R29" i="6"/>
  <c r="S29" i="6"/>
  <c r="T29" i="6"/>
  <c r="T29" i="7" s="1"/>
  <c r="U29" i="6"/>
  <c r="V29" i="6"/>
  <c r="V29" i="7" s="1"/>
  <c r="W29" i="6"/>
  <c r="X29" i="6"/>
  <c r="X29" i="7" s="1"/>
  <c r="Y29" i="6"/>
  <c r="Z29" i="6"/>
  <c r="Z29" i="7" s="1"/>
  <c r="AA29" i="6"/>
  <c r="AB29" i="6"/>
  <c r="AB29" i="7" s="1"/>
  <c r="AC29" i="6"/>
  <c r="AD29" i="6"/>
  <c r="AD29" i="7" s="1"/>
  <c r="AE29" i="6"/>
  <c r="AF29" i="6"/>
  <c r="AF29" i="7" s="1"/>
  <c r="AG29" i="6"/>
  <c r="AH29" i="6"/>
  <c r="AI29" i="6"/>
  <c r="AJ29" i="6"/>
  <c r="AJ29" i="7" s="1"/>
  <c r="AK29" i="6"/>
  <c r="AK29" i="7" s="1"/>
  <c r="AL29" i="6"/>
  <c r="AL29" i="7" s="1"/>
  <c r="AM29" i="6"/>
  <c r="AN29" i="6"/>
  <c r="AN29" i="7" s="1"/>
  <c r="AO29" i="6"/>
  <c r="AO29" i="7" s="1"/>
  <c r="AP29" i="6"/>
  <c r="AQ29" i="6"/>
  <c r="AR29" i="6"/>
  <c r="AR29" i="7" s="1"/>
  <c r="AS29" i="6"/>
  <c r="AT29" i="6"/>
  <c r="AU29" i="6"/>
  <c r="AV29" i="6"/>
  <c r="AW29" i="6"/>
  <c r="AX29" i="6"/>
  <c r="AY29" i="6"/>
  <c r="AZ29" i="6"/>
  <c r="BA29" i="6"/>
  <c r="BB29" i="6"/>
  <c r="BC29" i="6"/>
  <c r="BD29" i="6"/>
  <c r="BE29" i="6"/>
  <c r="BF29" i="6"/>
  <c r="BG29" i="6"/>
  <c r="BH29" i="6"/>
  <c r="BH29" i="7" s="1"/>
  <c r="BI29" i="6"/>
  <c r="BJ29" i="6"/>
  <c r="BJ29" i="7" s="1"/>
  <c r="C30" i="6"/>
  <c r="D30" i="6"/>
  <c r="D30" i="7" s="1"/>
  <c r="E30" i="6"/>
  <c r="F30" i="6"/>
  <c r="F30" i="7" s="1"/>
  <c r="G30" i="6"/>
  <c r="H30" i="6"/>
  <c r="H30" i="7" s="1"/>
  <c r="I30" i="6"/>
  <c r="J30" i="6"/>
  <c r="J30" i="7" s="1"/>
  <c r="K30" i="6"/>
  <c r="L30" i="6"/>
  <c r="L30" i="7" s="1"/>
  <c r="M30" i="6"/>
  <c r="N30" i="6"/>
  <c r="N30" i="7" s="1"/>
  <c r="O30" i="6"/>
  <c r="P30" i="6"/>
  <c r="P30" i="7" s="1"/>
  <c r="Q30" i="6"/>
  <c r="R30" i="6"/>
  <c r="S30" i="6"/>
  <c r="S30" i="7" s="1"/>
  <c r="T30" i="6"/>
  <c r="T30" i="7" s="1"/>
  <c r="U30" i="6"/>
  <c r="U30" i="7" s="1"/>
  <c r="V30" i="6"/>
  <c r="V30" i="7" s="1"/>
  <c r="W30" i="6"/>
  <c r="W30" i="7" s="1"/>
  <c r="X30" i="6"/>
  <c r="X30" i="7" s="1"/>
  <c r="Y30" i="6"/>
  <c r="Y30" i="7" s="1"/>
  <c r="Z30" i="6"/>
  <c r="Z30" i="7" s="1"/>
  <c r="AA30" i="6"/>
  <c r="AA30" i="7" s="1"/>
  <c r="AB30" i="6"/>
  <c r="AB30" i="7" s="1"/>
  <c r="AC30" i="6"/>
  <c r="AC30" i="7" s="1"/>
  <c r="AD30" i="6"/>
  <c r="AD30" i="7" s="1"/>
  <c r="AE30" i="6"/>
  <c r="AE30" i="7" s="1"/>
  <c r="AF30" i="6"/>
  <c r="AF30" i="7" s="1"/>
  <c r="AG30" i="6"/>
  <c r="AG30" i="7" s="1"/>
  <c r="AH30" i="6"/>
  <c r="AI30" i="6"/>
  <c r="AJ30" i="6"/>
  <c r="AJ30" i="7" s="1"/>
  <c r="AK30" i="6"/>
  <c r="AK30" i="7" s="1"/>
  <c r="AL30" i="6"/>
  <c r="AL30" i="7" s="1"/>
  <c r="AM30" i="6"/>
  <c r="AM30" i="7" s="1"/>
  <c r="AN30" i="6"/>
  <c r="AN30" i="7" s="1"/>
  <c r="AO30" i="6"/>
  <c r="AO30" i="7" s="1"/>
  <c r="AP30" i="6"/>
  <c r="AQ30" i="6"/>
  <c r="AR30" i="6"/>
  <c r="AR30" i="7" s="1"/>
  <c r="AS30" i="6"/>
  <c r="AT30" i="6"/>
  <c r="AU30" i="6"/>
  <c r="AV30" i="6"/>
  <c r="AW30" i="6"/>
  <c r="AX30" i="6"/>
  <c r="AY30" i="6"/>
  <c r="AZ30" i="6"/>
  <c r="BA30" i="6"/>
  <c r="BB30" i="6"/>
  <c r="BC30" i="6"/>
  <c r="BD30" i="6"/>
  <c r="BE30" i="6"/>
  <c r="BF30" i="6"/>
  <c r="BG30" i="6"/>
  <c r="BG30" i="7" s="1"/>
  <c r="BH30" i="6"/>
  <c r="BH30" i="7" s="1"/>
  <c r="BI30" i="6"/>
  <c r="BJ30" i="6"/>
  <c r="BJ30" i="7" s="1"/>
  <c r="C31" i="6"/>
  <c r="D31" i="6"/>
  <c r="D31" i="7" s="1"/>
  <c r="E31" i="6"/>
  <c r="F31" i="6"/>
  <c r="F31" i="7" s="1"/>
  <c r="G31" i="6"/>
  <c r="G31" i="7" s="1"/>
  <c r="H31" i="6"/>
  <c r="H31" i="7" s="1"/>
  <c r="I31" i="6"/>
  <c r="J31" i="6"/>
  <c r="J31" i="7" s="1"/>
  <c r="K31" i="6"/>
  <c r="K31" i="7" s="1"/>
  <c r="L31" i="6"/>
  <c r="L31" i="7" s="1"/>
  <c r="M31" i="6"/>
  <c r="N31" i="6"/>
  <c r="N31" i="7" s="1"/>
  <c r="O31" i="6"/>
  <c r="O31" i="7" s="1"/>
  <c r="P31" i="6"/>
  <c r="P31" i="7" s="1"/>
  <c r="Q31" i="6"/>
  <c r="R31" i="6"/>
  <c r="S31" i="6"/>
  <c r="T31" i="6"/>
  <c r="T31" i="7" s="1"/>
  <c r="U31" i="6"/>
  <c r="U31" i="7" s="1"/>
  <c r="V31" i="6"/>
  <c r="V31" i="7" s="1"/>
  <c r="W31" i="6"/>
  <c r="X31" i="6"/>
  <c r="X31" i="7" s="1"/>
  <c r="Y31" i="6"/>
  <c r="Y31" i="7" s="1"/>
  <c r="Z31" i="6"/>
  <c r="Z31" i="7" s="1"/>
  <c r="AA31" i="6"/>
  <c r="AB31" i="6"/>
  <c r="AB31" i="7" s="1"/>
  <c r="AC31" i="6"/>
  <c r="AC31" i="7" s="1"/>
  <c r="AD31" i="6"/>
  <c r="AD31" i="7" s="1"/>
  <c r="AE31" i="6"/>
  <c r="AF31" i="6"/>
  <c r="AF31" i="7" s="1"/>
  <c r="AG31" i="6"/>
  <c r="AG31" i="7" s="1"/>
  <c r="AH31" i="6"/>
  <c r="AI31" i="6"/>
  <c r="AJ31" i="6"/>
  <c r="AJ31" i="7" s="1"/>
  <c r="AK31" i="6"/>
  <c r="AK31" i="7" s="1"/>
  <c r="AL31" i="6"/>
  <c r="AL31" i="7" s="1"/>
  <c r="AM31" i="6"/>
  <c r="AN31" i="6"/>
  <c r="AN31" i="7" s="1"/>
  <c r="AO31" i="6"/>
  <c r="AO31" i="7" s="1"/>
  <c r="AP31" i="6"/>
  <c r="AQ31" i="6"/>
  <c r="AR31" i="6"/>
  <c r="AR31" i="7" s="1"/>
  <c r="AS31" i="6"/>
  <c r="AT31" i="6"/>
  <c r="AU31" i="6"/>
  <c r="AV31" i="6"/>
  <c r="AW31" i="6"/>
  <c r="AX31" i="6"/>
  <c r="AY31" i="6"/>
  <c r="AZ31" i="6"/>
  <c r="BA31" i="6"/>
  <c r="BB31" i="6"/>
  <c r="BC31" i="6"/>
  <c r="BD31" i="6"/>
  <c r="BE31" i="6"/>
  <c r="BF31" i="6"/>
  <c r="BG31" i="6"/>
  <c r="BH31" i="6"/>
  <c r="BH31" i="7" s="1"/>
  <c r="BI31" i="6"/>
  <c r="BI31" i="7" s="1"/>
  <c r="BJ31" i="6"/>
  <c r="BJ31" i="7" s="1"/>
  <c r="C32" i="6"/>
  <c r="D32" i="6"/>
  <c r="D32" i="7" s="1"/>
  <c r="E32" i="6"/>
  <c r="E32" i="7" s="1"/>
  <c r="F32" i="6"/>
  <c r="F32" i="7" s="1"/>
  <c r="G32" i="6"/>
  <c r="H32" i="6"/>
  <c r="H32" i="7" s="1"/>
  <c r="I32" i="6"/>
  <c r="I32" i="7" s="1"/>
  <c r="J32" i="6"/>
  <c r="J32" i="7" s="1"/>
  <c r="K32" i="6"/>
  <c r="L32" i="6"/>
  <c r="L32" i="7" s="1"/>
  <c r="M32" i="6"/>
  <c r="M32" i="7" s="1"/>
  <c r="N32" i="6"/>
  <c r="N32" i="7" s="1"/>
  <c r="O32" i="6"/>
  <c r="P32" i="6"/>
  <c r="P32" i="7" s="1"/>
  <c r="Q32" i="6"/>
  <c r="Q32" i="7" s="1"/>
  <c r="R32" i="6"/>
  <c r="S32" i="6"/>
  <c r="S32" i="7" s="1"/>
  <c r="T32" i="6"/>
  <c r="T32" i="7" s="1"/>
  <c r="U32" i="6"/>
  <c r="U32" i="7" s="1"/>
  <c r="V32" i="6"/>
  <c r="V32" i="7" s="1"/>
  <c r="W32" i="6"/>
  <c r="W32" i="7" s="1"/>
  <c r="X32" i="6"/>
  <c r="X32" i="7" s="1"/>
  <c r="Y32" i="6"/>
  <c r="Y32" i="7" s="1"/>
  <c r="Z32" i="6"/>
  <c r="Z32" i="7" s="1"/>
  <c r="AA32" i="6"/>
  <c r="AA32" i="7" s="1"/>
  <c r="AB32" i="6"/>
  <c r="AB32" i="7" s="1"/>
  <c r="AC32" i="6"/>
  <c r="AC32" i="7" s="1"/>
  <c r="AD32" i="6"/>
  <c r="AD32" i="7" s="1"/>
  <c r="AE32" i="6"/>
  <c r="AE32" i="7" s="1"/>
  <c r="AF32" i="6"/>
  <c r="AF32" i="7" s="1"/>
  <c r="AG32" i="6"/>
  <c r="AG32" i="7" s="1"/>
  <c r="AH32" i="6"/>
  <c r="AI32" i="6"/>
  <c r="AJ32" i="6"/>
  <c r="AJ32" i="7" s="1"/>
  <c r="AK32" i="6"/>
  <c r="AL32" i="6"/>
  <c r="AL32" i="7" s="1"/>
  <c r="AM32" i="6"/>
  <c r="AM32" i="7" s="1"/>
  <c r="AN32" i="6"/>
  <c r="AN32" i="7" s="1"/>
  <c r="AO32" i="6"/>
  <c r="AP32" i="6"/>
  <c r="AQ32" i="6"/>
  <c r="AR32" i="6"/>
  <c r="AR32" i="7" s="1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G32" i="7" s="1"/>
  <c r="BH32" i="6"/>
  <c r="BH32" i="7" s="1"/>
  <c r="BI32" i="6"/>
  <c r="BI32" i="7" s="1"/>
  <c r="BJ32" i="6"/>
  <c r="BJ32" i="7" s="1"/>
  <c r="C33" i="6"/>
  <c r="C33" i="7" s="1"/>
  <c r="D33" i="6"/>
  <c r="D33" i="7" s="1"/>
  <c r="E33" i="6"/>
  <c r="E33" i="7" s="1"/>
  <c r="F33" i="6"/>
  <c r="F33" i="7" s="1"/>
  <c r="G33" i="6"/>
  <c r="G33" i="7" s="1"/>
  <c r="H33" i="6"/>
  <c r="H33" i="7" s="1"/>
  <c r="I33" i="6"/>
  <c r="I33" i="7" s="1"/>
  <c r="J33" i="6"/>
  <c r="J33" i="7" s="1"/>
  <c r="K33" i="6"/>
  <c r="K33" i="7" s="1"/>
  <c r="L33" i="6"/>
  <c r="L33" i="7" s="1"/>
  <c r="M33" i="6"/>
  <c r="M33" i="7" s="1"/>
  <c r="N33" i="6"/>
  <c r="N33" i="7" s="1"/>
  <c r="O33" i="6"/>
  <c r="O33" i="7" s="1"/>
  <c r="P33" i="6"/>
  <c r="P33" i="7" s="1"/>
  <c r="Q33" i="6"/>
  <c r="Q33" i="7" s="1"/>
  <c r="R33" i="6"/>
  <c r="S33" i="6"/>
  <c r="T33" i="6"/>
  <c r="T33" i="7" s="1"/>
  <c r="U33" i="6"/>
  <c r="U33" i="7" s="1"/>
  <c r="V33" i="6"/>
  <c r="V33" i="7" s="1"/>
  <c r="W33" i="6"/>
  <c r="X33" i="6"/>
  <c r="X33" i="7" s="1"/>
  <c r="Y33" i="6"/>
  <c r="Y33" i="7" s="1"/>
  <c r="Z33" i="6"/>
  <c r="Z33" i="7" s="1"/>
  <c r="AA33" i="6"/>
  <c r="AA33" i="7" s="1"/>
  <c r="AB33" i="6"/>
  <c r="AB33" i="7" s="1"/>
  <c r="AC33" i="6"/>
  <c r="AC33" i="7" s="1"/>
  <c r="AD33" i="6"/>
  <c r="AD33" i="7" s="1"/>
  <c r="AE33" i="6"/>
  <c r="AE33" i="7" s="1"/>
  <c r="AF33" i="6"/>
  <c r="AF33" i="7" s="1"/>
  <c r="AG33" i="6"/>
  <c r="AG33" i="7" s="1"/>
  <c r="AH33" i="6"/>
  <c r="AI33" i="6"/>
  <c r="AJ33" i="6"/>
  <c r="AJ33" i="7" s="1"/>
  <c r="AK33" i="6"/>
  <c r="AL33" i="6"/>
  <c r="AL33" i="7" s="1"/>
  <c r="AM33" i="6"/>
  <c r="AM33" i="7" s="1"/>
  <c r="AN33" i="6"/>
  <c r="AN33" i="7" s="1"/>
  <c r="AO33" i="6"/>
  <c r="AP33" i="6"/>
  <c r="AQ33" i="6"/>
  <c r="AR33" i="6"/>
  <c r="AR33" i="7" s="1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BG33" i="6"/>
  <c r="BG33" i="7" s="1"/>
  <c r="BH33" i="6"/>
  <c r="BH33" i="7" s="1"/>
  <c r="BI33" i="6"/>
  <c r="BJ33" i="6"/>
  <c r="BJ33" i="7" s="1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BG34" i="6"/>
  <c r="BH34" i="6"/>
  <c r="BI34" i="6"/>
  <c r="BJ34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C36" i="6"/>
  <c r="C36" i="7" s="1"/>
  <c r="D36" i="6"/>
  <c r="D36" i="7" s="1"/>
  <c r="E36" i="6"/>
  <c r="F36" i="6"/>
  <c r="F36" i="7" s="1"/>
  <c r="G36" i="6"/>
  <c r="G36" i="7" s="1"/>
  <c r="H36" i="6"/>
  <c r="H36" i="7" s="1"/>
  <c r="I36" i="6"/>
  <c r="J36" i="6"/>
  <c r="J36" i="7" s="1"/>
  <c r="K36" i="6"/>
  <c r="K36" i="7" s="1"/>
  <c r="L36" i="6"/>
  <c r="L36" i="7" s="1"/>
  <c r="M36" i="6"/>
  <c r="N36" i="6"/>
  <c r="N36" i="7" s="1"/>
  <c r="O36" i="6"/>
  <c r="O36" i="7" s="1"/>
  <c r="P36" i="6"/>
  <c r="P36" i="7" s="1"/>
  <c r="Q36" i="6"/>
  <c r="R36" i="6"/>
  <c r="S36" i="6"/>
  <c r="S36" i="7" s="1"/>
  <c r="T36" i="6"/>
  <c r="T36" i="7" s="1"/>
  <c r="U36" i="6"/>
  <c r="U36" i="7" s="1"/>
  <c r="V36" i="6"/>
  <c r="V36" i="7" s="1"/>
  <c r="W36" i="6"/>
  <c r="W36" i="7" s="1"/>
  <c r="X36" i="6"/>
  <c r="X36" i="7" s="1"/>
  <c r="Y36" i="6"/>
  <c r="Y36" i="7" s="1"/>
  <c r="Z36" i="6"/>
  <c r="Z36" i="7" s="1"/>
  <c r="AA36" i="6"/>
  <c r="AA36" i="7" s="1"/>
  <c r="AB36" i="6"/>
  <c r="AB36" i="7" s="1"/>
  <c r="AC36" i="6"/>
  <c r="AC36" i="7" s="1"/>
  <c r="AD36" i="6"/>
  <c r="AD36" i="7" s="1"/>
  <c r="AE36" i="6"/>
  <c r="AE36" i="7" s="1"/>
  <c r="AF36" i="6"/>
  <c r="AF36" i="7" s="1"/>
  <c r="AG36" i="6"/>
  <c r="AG36" i="7" s="1"/>
  <c r="AH36" i="6"/>
  <c r="AI36" i="6"/>
  <c r="AJ36" i="6"/>
  <c r="AJ36" i="7" s="1"/>
  <c r="AK36" i="6"/>
  <c r="AK36" i="7" s="1"/>
  <c r="AL36" i="6"/>
  <c r="AL36" i="7" s="1"/>
  <c r="AM36" i="6"/>
  <c r="AN36" i="6"/>
  <c r="AN36" i="7" s="1"/>
  <c r="AO36" i="6"/>
  <c r="AO36" i="7" s="1"/>
  <c r="AP36" i="6"/>
  <c r="AQ36" i="6"/>
  <c r="AR36" i="6"/>
  <c r="AR36" i="7" s="1"/>
  <c r="AS36" i="6"/>
  <c r="AT36" i="6"/>
  <c r="AU36" i="6"/>
  <c r="AV36" i="6"/>
  <c r="AW36" i="6"/>
  <c r="AX36" i="6"/>
  <c r="AY36" i="6"/>
  <c r="AZ36" i="6"/>
  <c r="BA36" i="6"/>
  <c r="BB36" i="6"/>
  <c r="BC36" i="6"/>
  <c r="BD36" i="6"/>
  <c r="BE36" i="6"/>
  <c r="BF36" i="6"/>
  <c r="BG36" i="6"/>
  <c r="BG36" i="7" s="1"/>
  <c r="BH36" i="6"/>
  <c r="BH36" i="7" s="1"/>
  <c r="BI36" i="6"/>
  <c r="BI36" i="7" s="1"/>
  <c r="BJ36" i="6"/>
  <c r="BJ36" i="7" s="1"/>
  <c r="C37" i="6"/>
  <c r="C37" i="7" s="1"/>
  <c r="D37" i="6"/>
  <c r="D37" i="7" s="1"/>
  <c r="E37" i="6"/>
  <c r="E37" i="7" s="1"/>
  <c r="F37" i="6"/>
  <c r="F37" i="7" s="1"/>
  <c r="G37" i="6"/>
  <c r="G37" i="7" s="1"/>
  <c r="H37" i="6"/>
  <c r="H37" i="7" s="1"/>
  <c r="I37" i="6"/>
  <c r="I37" i="7" s="1"/>
  <c r="J37" i="6"/>
  <c r="J37" i="7" s="1"/>
  <c r="K37" i="6"/>
  <c r="K37" i="7" s="1"/>
  <c r="L37" i="6"/>
  <c r="L37" i="7" s="1"/>
  <c r="M37" i="6"/>
  <c r="M37" i="7" s="1"/>
  <c r="N37" i="6"/>
  <c r="N37" i="7" s="1"/>
  <c r="O37" i="6"/>
  <c r="O37" i="7" s="1"/>
  <c r="P37" i="6"/>
  <c r="P37" i="7" s="1"/>
  <c r="Q37" i="6"/>
  <c r="Q37" i="7" s="1"/>
  <c r="R37" i="6"/>
  <c r="S37" i="6"/>
  <c r="S37" i="7" s="1"/>
  <c r="T37" i="6"/>
  <c r="T37" i="7" s="1"/>
  <c r="U37" i="6"/>
  <c r="U37" i="7" s="1"/>
  <c r="V37" i="6"/>
  <c r="V37" i="7" s="1"/>
  <c r="W37" i="6"/>
  <c r="W37" i="7" s="1"/>
  <c r="X37" i="6"/>
  <c r="X37" i="7" s="1"/>
  <c r="Y37" i="6"/>
  <c r="Y37" i="7" s="1"/>
  <c r="Z37" i="6"/>
  <c r="Z37" i="7" s="1"/>
  <c r="AA37" i="6"/>
  <c r="AA37" i="7" s="1"/>
  <c r="AB37" i="6"/>
  <c r="AB37" i="7" s="1"/>
  <c r="AC37" i="6"/>
  <c r="AC37" i="7" s="1"/>
  <c r="AD37" i="6"/>
  <c r="AD37" i="7" s="1"/>
  <c r="AE37" i="6"/>
  <c r="AE37" i="7" s="1"/>
  <c r="AF37" i="6"/>
  <c r="AF37" i="7" s="1"/>
  <c r="AG37" i="6"/>
  <c r="AG37" i="7" s="1"/>
  <c r="AH37" i="6"/>
  <c r="AI37" i="6"/>
  <c r="AJ37" i="6"/>
  <c r="AJ37" i="7" s="1"/>
  <c r="AK37" i="6"/>
  <c r="AL37" i="6"/>
  <c r="AL37" i="7" s="1"/>
  <c r="AM37" i="6"/>
  <c r="AM37" i="7" s="1"/>
  <c r="AN37" i="6"/>
  <c r="AN37" i="7" s="1"/>
  <c r="AO37" i="6"/>
  <c r="AP37" i="6"/>
  <c r="AQ37" i="6"/>
  <c r="AR37" i="6"/>
  <c r="AR37" i="7" s="1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BG37" i="6"/>
  <c r="BG37" i="7" s="1"/>
  <c r="BH37" i="6"/>
  <c r="BH37" i="7" s="1"/>
  <c r="BI37" i="6"/>
  <c r="BI37" i="7" s="1"/>
  <c r="BJ37" i="6"/>
  <c r="BJ37" i="7" s="1"/>
  <c r="C38" i="6"/>
  <c r="C38" i="7" s="1"/>
  <c r="D38" i="6"/>
  <c r="D38" i="7" s="1"/>
  <c r="E38" i="6"/>
  <c r="E38" i="7" s="1"/>
  <c r="F38" i="6"/>
  <c r="F38" i="7" s="1"/>
  <c r="G38" i="6"/>
  <c r="G38" i="7" s="1"/>
  <c r="H38" i="6"/>
  <c r="H38" i="7" s="1"/>
  <c r="I38" i="6"/>
  <c r="I38" i="7" s="1"/>
  <c r="J38" i="6"/>
  <c r="J38" i="7" s="1"/>
  <c r="K38" i="6"/>
  <c r="K38" i="7" s="1"/>
  <c r="L38" i="6"/>
  <c r="L38" i="7" s="1"/>
  <c r="M38" i="6"/>
  <c r="M38" i="7" s="1"/>
  <c r="N38" i="6"/>
  <c r="N38" i="7" s="1"/>
  <c r="O38" i="6"/>
  <c r="O38" i="7" s="1"/>
  <c r="P38" i="6"/>
  <c r="P38" i="7" s="1"/>
  <c r="Q38" i="6"/>
  <c r="Q38" i="7" s="1"/>
  <c r="R38" i="6"/>
  <c r="S38" i="6"/>
  <c r="T38" i="6"/>
  <c r="T38" i="7" s="1"/>
  <c r="U38" i="6"/>
  <c r="U38" i="7" s="1"/>
  <c r="V38" i="6"/>
  <c r="V38" i="7" s="1"/>
  <c r="W38" i="6"/>
  <c r="X38" i="6"/>
  <c r="X38" i="7" s="1"/>
  <c r="Y38" i="6"/>
  <c r="Y38" i="7" s="1"/>
  <c r="Z38" i="6"/>
  <c r="Z38" i="7" s="1"/>
  <c r="AA38" i="6"/>
  <c r="AB38" i="6"/>
  <c r="AB38" i="7" s="1"/>
  <c r="AC38" i="6"/>
  <c r="AC38" i="7" s="1"/>
  <c r="AD38" i="6"/>
  <c r="AD38" i="7" s="1"/>
  <c r="AE38" i="6"/>
  <c r="AF38" i="6"/>
  <c r="AF38" i="7" s="1"/>
  <c r="AG38" i="6"/>
  <c r="AG38" i="7" s="1"/>
  <c r="AH38" i="6"/>
  <c r="AI38" i="6"/>
  <c r="AJ38" i="6"/>
  <c r="AJ38" i="7" s="1"/>
  <c r="AK38" i="6"/>
  <c r="AL38" i="6"/>
  <c r="AL38" i="7" s="1"/>
  <c r="AM38" i="6"/>
  <c r="AN38" i="6"/>
  <c r="AN38" i="7" s="1"/>
  <c r="AO38" i="6"/>
  <c r="AP38" i="6"/>
  <c r="AQ38" i="6"/>
  <c r="AR38" i="6"/>
  <c r="AR38" i="7" s="1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BG38" i="6"/>
  <c r="BH38" i="6"/>
  <c r="BH38" i="7" s="1"/>
  <c r="BI38" i="6"/>
  <c r="BI38" i="7" s="1"/>
  <c r="BJ38" i="6"/>
  <c r="BJ38" i="7" s="1"/>
  <c r="C39" i="6"/>
  <c r="D39" i="6"/>
  <c r="D39" i="7" s="1"/>
  <c r="E39" i="6"/>
  <c r="E39" i="7" s="1"/>
  <c r="F39" i="6"/>
  <c r="F39" i="7" s="1"/>
  <c r="G39" i="6"/>
  <c r="H39" i="6"/>
  <c r="H39" i="7" s="1"/>
  <c r="I39" i="6"/>
  <c r="I39" i="7" s="1"/>
  <c r="J39" i="6"/>
  <c r="J39" i="7" s="1"/>
  <c r="K39" i="6"/>
  <c r="L39" i="6"/>
  <c r="L39" i="7" s="1"/>
  <c r="M39" i="6"/>
  <c r="M39" i="7" s="1"/>
  <c r="N39" i="6"/>
  <c r="N39" i="7" s="1"/>
  <c r="O39" i="6"/>
  <c r="P39" i="6"/>
  <c r="P39" i="7" s="1"/>
  <c r="Q39" i="6"/>
  <c r="Q39" i="7" s="1"/>
  <c r="R39" i="6"/>
  <c r="S39" i="6"/>
  <c r="S39" i="7" s="1"/>
  <c r="T39" i="6"/>
  <c r="T39" i="7" s="1"/>
  <c r="U39" i="6"/>
  <c r="V39" i="6"/>
  <c r="V39" i="7" s="1"/>
  <c r="W39" i="6"/>
  <c r="W39" i="7" s="1"/>
  <c r="X39" i="6"/>
  <c r="X39" i="7" s="1"/>
  <c r="Y39" i="6"/>
  <c r="Y39" i="7" s="1"/>
  <c r="Z39" i="6"/>
  <c r="Z39" i="7" s="1"/>
  <c r="AA39" i="6"/>
  <c r="AA39" i="7" s="1"/>
  <c r="AB39" i="6"/>
  <c r="AB39" i="7" s="1"/>
  <c r="AC39" i="6"/>
  <c r="AC39" i="7" s="1"/>
  <c r="AD39" i="6"/>
  <c r="AD39" i="7" s="1"/>
  <c r="AE39" i="6"/>
  <c r="AE39" i="7" s="1"/>
  <c r="AF39" i="6"/>
  <c r="AF39" i="7" s="1"/>
  <c r="AG39" i="6"/>
  <c r="AG39" i="7" s="1"/>
  <c r="AH39" i="6"/>
  <c r="AI39" i="6"/>
  <c r="AJ39" i="6"/>
  <c r="AJ39" i="7" s="1"/>
  <c r="AK39" i="6"/>
  <c r="AK39" i="7" s="1"/>
  <c r="AL39" i="6"/>
  <c r="AL39" i="7" s="1"/>
  <c r="AM39" i="6"/>
  <c r="AM39" i="7" s="1"/>
  <c r="AN39" i="6"/>
  <c r="AN39" i="7" s="1"/>
  <c r="AO39" i="6"/>
  <c r="AO39" i="7" s="1"/>
  <c r="AP39" i="6"/>
  <c r="AQ39" i="6"/>
  <c r="AR39" i="6"/>
  <c r="AR39" i="7" s="1"/>
  <c r="AS39" i="6"/>
  <c r="AT39" i="6"/>
  <c r="AU39" i="6"/>
  <c r="AV39" i="6"/>
  <c r="AW39" i="6"/>
  <c r="AX39" i="6"/>
  <c r="AY39" i="6"/>
  <c r="AZ39" i="6"/>
  <c r="BA39" i="6"/>
  <c r="BB39" i="6"/>
  <c r="BC39" i="6"/>
  <c r="BD39" i="6"/>
  <c r="BE39" i="6"/>
  <c r="BF39" i="6"/>
  <c r="BG39" i="6"/>
  <c r="BG39" i="7" s="1"/>
  <c r="BH39" i="6"/>
  <c r="BH39" i="7" s="1"/>
  <c r="BI39" i="6"/>
  <c r="BI39" i="7" s="1"/>
  <c r="BJ39" i="6"/>
  <c r="BJ39" i="7" s="1"/>
  <c r="C40" i="6"/>
  <c r="C40" i="7" s="1"/>
  <c r="D40" i="6"/>
  <c r="D40" i="7" s="1"/>
  <c r="E40" i="6"/>
  <c r="E40" i="7" s="1"/>
  <c r="F40" i="6"/>
  <c r="F40" i="7" s="1"/>
  <c r="G40" i="6"/>
  <c r="G40" i="7" s="1"/>
  <c r="H40" i="6"/>
  <c r="H40" i="7" s="1"/>
  <c r="I40" i="6"/>
  <c r="I40" i="7" s="1"/>
  <c r="J40" i="6"/>
  <c r="J40" i="7" s="1"/>
  <c r="K40" i="6"/>
  <c r="K40" i="7" s="1"/>
  <c r="L40" i="6"/>
  <c r="L40" i="7" s="1"/>
  <c r="M40" i="6"/>
  <c r="M40" i="7" s="1"/>
  <c r="N40" i="6"/>
  <c r="N40" i="7" s="1"/>
  <c r="O40" i="6"/>
  <c r="O40" i="7" s="1"/>
  <c r="P40" i="6"/>
  <c r="P40" i="7" s="1"/>
  <c r="Q40" i="6"/>
  <c r="Q40" i="7" s="1"/>
  <c r="R40" i="6"/>
  <c r="S40" i="6"/>
  <c r="T40" i="6"/>
  <c r="T40" i="7" s="1"/>
  <c r="U40" i="6"/>
  <c r="U40" i="7" s="1"/>
  <c r="V40" i="6"/>
  <c r="V40" i="7" s="1"/>
  <c r="W40" i="6"/>
  <c r="X40" i="6"/>
  <c r="X40" i="7" s="1"/>
  <c r="Y40" i="6"/>
  <c r="Y40" i="7" s="1"/>
  <c r="Z40" i="6"/>
  <c r="Z40" i="7" s="1"/>
  <c r="AA40" i="6"/>
  <c r="AB40" i="6"/>
  <c r="AB40" i="7" s="1"/>
  <c r="AC40" i="6"/>
  <c r="AC40" i="7" s="1"/>
  <c r="AD40" i="6"/>
  <c r="AD40" i="7" s="1"/>
  <c r="AE40" i="6"/>
  <c r="AF40" i="6"/>
  <c r="AF40" i="7" s="1"/>
  <c r="AG40" i="6"/>
  <c r="AG40" i="7" s="1"/>
  <c r="AH40" i="6"/>
  <c r="AI40" i="6"/>
  <c r="AJ40" i="6"/>
  <c r="AJ40" i="7" s="1"/>
  <c r="AK40" i="6"/>
  <c r="AK40" i="7" s="1"/>
  <c r="AL40" i="6"/>
  <c r="AL40" i="7" s="1"/>
  <c r="AM40" i="6"/>
  <c r="AM40" i="7" s="1"/>
  <c r="AN40" i="6"/>
  <c r="AN40" i="7" s="1"/>
  <c r="AO40" i="6"/>
  <c r="AO40" i="7" s="1"/>
  <c r="AP40" i="6"/>
  <c r="AQ40" i="6"/>
  <c r="AR40" i="6"/>
  <c r="AR40" i="7" s="1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H40" i="7" s="1"/>
  <c r="BI40" i="6"/>
  <c r="BI40" i="7" s="1"/>
  <c r="BJ40" i="6"/>
  <c r="BJ40" i="7" s="1"/>
  <c r="C41" i="6"/>
  <c r="D41" i="6"/>
  <c r="D41" i="7" s="1"/>
  <c r="E41" i="6"/>
  <c r="E41" i="7" s="1"/>
  <c r="F41" i="6"/>
  <c r="F41" i="7" s="1"/>
  <c r="G41" i="6"/>
  <c r="H41" i="6"/>
  <c r="H41" i="7" s="1"/>
  <c r="I41" i="6"/>
  <c r="I41" i="7" s="1"/>
  <c r="J41" i="6"/>
  <c r="J41" i="7" s="1"/>
  <c r="K41" i="6"/>
  <c r="L41" i="6"/>
  <c r="L41" i="7" s="1"/>
  <c r="M41" i="6"/>
  <c r="M41" i="7" s="1"/>
  <c r="N41" i="6"/>
  <c r="N41" i="7" s="1"/>
  <c r="O41" i="6"/>
  <c r="P41" i="6"/>
  <c r="P41" i="7" s="1"/>
  <c r="Q41" i="6"/>
  <c r="Q41" i="7" s="1"/>
  <c r="R41" i="6"/>
  <c r="S41" i="6"/>
  <c r="S41" i="7" s="1"/>
  <c r="T41" i="6"/>
  <c r="T41" i="7" s="1"/>
  <c r="U41" i="6"/>
  <c r="U41" i="7" s="1"/>
  <c r="V41" i="6"/>
  <c r="V41" i="7" s="1"/>
  <c r="W41" i="6"/>
  <c r="W41" i="7" s="1"/>
  <c r="X41" i="6"/>
  <c r="X41" i="7" s="1"/>
  <c r="Y41" i="6"/>
  <c r="Y41" i="7" s="1"/>
  <c r="Z41" i="6"/>
  <c r="Z41" i="7" s="1"/>
  <c r="AA41" i="6"/>
  <c r="AA41" i="7" s="1"/>
  <c r="AB41" i="6"/>
  <c r="AB41" i="7" s="1"/>
  <c r="AC41" i="6"/>
  <c r="AC41" i="7" s="1"/>
  <c r="AD41" i="6"/>
  <c r="AD41" i="7" s="1"/>
  <c r="AE41" i="6"/>
  <c r="AE41" i="7" s="1"/>
  <c r="AF41" i="6"/>
  <c r="AF41" i="7" s="1"/>
  <c r="AG41" i="6"/>
  <c r="AG41" i="7" s="1"/>
  <c r="AH41" i="6"/>
  <c r="AI41" i="6"/>
  <c r="AJ41" i="6"/>
  <c r="AJ41" i="7" s="1"/>
  <c r="AK41" i="6"/>
  <c r="AK41" i="7" s="1"/>
  <c r="AL41" i="6"/>
  <c r="AL41" i="7" s="1"/>
  <c r="AM41" i="6"/>
  <c r="AM41" i="7" s="1"/>
  <c r="AN41" i="6"/>
  <c r="AN41" i="7" s="1"/>
  <c r="AO41" i="6"/>
  <c r="AO41" i="7" s="1"/>
  <c r="AP41" i="6"/>
  <c r="AQ41" i="6"/>
  <c r="AR41" i="6"/>
  <c r="AR41" i="7" s="1"/>
  <c r="AS41" i="6"/>
  <c r="AT41" i="6"/>
  <c r="AU41" i="6"/>
  <c r="AV41" i="6"/>
  <c r="AW41" i="6"/>
  <c r="AX41" i="6"/>
  <c r="AY41" i="6"/>
  <c r="AZ41" i="6"/>
  <c r="BA41" i="6"/>
  <c r="BB41" i="6"/>
  <c r="BC41" i="6"/>
  <c r="BD41" i="6"/>
  <c r="BE41" i="6"/>
  <c r="BF41" i="6"/>
  <c r="BG41" i="6"/>
  <c r="BH41" i="6"/>
  <c r="BH41" i="7" s="1"/>
  <c r="BI41" i="6"/>
  <c r="BI41" i="7" s="1"/>
  <c r="BJ41" i="6"/>
  <c r="BJ41" i="7" s="1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AM42" i="6"/>
  <c r="AN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BG42" i="6"/>
  <c r="BH42" i="6"/>
  <c r="BI42" i="6"/>
  <c r="BJ42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AL43" i="6"/>
  <c r="AM43" i="6"/>
  <c r="AN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BG43" i="6"/>
  <c r="BH43" i="6"/>
  <c r="BI43" i="6"/>
  <c r="BJ43" i="6"/>
  <c r="C44" i="6"/>
  <c r="C44" i="7" s="1"/>
  <c r="D44" i="6"/>
  <c r="D44" i="7" s="1"/>
  <c r="E44" i="6"/>
  <c r="E44" i="7" s="1"/>
  <c r="F44" i="6"/>
  <c r="F44" i="7" s="1"/>
  <c r="G44" i="6"/>
  <c r="G44" i="7" s="1"/>
  <c r="H44" i="6"/>
  <c r="H44" i="7" s="1"/>
  <c r="I44" i="6"/>
  <c r="I44" i="7" s="1"/>
  <c r="J44" i="6"/>
  <c r="J44" i="7" s="1"/>
  <c r="K44" i="6"/>
  <c r="K44" i="7" s="1"/>
  <c r="L44" i="6"/>
  <c r="L44" i="7" s="1"/>
  <c r="M44" i="6"/>
  <c r="M44" i="7" s="1"/>
  <c r="N44" i="6"/>
  <c r="N44" i="7" s="1"/>
  <c r="O44" i="6"/>
  <c r="O44" i="7" s="1"/>
  <c r="P44" i="6"/>
  <c r="P44" i="7" s="1"/>
  <c r="Q44" i="6"/>
  <c r="Q44" i="7" s="1"/>
  <c r="R44" i="6"/>
  <c r="S44" i="6"/>
  <c r="S44" i="7" s="1"/>
  <c r="T44" i="6"/>
  <c r="T44" i="7" s="1"/>
  <c r="U44" i="6"/>
  <c r="U44" i="7" s="1"/>
  <c r="V44" i="6"/>
  <c r="V44" i="7" s="1"/>
  <c r="W44" i="6"/>
  <c r="W44" i="7" s="1"/>
  <c r="X44" i="6"/>
  <c r="X44" i="7" s="1"/>
  <c r="Y44" i="6"/>
  <c r="Y44" i="7" s="1"/>
  <c r="Z44" i="6"/>
  <c r="Z44" i="7" s="1"/>
  <c r="AA44" i="6"/>
  <c r="AA44" i="7" s="1"/>
  <c r="AB44" i="6"/>
  <c r="AB44" i="7" s="1"/>
  <c r="AC44" i="6"/>
  <c r="AC44" i="7" s="1"/>
  <c r="AD44" i="6"/>
  <c r="AD44" i="7" s="1"/>
  <c r="AE44" i="6"/>
  <c r="AE44" i="7" s="1"/>
  <c r="AF44" i="6"/>
  <c r="AF44" i="7" s="1"/>
  <c r="AG44" i="6"/>
  <c r="AG44" i="7" s="1"/>
  <c r="AH44" i="6"/>
  <c r="AI44" i="6"/>
  <c r="AJ44" i="6"/>
  <c r="AJ44" i="7" s="1"/>
  <c r="AK44" i="6"/>
  <c r="AK44" i="7" s="1"/>
  <c r="AL44" i="6"/>
  <c r="AL44" i="7" s="1"/>
  <c r="AM44" i="6"/>
  <c r="AM44" i="7" s="1"/>
  <c r="AN44" i="6"/>
  <c r="AN44" i="7" s="1"/>
  <c r="AO44" i="6"/>
  <c r="AO44" i="7" s="1"/>
  <c r="AP44" i="6"/>
  <c r="AQ44" i="6"/>
  <c r="AR44" i="6"/>
  <c r="AR44" i="7" s="1"/>
  <c r="AS44" i="6"/>
  <c r="AT44" i="6"/>
  <c r="AU44" i="6"/>
  <c r="AV44" i="6"/>
  <c r="AW44" i="6"/>
  <c r="AX44" i="6"/>
  <c r="AY44" i="6"/>
  <c r="AZ44" i="6"/>
  <c r="BA44" i="6"/>
  <c r="BB44" i="6"/>
  <c r="BC44" i="6"/>
  <c r="BD44" i="6"/>
  <c r="BE44" i="6"/>
  <c r="BF44" i="6"/>
  <c r="BG44" i="6"/>
  <c r="BG44" i="7" s="1"/>
  <c r="BH44" i="6"/>
  <c r="BH44" i="7" s="1"/>
  <c r="BI44" i="6"/>
  <c r="BI44" i="7" s="1"/>
  <c r="BJ44" i="6"/>
  <c r="BJ44" i="7" s="1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L47" i="6"/>
  <c r="AM47" i="6"/>
  <c r="AN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B47" i="6"/>
  <c r="BC47" i="6"/>
  <c r="BD47" i="6"/>
  <c r="BE47" i="6"/>
  <c r="BF47" i="6"/>
  <c r="BG47" i="6"/>
  <c r="BH47" i="6"/>
  <c r="BI47" i="6"/>
  <c r="BJ47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L48" i="6"/>
  <c r="AM48" i="6"/>
  <c r="AN48" i="6"/>
  <c r="AO48" i="6"/>
  <c r="AP48" i="6"/>
  <c r="AQ48" i="6"/>
  <c r="AR48" i="6"/>
  <c r="AS48" i="6"/>
  <c r="AT48" i="6"/>
  <c r="AU48" i="6"/>
  <c r="AV48" i="6"/>
  <c r="AW48" i="6"/>
  <c r="AX48" i="6"/>
  <c r="AY48" i="6"/>
  <c r="AZ48" i="6"/>
  <c r="BA48" i="6"/>
  <c r="BB48" i="6"/>
  <c r="BC48" i="6"/>
  <c r="BD48" i="6"/>
  <c r="BE48" i="6"/>
  <c r="BF48" i="6"/>
  <c r="BG48" i="6"/>
  <c r="BH48" i="6"/>
  <c r="BI48" i="6"/>
  <c r="BJ48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AL49" i="6"/>
  <c r="AM49" i="6"/>
  <c r="AN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BG49" i="6"/>
  <c r="BH49" i="6"/>
  <c r="BI49" i="6"/>
  <c r="BJ49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F50" i="6"/>
  <c r="AG50" i="6"/>
  <c r="AH50" i="6"/>
  <c r="AI50" i="6"/>
  <c r="AJ50" i="6"/>
  <c r="AK50" i="6"/>
  <c r="AL50" i="6"/>
  <c r="AM50" i="6"/>
  <c r="AN50" i="6"/>
  <c r="AO50" i="6"/>
  <c r="AP50" i="6"/>
  <c r="AQ50" i="6"/>
  <c r="AR50" i="6"/>
  <c r="AS50" i="6"/>
  <c r="AT50" i="6"/>
  <c r="AU50" i="6"/>
  <c r="AV50" i="6"/>
  <c r="AW50" i="6"/>
  <c r="AX50" i="6"/>
  <c r="AY50" i="6"/>
  <c r="AZ50" i="6"/>
  <c r="BA50" i="6"/>
  <c r="BB50" i="6"/>
  <c r="BC50" i="6"/>
  <c r="BD50" i="6"/>
  <c r="BE50" i="6"/>
  <c r="BF50" i="6"/>
  <c r="BG50" i="6"/>
  <c r="BH50" i="6"/>
  <c r="BI50" i="6"/>
  <c r="BJ50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BG51" i="6"/>
  <c r="BH51" i="6"/>
  <c r="BI51" i="6"/>
  <c r="BJ51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BG52" i="6"/>
  <c r="BH52" i="6"/>
  <c r="BI52" i="6"/>
  <c r="BJ52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AO53" i="6"/>
  <c r="AP53" i="6"/>
  <c r="AQ53" i="6"/>
  <c r="AR53" i="6"/>
  <c r="AS53" i="6"/>
  <c r="AT53" i="6"/>
  <c r="AU53" i="6"/>
  <c r="AV53" i="6"/>
  <c r="AW53" i="6"/>
  <c r="AX53" i="6"/>
  <c r="AY53" i="6"/>
  <c r="AZ53" i="6"/>
  <c r="BA53" i="6"/>
  <c r="BB53" i="6"/>
  <c r="BC53" i="6"/>
  <c r="BD53" i="6"/>
  <c r="BE53" i="6"/>
  <c r="BF53" i="6"/>
  <c r="BG53" i="6"/>
  <c r="BH53" i="6"/>
  <c r="BI53" i="6"/>
  <c r="BJ53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AO54" i="6"/>
  <c r="AP54" i="6"/>
  <c r="AQ54" i="6"/>
  <c r="AR54" i="6"/>
  <c r="AS54" i="6"/>
  <c r="AT54" i="6"/>
  <c r="AU54" i="6"/>
  <c r="AV54" i="6"/>
  <c r="AW54" i="6"/>
  <c r="AX54" i="6"/>
  <c r="AY54" i="6"/>
  <c r="AZ54" i="6"/>
  <c r="BA54" i="6"/>
  <c r="BB54" i="6"/>
  <c r="BC54" i="6"/>
  <c r="BD54" i="6"/>
  <c r="BE54" i="6"/>
  <c r="BF54" i="6"/>
  <c r="BG54" i="6"/>
  <c r="BH54" i="6"/>
  <c r="BI54" i="6"/>
  <c r="BJ54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AV56" i="6"/>
  <c r="AW56" i="6"/>
  <c r="AX56" i="6"/>
  <c r="AY56" i="6"/>
  <c r="AZ56" i="6"/>
  <c r="BA56" i="6"/>
  <c r="BB56" i="6"/>
  <c r="BC56" i="6"/>
  <c r="BD56" i="6"/>
  <c r="BE56" i="6"/>
  <c r="BF56" i="6"/>
  <c r="BG56" i="6"/>
  <c r="BH56" i="6"/>
  <c r="BI56" i="6"/>
  <c r="BJ56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AP57" i="6"/>
  <c r="AQ57" i="6"/>
  <c r="AR57" i="6"/>
  <c r="AS57" i="6"/>
  <c r="AT57" i="6"/>
  <c r="AU57" i="6"/>
  <c r="AV57" i="6"/>
  <c r="AW57" i="6"/>
  <c r="AX57" i="6"/>
  <c r="AY57" i="6"/>
  <c r="AZ57" i="6"/>
  <c r="BA57" i="6"/>
  <c r="BB57" i="6"/>
  <c r="BC57" i="6"/>
  <c r="BD57" i="6"/>
  <c r="BE57" i="6"/>
  <c r="BF57" i="6"/>
  <c r="BG57" i="6"/>
  <c r="BH57" i="6"/>
  <c r="BI57" i="6"/>
  <c r="BJ57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AK58" i="6"/>
  <c r="AL58" i="6"/>
  <c r="AM58" i="6"/>
  <c r="AN58" i="6"/>
  <c r="AO58" i="6"/>
  <c r="AP58" i="6"/>
  <c r="AQ58" i="6"/>
  <c r="AR58" i="6"/>
  <c r="AS58" i="6"/>
  <c r="AT58" i="6"/>
  <c r="AU58" i="6"/>
  <c r="AV58" i="6"/>
  <c r="AW58" i="6"/>
  <c r="AX58" i="6"/>
  <c r="AY58" i="6"/>
  <c r="AZ58" i="6"/>
  <c r="BA58" i="6"/>
  <c r="BB58" i="6"/>
  <c r="BC58" i="6"/>
  <c r="BD58" i="6"/>
  <c r="BE58" i="6"/>
  <c r="BF58" i="6"/>
  <c r="BG58" i="6"/>
  <c r="BH58" i="6"/>
  <c r="BI58" i="6"/>
  <c r="BJ58" i="6"/>
  <c r="C59" i="6"/>
  <c r="C59" i="7" s="1"/>
  <c r="D59" i="6"/>
  <c r="D59" i="7" s="1"/>
  <c r="E59" i="6"/>
  <c r="E59" i="7" s="1"/>
  <c r="F59" i="6"/>
  <c r="G59" i="6"/>
  <c r="G59" i="7" s="1"/>
  <c r="H59" i="6"/>
  <c r="H59" i="7" s="1"/>
  <c r="I59" i="6"/>
  <c r="I59" i="7" s="1"/>
  <c r="J59" i="6"/>
  <c r="J59" i="7" s="1"/>
  <c r="K59" i="6"/>
  <c r="K59" i="7" s="1"/>
  <c r="L59" i="6"/>
  <c r="L59" i="7" s="1"/>
  <c r="M59" i="6"/>
  <c r="M59" i="7" s="1"/>
  <c r="N59" i="6"/>
  <c r="O59" i="6"/>
  <c r="O59" i="7" s="1"/>
  <c r="P59" i="6"/>
  <c r="P59" i="7" s="1"/>
  <c r="Q59" i="6"/>
  <c r="Q59" i="7" s="1"/>
  <c r="R59" i="6"/>
  <c r="S59" i="6"/>
  <c r="S59" i="7" s="1"/>
  <c r="T59" i="6"/>
  <c r="T59" i="7" s="1"/>
  <c r="U59" i="6"/>
  <c r="U59" i="7" s="1"/>
  <c r="V59" i="6"/>
  <c r="W59" i="6"/>
  <c r="W59" i="7" s="1"/>
  <c r="X59" i="6"/>
  <c r="X59" i="7" s="1"/>
  <c r="Y59" i="6"/>
  <c r="Y59" i="7" s="1"/>
  <c r="Z59" i="6"/>
  <c r="AA59" i="6"/>
  <c r="AA59" i="7" s="1"/>
  <c r="AB59" i="6"/>
  <c r="AB59" i="7" s="1"/>
  <c r="AC59" i="6"/>
  <c r="AC59" i="7" s="1"/>
  <c r="AD59" i="6"/>
  <c r="AE59" i="6"/>
  <c r="AE59" i="7" s="1"/>
  <c r="AF59" i="6"/>
  <c r="AF59" i="7" s="1"/>
  <c r="AG59" i="6"/>
  <c r="AG59" i="7" s="1"/>
  <c r="AH59" i="6"/>
  <c r="AI59" i="6"/>
  <c r="AJ59" i="6"/>
  <c r="AJ59" i="7" s="1"/>
  <c r="AK59" i="6"/>
  <c r="AK59" i="7" s="1"/>
  <c r="AL59" i="6"/>
  <c r="AL59" i="7" s="1"/>
  <c r="AM59" i="6"/>
  <c r="AM59" i="7" s="1"/>
  <c r="AN59" i="6"/>
  <c r="AN59" i="7" s="1"/>
  <c r="AO59" i="6"/>
  <c r="AO59" i="7" s="1"/>
  <c r="AP59" i="6"/>
  <c r="AQ59" i="6"/>
  <c r="AR59" i="6"/>
  <c r="AR59" i="7" s="1"/>
  <c r="AS59" i="6"/>
  <c r="AT59" i="6"/>
  <c r="AU59" i="6"/>
  <c r="AV59" i="6"/>
  <c r="AW59" i="6"/>
  <c r="AX59" i="6"/>
  <c r="AY59" i="6"/>
  <c r="AZ59" i="6"/>
  <c r="BA59" i="6"/>
  <c r="BB59" i="6"/>
  <c r="BC59" i="6"/>
  <c r="BD59" i="6"/>
  <c r="BE59" i="6"/>
  <c r="BF59" i="6"/>
  <c r="BG59" i="6"/>
  <c r="BG59" i="7" s="1"/>
  <c r="BH59" i="6"/>
  <c r="BH59" i="7" s="1"/>
  <c r="BI59" i="6"/>
  <c r="BI59" i="7" s="1"/>
  <c r="BJ59" i="6"/>
  <c r="C60" i="6"/>
  <c r="C60" i="7" s="1"/>
  <c r="D60" i="6"/>
  <c r="D60" i="7" s="1"/>
  <c r="E60" i="6"/>
  <c r="E60" i="7" s="1"/>
  <c r="F60" i="6"/>
  <c r="G60" i="6"/>
  <c r="G60" i="7" s="1"/>
  <c r="H60" i="6"/>
  <c r="H60" i="7" s="1"/>
  <c r="I60" i="6"/>
  <c r="I60" i="7" s="1"/>
  <c r="J60" i="6"/>
  <c r="K60" i="6"/>
  <c r="K60" i="7" s="1"/>
  <c r="L60" i="6"/>
  <c r="L60" i="7" s="1"/>
  <c r="M60" i="6"/>
  <c r="M60" i="7" s="1"/>
  <c r="N60" i="6"/>
  <c r="O60" i="6"/>
  <c r="O60" i="7" s="1"/>
  <c r="P60" i="6"/>
  <c r="P60" i="7" s="1"/>
  <c r="Q60" i="6"/>
  <c r="Q60" i="7" s="1"/>
  <c r="R60" i="6"/>
  <c r="S60" i="6"/>
  <c r="S60" i="7" s="1"/>
  <c r="T60" i="6"/>
  <c r="T60" i="7" s="1"/>
  <c r="U60" i="6"/>
  <c r="U60" i="7" s="1"/>
  <c r="V60" i="6"/>
  <c r="W60" i="6"/>
  <c r="W60" i="7" s="1"/>
  <c r="X60" i="6"/>
  <c r="X60" i="7" s="1"/>
  <c r="Y60" i="6"/>
  <c r="Y60" i="7" s="1"/>
  <c r="Z60" i="6"/>
  <c r="AA60" i="6"/>
  <c r="AA60" i="7" s="1"/>
  <c r="AB60" i="6"/>
  <c r="AB60" i="7" s="1"/>
  <c r="AC60" i="6"/>
  <c r="AC60" i="7" s="1"/>
  <c r="AD60" i="6"/>
  <c r="AE60" i="6"/>
  <c r="AE60" i="7" s="1"/>
  <c r="AF60" i="6"/>
  <c r="AF60" i="7" s="1"/>
  <c r="AG60" i="6"/>
  <c r="AG60" i="7" s="1"/>
  <c r="AH60" i="6"/>
  <c r="AI60" i="6"/>
  <c r="AJ60" i="6"/>
  <c r="AJ60" i="7" s="1"/>
  <c r="AK60" i="6"/>
  <c r="AK60" i="7" s="1"/>
  <c r="AL60" i="6"/>
  <c r="AL60" i="7" s="1"/>
  <c r="AM60" i="6"/>
  <c r="AM60" i="7" s="1"/>
  <c r="AN60" i="6"/>
  <c r="AN60" i="7" s="1"/>
  <c r="AO60" i="6"/>
  <c r="AO60" i="7" s="1"/>
  <c r="AP60" i="6"/>
  <c r="AQ60" i="6"/>
  <c r="AR60" i="6"/>
  <c r="AR60" i="7" s="1"/>
  <c r="AS60" i="6"/>
  <c r="AT60" i="6"/>
  <c r="AU60" i="6"/>
  <c r="AV60" i="6"/>
  <c r="AW60" i="6"/>
  <c r="AX60" i="6"/>
  <c r="AY60" i="6"/>
  <c r="AZ60" i="6"/>
  <c r="BA60" i="6"/>
  <c r="BB60" i="6"/>
  <c r="BC60" i="6"/>
  <c r="BD60" i="6"/>
  <c r="BE60" i="6"/>
  <c r="BF60" i="6"/>
  <c r="BG60" i="6"/>
  <c r="BG60" i="7" s="1"/>
  <c r="BH60" i="6"/>
  <c r="BH60" i="7" s="1"/>
  <c r="BI60" i="6"/>
  <c r="BI60" i="7" s="1"/>
  <c r="BJ60" i="6"/>
  <c r="C61" i="6"/>
  <c r="C61" i="7" s="1"/>
  <c r="D61" i="6"/>
  <c r="D61" i="7" s="1"/>
  <c r="E61" i="6"/>
  <c r="E61" i="7" s="1"/>
  <c r="F61" i="6"/>
  <c r="G61" i="6"/>
  <c r="G61" i="7" s="1"/>
  <c r="H61" i="6"/>
  <c r="H61" i="7" s="1"/>
  <c r="I61" i="6"/>
  <c r="I61" i="7" s="1"/>
  <c r="J61" i="6"/>
  <c r="K61" i="6"/>
  <c r="K61" i="7" s="1"/>
  <c r="L61" i="6"/>
  <c r="L61" i="7" s="1"/>
  <c r="M61" i="6"/>
  <c r="M61" i="7" s="1"/>
  <c r="N61" i="6"/>
  <c r="O61" i="6"/>
  <c r="O61" i="7" s="1"/>
  <c r="P61" i="6"/>
  <c r="P61" i="7" s="1"/>
  <c r="Q61" i="6"/>
  <c r="Q61" i="7" s="1"/>
  <c r="R61" i="6"/>
  <c r="S61" i="6"/>
  <c r="S61" i="7" s="1"/>
  <c r="T61" i="6"/>
  <c r="T61" i="7" s="1"/>
  <c r="U61" i="6"/>
  <c r="U61" i="7" s="1"/>
  <c r="V61" i="6"/>
  <c r="W61" i="6"/>
  <c r="W61" i="7" s="1"/>
  <c r="X61" i="6"/>
  <c r="X61" i="7" s="1"/>
  <c r="Y61" i="6"/>
  <c r="Y61" i="7" s="1"/>
  <c r="Z61" i="6"/>
  <c r="AA61" i="6"/>
  <c r="AA61" i="7" s="1"/>
  <c r="AB61" i="6"/>
  <c r="AB61" i="7" s="1"/>
  <c r="AC61" i="6"/>
  <c r="AC61" i="7" s="1"/>
  <c r="AD61" i="6"/>
  <c r="AE61" i="6"/>
  <c r="AE61" i="7" s="1"/>
  <c r="AF61" i="6"/>
  <c r="AF61" i="7" s="1"/>
  <c r="AG61" i="6"/>
  <c r="AG61" i="7" s="1"/>
  <c r="AH61" i="6"/>
  <c r="AI61" i="6"/>
  <c r="AJ61" i="6"/>
  <c r="AJ61" i="7" s="1"/>
  <c r="AK61" i="6"/>
  <c r="AK61" i="7" s="1"/>
  <c r="AL61" i="6"/>
  <c r="AL61" i="7" s="1"/>
  <c r="AM61" i="6"/>
  <c r="AM61" i="7" s="1"/>
  <c r="AN61" i="6"/>
  <c r="AN61" i="7" s="1"/>
  <c r="AO61" i="6"/>
  <c r="AO61" i="7" s="1"/>
  <c r="AP61" i="6"/>
  <c r="AQ61" i="6"/>
  <c r="AR61" i="6"/>
  <c r="AR61" i="7" s="1"/>
  <c r="AS61" i="6"/>
  <c r="AT61" i="6"/>
  <c r="AU61" i="6"/>
  <c r="AV61" i="6"/>
  <c r="AW61" i="6"/>
  <c r="AX61" i="6"/>
  <c r="AY61" i="6"/>
  <c r="AZ61" i="6"/>
  <c r="BA61" i="6"/>
  <c r="BB61" i="6"/>
  <c r="BC61" i="6"/>
  <c r="BD61" i="6"/>
  <c r="BE61" i="6"/>
  <c r="BF61" i="6"/>
  <c r="BG61" i="6"/>
  <c r="BG61" i="7" s="1"/>
  <c r="BH61" i="6"/>
  <c r="BH61" i="7" s="1"/>
  <c r="BI61" i="6"/>
  <c r="BI61" i="7" s="1"/>
  <c r="BJ61" i="6"/>
  <c r="C62" i="6"/>
  <c r="D62" i="6"/>
  <c r="D62" i="7" s="1"/>
  <c r="E62" i="6"/>
  <c r="E62" i="7" s="1"/>
  <c r="F62" i="6"/>
  <c r="G62" i="6"/>
  <c r="G62" i="7" s="1"/>
  <c r="H62" i="6"/>
  <c r="H62" i="7" s="1"/>
  <c r="I62" i="6"/>
  <c r="I62" i="7" s="1"/>
  <c r="J62" i="6"/>
  <c r="K62" i="6"/>
  <c r="K62" i="7" s="1"/>
  <c r="L62" i="6"/>
  <c r="L62" i="7" s="1"/>
  <c r="M62" i="6"/>
  <c r="M62" i="7" s="1"/>
  <c r="N62" i="6"/>
  <c r="O62" i="6"/>
  <c r="O62" i="7" s="1"/>
  <c r="P62" i="6"/>
  <c r="P62" i="7" s="1"/>
  <c r="Q62" i="6"/>
  <c r="Q62" i="7" s="1"/>
  <c r="R62" i="6"/>
  <c r="S62" i="6"/>
  <c r="S62" i="7" s="1"/>
  <c r="T62" i="6"/>
  <c r="T62" i="7" s="1"/>
  <c r="U62" i="6"/>
  <c r="U62" i="7" s="1"/>
  <c r="V62" i="6"/>
  <c r="W62" i="6"/>
  <c r="W62" i="7" s="1"/>
  <c r="X62" i="6"/>
  <c r="X62" i="7" s="1"/>
  <c r="Y62" i="6"/>
  <c r="Y62" i="7" s="1"/>
  <c r="Z62" i="6"/>
  <c r="AA62" i="6"/>
  <c r="AA62" i="7" s="1"/>
  <c r="AB62" i="6"/>
  <c r="AB62" i="7" s="1"/>
  <c r="AC62" i="6"/>
  <c r="AC62" i="7" s="1"/>
  <c r="AD62" i="6"/>
  <c r="AE62" i="6"/>
  <c r="AE62" i="7" s="1"/>
  <c r="AF62" i="6"/>
  <c r="AF62" i="7" s="1"/>
  <c r="AG62" i="6"/>
  <c r="AG62" i="7" s="1"/>
  <c r="AH62" i="6"/>
  <c r="AI62" i="6"/>
  <c r="AJ62" i="6"/>
  <c r="AJ62" i="7" s="1"/>
  <c r="AK62" i="6"/>
  <c r="AK62" i="7" s="1"/>
  <c r="AL62" i="6"/>
  <c r="AL62" i="7" s="1"/>
  <c r="AM62" i="6"/>
  <c r="AM62" i="7" s="1"/>
  <c r="AN62" i="6"/>
  <c r="AN62" i="7" s="1"/>
  <c r="AO62" i="6"/>
  <c r="AO62" i="7" s="1"/>
  <c r="AP62" i="6"/>
  <c r="AQ62" i="6"/>
  <c r="AR62" i="6"/>
  <c r="AR62" i="7" s="1"/>
  <c r="AS62" i="6"/>
  <c r="AT62" i="6"/>
  <c r="AU62" i="6"/>
  <c r="AV62" i="6"/>
  <c r="AW62" i="6"/>
  <c r="AX62" i="6"/>
  <c r="AY62" i="6"/>
  <c r="AZ62" i="6"/>
  <c r="BA62" i="6"/>
  <c r="BB62" i="6"/>
  <c r="BC62" i="6"/>
  <c r="BD62" i="6"/>
  <c r="BE62" i="6"/>
  <c r="BF62" i="6"/>
  <c r="BG62" i="6"/>
  <c r="BG62" i="7" s="1"/>
  <c r="BH62" i="6"/>
  <c r="BH62" i="7" s="1"/>
  <c r="BI62" i="6"/>
  <c r="BI62" i="7" s="1"/>
  <c r="BJ62" i="6"/>
  <c r="D3" i="6"/>
  <c r="D3" i="7" s="1"/>
  <c r="E3" i="6"/>
  <c r="E3" i="7" s="1"/>
  <c r="F3" i="6"/>
  <c r="F3" i="7" s="1"/>
  <c r="G3" i="6"/>
  <c r="H3" i="6"/>
  <c r="H3" i="7" s="1"/>
  <c r="I3" i="6"/>
  <c r="I3" i="7" s="1"/>
  <c r="J3" i="6"/>
  <c r="J3" i="7" s="1"/>
  <c r="K3" i="6"/>
  <c r="L3" i="6"/>
  <c r="L3" i="7" s="1"/>
  <c r="M3" i="6"/>
  <c r="M3" i="7" s="1"/>
  <c r="N3" i="6"/>
  <c r="N3" i="7" s="1"/>
  <c r="O3" i="6"/>
  <c r="P3" i="6"/>
  <c r="P3" i="7" s="1"/>
  <c r="Q3" i="6"/>
  <c r="Q3" i="7" s="1"/>
  <c r="R3" i="6"/>
  <c r="S3" i="6"/>
  <c r="T3" i="6"/>
  <c r="T3" i="7" s="1"/>
  <c r="U3" i="6"/>
  <c r="U3" i="7" s="1"/>
  <c r="V3" i="6"/>
  <c r="V3" i="7" s="1"/>
  <c r="W3" i="6"/>
  <c r="X3" i="6"/>
  <c r="X3" i="7" s="1"/>
  <c r="Y3" i="6"/>
  <c r="Y3" i="7" s="1"/>
  <c r="Z3" i="6"/>
  <c r="Z3" i="7" s="1"/>
  <c r="AA3" i="6"/>
  <c r="AB3" i="6"/>
  <c r="AB3" i="7" s="1"/>
  <c r="AC3" i="6"/>
  <c r="AC3" i="7" s="1"/>
  <c r="AD3" i="6"/>
  <c r="AD3" i="7" s="1"/>
  <c r="AE3" i="6"/>
  <c r="AF3" i="6"/>
  <c r="AF3" i="7" s="1"/>
  <c r="AG3" i="6"/>
  <c r="AG3" i="7" s="1"/>
  <c r="AH3" i="6"/>
  <c r="AI3" i="6"/>
  <c r="AJ3" i="6"/>
  <c r="AJ3" i="7" s="1"/>
  <c r="AK3" i="6"/>
  <c r="AK3" i="7" s="1"/>
  <c r="AL3" i="6"/>
  <c r="AL3" i="7" s="1"/>
  <c r="AM3" i="6"/>
  <c r="AN3" i="6"/>
  <c r="AN3" i="7" s="1"/>
  <c r="AO3" i="6"/>
  <c r="AO3" i="7" s="1"/>
  <c r="AP3" i="6"/>
  <c r="AQ3" i="6"/>
  <c r="AR3" i="6"/>
  <c r="AR3" i="7" s="1"/>
  <c r="AS3" i="6"/>
  <c r="AT3" i="6"/>
  <c r="AU3" i="6"/>
  <c r="AV3" i="6"/>
  <c r="AW3" i="6"/>
  <c r="AX3" i="6"/>
  <c r="AY3" i="6"/>
  <c r="AZ3" i="6"/>
  <c r="BA3" i="6"/>
  <c r="BB3" i="6"/>
  <c r="BC3" i="6"/>
  <c r="BD3" i="6"/>
  <c r="BE3" i="6"/>
  <c r="BF3" i="6"/>
  <c r="BG3" i="6"/>
  <c r="BG3" i="7" s="1"/>
  <c r="BH3" i="6"/>
  <c r="BH3" i="7" s="1"/>
  <c r="BI3" i="6"/>
  <c r="BI3" i="7" s="1"/>
  <c r="BJ3" i="6"/>
  <c r="BJ3" i="7" s="1"/>
  <c r="C3" i="6"/>
  <c r="C4" i="3"/>
  <c r="D4" i="3"/>
  <c r="D4" i="4" s="1"/>
  <c r="E4" i="3"/>
  <c r="E4" i="4" s="1"/>
  <c r="F4" i="3"/>
  <c r="F4" i="4" s="1"/>
  <c r="G4" i="3"/>
  <c r="G4" i="4" s="1"/>
  <c r="H4" i="4"/>
  <c r="I4" i="3"/>
  <c r="I4" i="4" s="1"/>
  <c r="J4" i="3"/>
  <c r="K4" i="3"/>
  <c r="L4" i="3"/>
  <c r="L4" i="4" s="1"/>
  <c r="M4" i="3"/>
  <c r="M4" i="4" s="1"/>
  <c r="O4" i="3"/>
  <c r="P4" i="3"/>
  <c r="Q4" i="3"/>
  <c r="R4" i="3"/>
  <c r="R4" i="4" s="1"/>
  <c r="S4" i="3"/>
  <c r="S4" i="4" s="1"/>
  <c r="T4" i="3"/>
  <c r="T4" i="4" s="1"/>
  <c r="U4" i="3"/>
  <c r="U4" i="4" s="1"/>
  <c r="V4" i="3"/>
  <c r="V4" i="4" s="1"/>
  <c r="W4" i="3"/>
  <c r="W4" i="4" s="1"/>
  <c r="X4" i="3"/>
  <c r="X4" i="4" s="1"/>
  <c r="Y4" i="3"/>
  <c r="Y4" i="4" s="1"/>
  <c r="Z4" i="3"/>
  <c r="AA4" i="3"/>
  <c r="AB4" i="3"/>
  <c r="AC4" i="3"/>
  <c r="AD4" i="3"/>
  <c r="AE4" i="3"/>
  <c r="AF4" i="3"/>
  <c r="AG4" i="3"/>
  <c r="AH4" i="3"/>
  <c r="AI4" i="3"/>
  <c r="AJ4" i="3"/>
  <c r="AK4" i="3"/>
  <c r="AK4" i="4" s="1"/>
  <c r="AL4" i="3"/>
  <c r="AL4" i="4" s="1"/>
  <c r="AM4" i="3"/>
  <c r="AN4" i="3"/>
  <c r="C5" i="3"/>
  <c r="D5" i="3"/>
  <c r="D5" i="4" s="1"/>
  <c r="E5" i="3"/>
  <c r="E5" i="4" s="1"/>
  <c r="F5" i="3"/>
  <c r="F5" i="4" s="1"/>
  <c r="G5" i="3"/>
  <c r="G5" i="4" s="1"/>
  <c r="H5" i="3"/>
  <c r="H5" i="4" s="1"/>
  <c r="I5" i="3"/>
  <c r="I5" i="4" s="1"/>
  <c r="J5" i="3"/>
  <c r="K5" i="3"/>
  <c r="L5" i="3"/>
  <c r="L5" i="4" s="1"/>
  <c r="M5" i="3"/>
  <c r="N5" i="3"/>
  <c r="O5" i="3"/>
  <c r="P5" i="3"/>
  <c r="Q5" i="3"/>
  <c r="R5" i="3"/>
  <c r="R5" i="4" s="1"/>
  <c r="S5" i="3"/>
  <c r="S5" i="4" s="1"/>
  <c r="T5" i="3"/>
  <c r="T5" i="4" s="1"/>
  <c r="U5" i="3"/>
  <c r="V5" i="3"/>
  <c r="V5" i="4" s="1"/>
  <c r="W5" i="3"/>
  <c r="W5" i="4" s="1"/>
  <c r="X5" i="3"/>
  <c r="X5" i="4" s="1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K5" i="4" s="1"/>
  <c r="AL5" i="3"/>
  <c r="AL5" i="4" s="1"/>
  <c r="AM5" i="3"/>
  <c r="AN5" i="3"/>
  <c r="C6" i="3"/>
  <c r="C6" i="4" s="1"/>
  <c r="D6" i="3"/>
  <c r="D6" i="4" s="1"/>
  <c r="E6" i="3"/>
  <c r="E6" i="4" s="1"/>
  <c r="F6" i="3"/>
  <c r="F6" i="4" s="1"/>
  <c r="G6" i="3"/>
  <c r="G6" i="4" s="1"/>
  <c r="H6" i="3"/>
  <c r="H6" i="4" s="1"/>
  <c r="I6" i="3"/>
  <c r="I6" i="4" s="1"/>
  <c r="J6" i="3"/>
  <c r="K6" i="3"/>
  <c r="L6" i="3"/>
  <c r="L6" i="4" s="1"/>
  <c r="M6" i="3"/>
  <c r="M6" i="4" s="1"/>
  <c r="N6" i="3"/>
  <c r="O6" i="3"/>
  <c r="P6" i="3"/>
  <c r="Q6" i="3"/>
  <c r="R6" i="3"/>
  <c r="R6" i="4" s="1"/>
  <c r="S6" i="3"/>
  <c r="S6" i="4" s="1"/>
  <c r="T6" i="3"/>
  <c r="T6" i="4" s="1"/>
  <c r="U6" i="3"/>
  <c r="U6" i="4" s="1"/>
  <c r="V6" i="3"/>
  <c r="V6" i="4" s="1"/>
  <c r="W6" i="3"/>
  <c r="W6" i="4" s="1"/>
  <c r="X6" i="3"/>
  <c r="X6" i="4" s="1"/>
  <c r="Y6" i="3"/>
  <c r="Y6" i="4" s="1"/>
  <c r="Z6" i="3"/>
  <c r="AA6" i="3"/>
  <c r="AB6" i="3"/>
  <c r="AC6" i="3"/>
  <c r="AD6" i="3"/>
  <c r="AE6" i="3"/>
  <c r="AF6" i="3"/>
  <c r="AG6" i="3"/>
  <c r="AH6" i="3"/>
  <c r="AI6" i="3"/>
  <c r="AJ6" i="3"/>
  <c r="AK6" i="3"/>
  <c r="AK6" i="4" s="1"/>
  <c r="AL6" i="3"/>
  <c r="AL6" i="4" s="1"/>
  <c r="AM6" i="3"/>
  <c r="AN6" i="3"/>
  <c r="C7" i="3"/>
  <c r="D7" i="3"/>
  <c r="D7" i="4" s="1"/>
  <c r="E7" i="3"/>
  <c r="F7" i="3"/>
  <c r="F7" i="4" s="1"/>
  <c r="G7" i="3"/>
  <c r="G7" i="4" s="1"/>
  <c r="H7" i="3"/>
  <c r="H7" i="4" s="1"/>
  <c r="I7" i="3"/>
  <c r="J7" i="3"/>
  <c r="K7" i="3"/>
  <c r="L7" i="3"/>
  <c r="L7" i="4" s="1"/>
  <c r="M7" i="3"/>
  <c r="M7" i="4" s="1"/>
  <c r="N7" i="3"/>
  <c r="O7" i="3"/>
  <c r="P7" i="3"/>
  <c r="Q7" i="3"/>
  <c r="R7" i="3"/>
  <c r="R7" i="4" s="1"/>
  <c r="S7" i="3"/>
  <c r="S7" i="4" s="1"/>
  <c r="T7" i="3"/>
  <c r="T7" i="4" s="1"/>
  <c r="U7" i="3"/>
  <c r="U7" i="4" s="1"/>
  <c r="V7" i="3"/>
  <c r="V7" i="4" s="1"/>
  <c r="W7" i="3"/>
  <c r="W7" i="4" s="1"/>
  <c r="X7" i="3"/>
  <c r="X7" i="4" s="1"/>
  <c r="Y7" i="3"/>
  <c r="Y7" i="4" s="1"/>
  <c r="Z7" i="3"/>
  <c r="AA7" i="3"/>
  <c r="AB7" i="3"/>
  <c r="AC7" i="3"/>
  <c r="AD7" i="3"/>
  <c r="AE7" i="3"/>
  <c r="AF7" i="3"/>
  <c r="AG7" i="3"/>
  <c r="AH7" i="3"/>
  <c r="AI7" i="3"/>
  <c r="AJ7" i="3"/>
  <c r="AK7" i="3"/>
  <c r="AK7" i="4" s="1"/>
  <c r="AL7" i="3"/>
  <c r="AL7" i="4" s="1"/>
  <c r="AM7" i="3"/>
  <c r="AN7" i="3"/>
  <c r="C8" i="3"/>
  <c r="C8" i="4" s="1"/>
  <c r="D8" i="3"/>
  <c r="D8" i="4" s="1"/>
  <c r="E8" i="3"/>
  <c r="E8" i="4" s="1"/>
  <c r="F8" i="3"/>
  <c r="F8" i="4" s="1"/>
  <c r="G8" i="3"/>
  <c r="G8" i="4" s="1"/>
  <c r="H8" i="3"/>
  <c r="H8" i="4" s="1"/>
  <c r="I8" i="3"/>
  <c r="I8" i="4" s="1"/>
  <c r="J8" i="3"/>
  <c r="K8" i="3"/>
  <c r="L8" i="3"/>
  <c r="L8" i="4" s="1"/>
  <c r="M8" i="3"/>
  <c r="M8" i="4" s="1"/>
  <c r="N8" i="3"/>
  <c r="O8" i="3"/>
  <c r="P8" i="3"/>
  <c r="Q8" i="3"/>
  <c r="R8" i="3"/>
  <c r="R8" i="4" s="1"/>
  <c r="S8" i="3"/>
  <c r="S8" i="4" s="1"/>
  <c r="T8" i="3"/>
  <c r="T8" i="4" s="1"/>
  <c r="U8" i="3"/>
  <c r="U8" i="4" s="1"/>
  <c r="V8" i="3"/>
  <c r="V8" i="4" s="1"/>
  <c r="W8" i="3"/>
  <c r="W8" i="4" s="1"/>
  <c r="X8" i="3"/>
  <c r="X8" i="4" s="1"/>
  <c r="Y8" i="3"/>
  <c r="Y8" i="4" s="1"/>
  <c r="Z8" i="3"/>
  <c r="AA8" i="3"/>
  <c r="AB8" i="3"/>
  <c r="AC8" i="3"/>
  <c r="AD8" i="3"/>
  <c r="AE8" i="3"/>
  <c r="AF8" i="3"/>
  <c r="AG8" i="3"/>
  <c r="AH8" i="3"/>
  <c r="AI8" i="3"/>
  <c r="AJ8" i="3"/>
  <c r="AK8" i="3"/>
  <c r="AK8" i="4" s="1"/>
  <c r="AL8" i="3"/>
  <c r="AL8" i="4" s="1"/>
  <c r="AM8" i="3"/>
  <c r="AN8" i="3"/>
  <c r="C9" i="3"/>
  <c r="D9" i="3"/>
  <c r="D9" i="4" s="1"/>
  <c r="E9" i="3"/>
  <c r="E9" i="4" s="1"/>
  <c r="F9" i="4"/>
  <c r="G9" i="3"/>
  <c r="G9" i="4" s="1"/>
  <c r="H9" i="3"/>
  <c r="H9" i="4" s="1"/>
  <c r="I9" i="3"/>
  <c r="I9" i="4" s="1"/>
  <c r="J9" i="3"/>
  <c r="K9" i="3"/>
  <c r="L9" i="3"/>
  <c r="L9" i="4" s="1"/>
  <c r="M9" i="3"/>
  <c r="N9" i="3"/>
  <c r="O9" i="3"/>
  <c r="P9" i="3"/>
  <c r="Q9" i="3"/>
  <c r="R9" i="3"/>
  <c r="R9" i="4" s="1"/>
  <c r="S9" i="3"/>
  <c r="S9" i="4" s="1"/>
  <c r="T9" i="3"/>
  <c r="T9" i="4" s="1"/>
  <c r="U9" i="3"/>
  <c r="V9" i="3"/>
  <c r="V9" i="4" s="1"/>
  <c r="W9" i="3"/>
  <c r="W9" i="4" s="1"/>
  <c r="X9" i="3"/>
  <c r="X9" i="4" s="1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K9" i="4" s="1"/>
  <c r="AL9" i="3"/>
  <c r="AL9" i="4" s="1"/>
  <c r="AM9" i="3"/>
  <c r="AN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C12" i="3"/>
  <c r="D12" i="3"/>
  <c r="D12" i="4" s="1"/>
  <c r="E12" i="3"/>
  <c r="E12" i="4" s="1"/>
  <c r="F12" i="3"/>
  <c r="F12" i="4" s="1"/>
  <c r="G12" i="3"/>
  <c r="G12" i="4" s="1"/>
  <c r="H12" i="3"/>
  <c r="H12" i="4" s="1"/>
  <c r="I12" i="3"/>
  <c r="I12" i="4" s="1"/>
  <c r="J12" i="3"/>
  <c r="K12" i="3"/>
  <c r="L12" i="3"/>
  <c r="L12" i="4" s="1"/>
  <c r="M12" i="3"/>
  <c r="M12" i="4" s="1"/>
  <c r="N12" i="3"/>
  <c r="O12" i="3"/>
  <c r="P12" i="3"/>
  <c r="Q12" i="3"/>
  <c r="R12" i="3"/>
  <c r="R12" i="4" s="1"/>
  <c r="S12" i="3"/>
  <c r="S12" i="4" s="1"/>
  <c r="T12" i="3"/>
  <c r="T12" i="4" s="1"/>
  <c r="U12" i="3"/>
  <c r="U12" i="4" s="1"/>
  <c r="V12" i="3"/>
  <c r="V12" i="4" s="1"/>
  <c r="W12" i="3"/>
  <c r="W12" i="4" s="1"/>
  <c r="X12" i="3"/>
  <c r="X12" i="4" s="1"/>
  <c r="Y12" i="3"/>
  <c r="Y12" i="4" s="1"/>
  <c r="Z12" i="3"/>
  <c r="AA12" i="3"/>
  <c r="AB12" i="3"/>
  <c r="AC12" i="3"/>
  <c r="AD12" i="3"/>
  <c r="AE12" i="3"/>
  <c r="AF12" i="3"/>
  <c r="AG12" i="3"/>
  <c r="AH12" i="3"/>
  <c r="AI12" i="3"/>
  <c r="AJ12" i="3"/>
  <c r="AK12" i="3"/>
  <c r="AK12" i="4" s="1"/>
  <c r="AL12" i="3"/>
  <c r="AL12" i="4" s="1"/>
  <c r="AM12" i="3"/>
  <c r="AN12" i="3"/>
  <c r="C13" i="3"/>
  <c r="C13" i="4" s="1"/>
  <c r="D13" i="3"/>
  <c r="D13" i="4" s="1"/>
  <c r="E13" i="3"/>
  <c r="E13" i="4" s="1"/>
  <c r="F13" i="3"/>
  <c r="F13" i="4" s="1"/>
  <c r="G13" i="3"/>
  <c r="G13" i="4" s="1"/>
  <c r="H13" i="3"/>
  <c r="H13" i="4" s="1"/>
  <c r="I13" i="3"/>
  <c r="I13" i="4" s="1"/>
  <c r="J13" i="3"/>
  <c r="K13" i="3"/>
  <c r="L13" i="3"/>
  <c r="L13" i="4" s="1"/>
  <c r="M13" i="3"/>
  <c r="M13" i="4" s="1"/>
  <c r="N13" i="3"/>
  <c r="O13" i="3"/>
  <c r="P13" i="3"/>
  <c r="Q13" i="3"/>
  <c r="R13" i="3"/>
  <c r="R13" i="4" s="1"/>
  <c r="S13" i="3"/>
  <c r="S13" i="4" s="1"/>
  <c r="T13" i="3"/>
  <c r="T13" i="4" s="1"/>
  <c r="U13" i="3"/>
  <c r="U13" i="4" s="1"/>
  <c r="V13" i="3"/>
  <c r="V13" i="4" s="1"/>
  <c r="W13" i="3"/>
  <c r="W13" i="4" s="1"/>
  <c r="X13" i="3"/>
  <c r="X13" i="4" s="1"/>
  <c r="Y13" i="3"/>
  <c r="Y13" i="4" s="1"/>
  <c r="Z13" i="3"/>
  <c r="AA13" i="3"/>
  <c r="AB13" i="3"/>
  <c r="AC13" i="3"/>
  <c r="AD13" i="3"/>
  <c r="AE13" i="3"/>
  <c r="AF13" i="3"/>
  <c r="AG13" i="3"/>
  <c r="AH13" i="3"/>
  <c r="AI13" i="3"/>
  <c r="AJ13" i="3"/>
  <c r="AK13" i="3"/>
  <c r="AK13" i="4" s="1"/>
  <c r="AL13" i="3"/>
  <c r="AL13" i="4" s="1"/>
  <c r="AM13" i="3"/>
  <c r="AN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C15" i="3"/>
  <c r="D15" i="3"/>
  <c r="E15" i="3"/>
  <c r="G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C18" i="3"/>
  <c r="C18" i="4" s="1"/>
  <c r="D18" i="3"/>
  <c r="D18" i="4" s="1"/>
  <c r="E18" i="3"/>
  <c r="E18" i="4" s="1"/>
  <c r="F18" i="3"/>
  <c r="F18" i="4" s="1"/>
  <c r="G18" i="3"/>
  <c r="G18" i="4" s="1"/>
  <c r="H18" i="3"/>
  <c r="H18" i="4" s="1"/>
  <c r="I18" i="3"/>
  <c r="I18" i="4" s="1"/>
  <c r="J18" i="3"/>
  <c r="K18" i="3"/>
  <c r="L18" i="3"/>
  <c r="L18" i="4" s="1"/>
  <c r="M18" i="3"/>
  <c r="M18" i="4" s="1"/>
  <c r="N18" i="3"/>
  <c r="O18" i="3"/>
  <c r="P18" i="3"/>
  <c r="Q18" i="3"/>
  <c r="R18" i="3"/>
  <c r="R18" i="4" s="1"/>
  <c r="S18" i="3"/>
  <c r="S18" i="4" s="1"/>
  <c r="T18" i="3"/>
  <c r="T18" i="4" s="1"/>
  <c r="U18" i="3"/>
  <c r="U18" i="4" s="1"/>
  <c r="V18" i="3"/>
  <c r="V18" i="4" s="1"/>
  <c r="W18" i="3"/>
  <c r="W18" i="4" s="1"/>
  <c r="X18" i="3"/>
  <c r="X18" i="4" s="1"/>
  <c r="Y18" i="3"/>
  <c r="Y18" i="4" s="1"/>
  <c r="Z18" i="3"/>
  <c r="AA18" i="3"/>
  <c r="AB18" i="3"/>
  <c r="AC18" i="3"/>
  <c r="AD18" i="3"/>
  <c r="AE18" i="3"/>
  <c r="AF18" i="3"/>
  <c r="AG18" i="3"/>
  <c r="AH18" i="3"/>
  <c r="AI18" i="3"/>
  <c r="AJ18" i="3"/>
  <c r="AK18" i="3"/>
  <c r="AK18" i="4" s="1"/>
  <c r="AL18" i="3"/>
  <c r="AL18" i="4" s="1"/>
  <c r="AM18" i="3"/>
  <c r="AN18" i="3"/>
  <c r="C19" i="3"/>
  <c r="C19" i="4" s="1"/>
  <c r="D19" i="3"/>
  <c r="D19" i="4" s="1"/>
  <c r="E19" i="3"/>
  <c r="E19" i="4" s="1"/>
  <c r="F19" i="3"/>
  <c r="F19" i="4" s="1"/>
  <c r="G19" i="3"/>
  <c r="G19" i="4" s="1"/>
  <c r="H19" i="3"/>
  <c r="H19" i="4" s="1"/>
  <c r="I19" i="3"/>
  <c r="I19" i="4" s="1"/>
  <c r="J19" i="3"/>
  <c r="K19" i="3"/>
  <c r="L19" i="3"/>
  <c r="L19" i="4" s="1"/>
  <c r="M19" i="3"/>
  <c r="M19" i="4" s="1"/>
  <c r="N19" i="3"/>
  <c r="O19" i="3"/>
  <c r="P19" i="3"/>
  <c r="Q19" i="3"/>
  <c r="R19" i="3"/>
  <c r="R19" i="4" s="1"/>
  <c r="S19" i="3"/>
  <c r="S19" i="4" s="1"/>
  <c r="T19" i="3"/>
  <c r="T19" i="4" s="1"/>
  <c r="U19" i="3"/>
  <c r="U19" i="4" s="1"/>
  <c r="V19" i="3"/>
  <c r="V19" i="4" s="1"/>
  <c r="W19" i="3"/>
  <c r="W19" i="4" s="1"/>
  <c r="X19" i="3"/>
  <c r="X19" i="4" s="1"/>
  <c r="Y19" i="3"/>
  <c r="Y19" i="4" s="1"/>
  <c r="Z19" i="3"/>
  <c r="AA19" i="3"/>
  <c r="AB19" i="3"/>
  <c r="AC19" i="3"/>
  <c r="AD19" i="3"/>
  <c r="AE19" i="3"/>
  <c r="AF19" i="3"/>
  <c r="AG19" i="3"/>
  <c r="AH19" i="3"/>
  <c r="AI19" i="3"/>
  <c r="AJ19" i="3"/>
  <c r="AK19" i="3"/>
  <c r="AK19" i="4" s="1"/>
  <c r="AL19" i="3"/>
  <c r="AL19" i="4" s="1"/>
  <c r="AM19" i="3"/>
  <c r="AN19" i="3"/>
  <c r="C20" i="3"/>
  <c r="C20" i="4" s="1"/>
  <c r="D20" i="3"/>
  <c r="D20" i="4" s="1"/>
  <c r="E20" i="3"/>
  <c r="E20" i="4" s="1"/>
  <c r="F20" i="3"/>
  <c r="F20" i="4" s="1"/>
  <c r="G20" i="3"/>
  <c r="G20" i="4" s="1"/>
  <c r="H20" i="3"/>
  <c r="H20" i="4" s="1"/>
  <c r="I20" i="3"/>
  <c r="I20" i="4" s="1"/>
  <c r="J20" i="3"/>
  <c r="K20" i="3"/>
  <c r="L20" i="3"/>
  <c r="L20" i="4" s="1"/>
  <c r="M20" i="3"/>
  <c r="M20" i="4" s="1"/>
  <c r="N20" i="3"/>
  <c r="O20" i="3"/>
  <c r="P20" i="3"/>
  <c r="Q20" i="3"/>
  <c r="R20" i="3"/>
  <c r="R20" i="4" s="1"/>
  <c r="S20" i="3"/>
  <c r="S20" i="4" s="1"/>
  <c r="T20" i="3"/>
  <c r="T20" i="4" s="1"/>
  <c r="U20" i="3"/>
  <c r="U20" i="4" s="1"/>
  <c r="V20" i="3"/>
  <c r="V20" i="4" s="1"/>
  <c r="W20" i="3"/>
  <c r="W20" i="4" s="1"/>
  <c r="X20" i="3"/>
  <c r="X20" i="4" s="1"/>
  <c r="Y20" i="3"/>
  <c r="Y20" i="4" s="1"/>
  <c r="Z20" i="3"/>
  <c r="AA20" i="3"/>
  <c r="AB20" i="3"/>
  <c r="AC20" i="3"/>
  <c r="AD20" i="3"/>
  <c r="AE20" i="3"/>
  <c r="AF20" i="3"/>
  <c r="AG20" i="3"/>
  <c r="AH20" i="3"/>
  <c r="AI20" i="3"/>
  <c r="AJ20" i="3"/>
  <c r="AK20" i="3"/>
  <c r="AK20" i="4" s="1"/>
  <c r="AL20" i="3"/>
  <c r="AL20" i="4" s="1"/>
  <c r="AM20" i="3"/>
  <c r="AN20" i="3"/>
  <c r="C21" i="3"/>
  <c r="C21" i="4" s="1"/>
  <c r="D21" i="3"/>
  <c r="D21" i="4" s="1"/>
  <c r="E21" i="3"/>
  <c r="E21" i="4" s="1"/>
  <c r="F21" i="3"/>
  <c r="F21" i="4" s="1"/>
  <c r="G21" i="3"/>
  <c r="G21" i="4" s="1"/>
  <c r="H21" i="3"/>
  <c r="H21" i="4" s="1"/>
  <c r="I21" i="3"/>
  <c r="I21" i="4" s="1"/>
  <c r="J21" i="3"/>
  <c r="K21" i="3"/>
  <c r="L21" i="3"/>
  <c r="L21" i="4" s="1"/>
  <c r="M21" i="3"/>
  <c r="M21" i="4" s="1"/>
  <c r="N21" i="3"/>
  <c r="O21" i="3"/>
  <c r="P21" i="3"/>
  <c r="Q21" i="3"/>
  <c r="R21" i="3"/>
  <c r="R21" i="4" s="1"/>
  <c r="S21" i="3"/>
  <c r="S21" i="4" s="1"/>
  <c r="T21" i="3"/>
  <c r="T21" i="4" s="1"/>
  <c r="U21" i="3"/>
  <c r="U21" i="4" s="1"/>
  <c r="V21" i="3"/>
  <c r="V21" i="4" s="1"/>
  <c r="W21" i="3"/>
  <c r="W21" i="4" s="1"/>
  <c r="X21" i="3"/>
  <c r="X21" i="4" s="1"/>
  <c r="Y21" i="3"/>
  <c r="Y21" i="4" s="1"/>
  <c r="Z21" i="3"/>
  <c r="AA21" i="3"/>
  <c r="AB21" i="3"/>
  <c r="AC21" i="3"/>
  <c r="AD21" i="3"/>
  <c r="AE21" i="3"/>
  <c r="AF21" i="3"/>
  <c r="AG21" i="3"/>
  <c r="AH21" i="3"/>
  <c r="AI21" i="3"/>
  <c r="AJ21" i="3"/>
  <c r="AK21" i="3"/>
  <c r="AK21" i="4" s="1"/>
  <c r="AL21" i="3"/>
  <c r="AL21" i="4" s="1"/>
  <c r="AM21" i="3"/>
  <c r="AN21" i="3"/>
  <c r="C22" i="3"/>
  <c r="C22" i="4" s="1"/>
  <c r="D22" i="3"/>
  <c r="D22" i="4" s="1"/>
  <c r="E22" i="3"/>
  <c r="E22" i="4" s="1"/>
  <c r="F22" i="3"/>
  <c r="F22" i="4" s="1"/>
  <c r="G22" i="3"/>
  <c r="G22" i="4" s="1"/>
  <c r="H22" i="3"/>
  <c r="H22" i="4" s="1"/>
  <c r="I22" i="3"/>
  <c r="I22" i="4" s="1"/>
  <c r="J22" i="3"/>
  <c r="K22" i="3"/>
  <c r="L22" i="3"/>
  <c r="L22" i="4" s="1"/>
  <c r="M22" i="3"/>
  <c r="M22" i="4" s="1"/>
  <c r="N22" i="3"/>
  <c r="O22" i="3"/>
  <c r="P22" i="3"/>
  <c r="Q22" i="3"/>
  <c r="R22" i="3"/>
  <c r="R22" i="4" s="1"/>
  <c r="S22" i="3"/>
  <c r="S22" i="4" s="1"/>
  <c r="T22" i="3"/>
  <c r="T22" i="4" s="1"/>
  <c r="U22" i="3"/>
  <c r="U22" i="4" s="1"/>
  <c r="V22" i="3"/>
  <c r="V22" i="4" s="1"/>
  <c r="W22" i="3"/>
  <c r="W22" i="4" s="1"/>
  <c r="X22" i="3"/>
  <c r="X22" i="4" s="1"/>
  <c r="Y22" i="3"/>
  <c r="Y22" i="4" s="1"/>
  <c r="Z22" i="3"/>
  <c r="AA22" i="3"/>
  <c r="AB22" i="3"/>
  <c r="AC22" i="3"/>
  <c r="AD22" i="3"/>
  <c r="AE22" i="3"/>
  <c r="AF22" i="3"/>
  <c r="AG22" i="3"/>
  <c r="AH22" i="3"/>
  <c r="AI22" i="3"/>
  <c r="AJ22" i="3"/>
  <c r="AK22" i="3"/>
  <c r="AK22" i="4" s="1"/>
  <c r="AL22" i="3"/>
  <c r="AL22" i="4" s="1"/>
  <c r="AM22" i="3"/>
  <c r="AN22" i="3"/>
  <c r="C23" i="3"/>
  <c r="C23" i="4" s="1"/>
  <c r="D23" i="3"/>
  <c r="D23" i="4" s="1"/>
  <c r="E23" i="3"/>
  <c r="E23" i="4" s="1"/>
  <c r="F23" i="3"/>
  <c r="F23" i="4" s="1"/>
  <c r="G23" i="3"/>
  <c r="G23" i="4" s="1"/>
  <c r="H23" i="3"/>
  <c r="H23" i="4" s="1"/>
  <c r="I23" i="3"/>
  <c r="I23" i="4" s="1"/>
  <c r="J23" i="3"/>
  <c r="K23" i="3"/>
  <c r="L23" i="3"/>
  <c r="L23" i="4" s="1"/>
  <c r="M23" i="3"/>
  <c r="M23" i="4" s="1"/>
  <c r="N23" i="3"/>
  <c r="O23" i="3"/>
  <c r="P23" i="3"/>
  <c r="Q23" i="3"/>
  <c r="R23" i="3"/>
  <c r="R23" i="4" s="1"/>
  <c r="S23" i="3"/>
  <c r="S23" i="4" s="1"/>
  <c r="T23" i="3"/>
  <c r="T23" i="4" s="1"/>
  <c r="U23" i="3"/>
  <c r="U23" i="4" s="1"/>
  <c r="V23" i="3"/>
  <c r="V23" i="4" s="1"/>
  <c r="W23" i="3"/>
  <c r="W23" i="4" s="1"/>
  <c r="X23" i="3"/>
  <c r="X23" i="4" s="1"/>
  <c r="Y23" i="3"/>
  <c r="Y23" i="4" s="1"/>
  <c r="Z23" i="3"/>
  <c r="AA23" i="3"/>
  <c r="AB23" i="3"/>
  <c r="AC23" i="3"/>
  <c r="AD23" i="3"/>
  <c r="AE23" i="3"/>
  <c r="AF23" i="3"/>
  <c r="AG23" i="3"/>
  <c r="AH23" i="3"/>
  <c r="AI23" i="3"/>
  <c r="AJ23" i="3"/>
  <c r="AK23" i="3"/>
  <c r="AK23" i="4" s="1"/>
  <c r="AL23" i="3"/>
  <c r="AL23" i="4" s="1"/>
  <c r="AM23" i="3"/>
  <c r="AN23" i="3"/>
  <c r="C24" i="3"/>
  <c r="C24" i="4" s="1"/>
  <c r="D24" i="3"/>
  <c r="D24" i="4" s="1"/>
  <c r="E24" i="3"/>
  <c r="E24" i="4" s="1"/>
  <c r="F24" i="3"/>
  <c r="F24" i="4" s="1"/>
  <c r="G24" i="3"/>
  <c r="G24" i="4" s="1"/>
  <c r="H24" i="3"/>
  <c r="H24" i="4" s="1"/>
  <c r="I24" i="3"/>
  <c r="I24" i="4" s="1"/>
  <c r="J24" i="3"/>
  <c r="K24" i="3"/>
  <c r="L24" i="3"/>
  <c r="L24" i="4" s="1"/>
  <c r="M24" i="3"/>
  <c r="M24" i="4" s="1"/>
  <c r="N24" i="3"/>
  <c r="O24" i="3"/>
  <c r="P24" i="3"/>
  <c r="Q24" i="3"/>
  <c r="R24" i="3"/>
  <c r="R24" i="4" s="1"/>
  <c r="S24" i="3"/>
  <c r="S24" i="4" s="1"/>
  <c r="T24" i="3"/>
  <c r="T24" i="4" s="1"/>
  <c r="U24" i="3"/>
  <c r="U24" i="4" s="1"/>
  <c r="V24" i="3"/>
  <c r="V24" i="4" s="1"/>
  <c r="W24" i="3"/>
  <c r="W24" i="4" s="1"/>
  <c r="X24" i="3"/>
  <c r="X24" i="4" s="1"/>
  <c r="Y24" i="3"/>
  <c r="Y24" i="4" s="1"/>
  <c r="Z24" i="3"/>
  <c r="AA24" i="3"/>
  <c r="AB24" i="3"/>
  <c r="AC24" i="3"/>
  <c r="AD24" i="3"/>
  <c r="AE24" i="3"/>
  <c r="AF24" i="3"/>
  <c r="AG24" i="3"/>
  <c r="AH24" i="3"/>
  <c r="AI24" i="3"/>
  <c r="AJ24" i="3"/>
  <c r="AK24" i="3"/>
  <c r="AK24" i="4" s="1"/>
  <c r="AL24" i="3"/>
  <c r="AL24" i="4" s="1"/>
  <c r="AM24" i="3"/>
  <c r="AN24" i="3"/>
  <c r="C25" i="3"/>
  <c r="C25" i="4" s="1"/>
  <c r="D25" i="3"/>
  <c r="D25" i="4" s="1"/>
  <c r="E25" i="3"/>
  <c r="E25" i="4" s="1"/>
  <c r="F25" i="3"/>
  <c r="F25" i="4" s="1"/>
  <c r="G25" i="3"/>
  <c r="G25" i="4" s="1"/>
  <c r="H25" i="3"/>
  <c r="H25" i="4" s="1"/>
  <c r="I25" i="3"/>
  <c r="I25" i="4" s="1"/>
  <c r="J25" i="3"/>
  <c r="K25" i="3"/>
  <c r="L25" i="3"/>
  <c r="L25" i="4" s="1"/>
  <c r="M25" i="3"/>
  <c r="M25" i="4" s="1"/>
  <c r="N25" i="3"/>
  <c r="O25" i="3"/>
  <c r="P25" i="3"/>
  <c r="Q25" i="3"/>
  <c r="R25" i="3"/>
  <c r="R25" i="4" s="1"/>
  <c r="S25" i="3"/>
  <c r="S25" i="4" s="1"/>
  <c r="T25" i="3"/>
  <c r="T25" i="4" s="1"/>
  <c r="U25" i="3"/>
  <c r="U25" i="4" s="1"/>
  <c r="V25" i="3"/>
  <c r="V25" i="4" s="1"/>
  <c r="W25" i="3"/>
  <c r="W25" i="4" s="1"/>
  <c r="X25" i="3"/>
  <c r="X25" i="4" s="1"/>
  <c r="Y25" i="3"/>
  <c r="Y25" i="4" s="1"/>
  <c r="Z25" i="3"/>
  <c r="AA25" i="3"/>
  <c r="AB25" i="3"/>
  <c r="AC25" i="3"/>
  <c r="AD25" i="3"/>
  <c r="AE25" i="3"/>
  <c r="AF25" i="3"/>
  <c r="AG25" i="3"/>
  <c r="AH25" i="3"/>
  <c r="AI25" i="3"/>
  <c r="AJ25" i="3"/>
  <c r="AK25" i="3"/>
  <c r="AK25" i="4" s="1"/>
  <c r="AL25" i="3"/>
  <c r="AL25" i="4" s="1"/>
  <c r="AM25" i="3"/>
  <c r="AN25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C37" i="3"/>
  <c r="C37" i="4" s="1"/>
  <c r="D37" i="3"/>
  <c r="D37" i="4" s="1"/>
  <c r="E37" i="3"/>
  <c r="E37" i="4" s="1"/>
  <c r="F37" i="3"/>
  <c r="F37" i="4" s="1"/>
  <c r="G37" i="3"/>
  <c r="G37" i="4" s="1"/>
  <c r="H37" i="3"/>
  <c r="H37" i="4" s="1"/>
  <c r="I37" i="3"/>
  <c r="I37" i="4" s="1"/>
  <c r="J37" i="3"/>
  <c r="K37" i="3"/>
  <c r="L37" i="3"/>
  <c r="L37" i="4" s="1"/>
  <c r="M37" i="3"/>
  <c r="M37" i="4" s="1"/>
  <c r="N37" i="3"/>
  <c r="O37" i="3"/>
  <c r="P37" i="3"/>
  <c r="Q37" i="3"/>
  <c r="R37" i="3"/>
  <c r="R37" i="4" s="1"/>
  <c r="S37" i="3"/>
  <c r="S37" i="4" s="1"/>
  <c r="T37" i="3"/>
  <c r="T37" i="4" s="1"/>
  <c r="U37" i="3"/>
  <c r="U37" i="4" s="1"/>
  <c r="V37" i="3"/>
  <c r="V37" i="4" s="1"/>
  <c r="W37" i="3"/>
  <c r="W37" i="4" s="1"/>
  <c r="X37" i="3"/>
  <c r="X37" i="4" s="1"/>
  <c r="Y37" i="3"/>
  <c r="Y37" i="4" s="1"/>
  <c r="Z37" i="3"/>
  <c r="AA37" i="3"/>
  <c r="AB37" i="3"/>
  <c r="AC37" i="3"/>
  <c r="AD37" i="3"/>
  <c r="AE37" i="3"/>
  <c r="AF37" i="3"/>
  <c r="AG37" i="3"/>
  <c r="AH37" i="3"/>
  <c r="AI37" i="3"/>
  <c r="AJ37" i="3"/>
  <c r="AK37" i="3"/>
  <c r="AK37" i="4" s="1"/>
  <c r="AL37" i="3"/>
  <c r="AL37" i="4" s="1"/>
  <c r="AM37" i="3"/>
  <c r="AN37" i="3"/>
  <c r="C38" i="3"/>
  <c r="C38" i="4" s="1"/>
  <c r="D38" i="3"/>
  <c r="D38" i="4" s="1"/>
  <c r="E38" i="3"/>
  <c r="E38" i="4" s="1"/>
  <c r="F38" i="3"/>
  <c r="F38" i="4" s="1"/>
  <c r="G38" i="3"/>
  <c r="G38" i="4" s="1"/>
  <c r="H38" i="3"/>
  <c r="H38" i="4" s="1"/>
  <c r="I38" i="3"/>
  <c r="I38" i="4" s="1"/>
  <c r="J38" i="3"/>
  <c r="K38" i="3"/>
  <c r="L38" i="3"/>
  <c r="L38" i="4" s="1"/>
  <c r="M38" i="3"/>
  <c r="M38" i="4" s="1"/>
  <c r="N38" i="3"/>
  <c r="O38" i="3"/>
  <c r="P38" i="3"/>
  <c r="Q38" i="3"/>
  <c r="R38" i="3"/>
  <c r="R38" i="4" s="1"/>
  <c r="S38" i="3"/>
  <c r="S38" i="4" s="1"/>
  <c r="T38" i="3"/>
  <c r="T38" i="4" s="1"/>
  <c r="U38" i="3"/>
  <c r="U38" i="4" s="1"/>
  <c r="V38" i="3"/>
  <c r="V38" i="4" s="1"/>
  <c r="W38" i="3"/>
  <c r="W38" i="4" s="1"/>
  <c r="X38" i="3"/>
  <c r="X38" i="4" s="1"/>
  <c r="Y38" i="3"/>
  <c r="Y38" i="4" s="1"/>
  <c r="Z38" i="3"/>
  <c r="AA38" i="3"/>
  <c r="AB38" i="3"/>
  <c r="AC38" i="3"/>
  <c r="AD38" i="3"/>
  <c r="AE38" i="3"/>
  <c r="AF38" i="3"/>
  <c r="AG38" i="3"/>
  <c r="AH38" i="3"/>
  <c r="AI38" i="3"/>
  <c r="AJ38" i="3"/>
  <c r="AK38" i="3"/>
  <c r="AK38" i="4" s="1"/>
  <c r="AL38" i="3"/>
  <c r="AL38" i="4" s="1"/>
  <c r="AM38" i="3"/>
  <c r="AN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D3" i="3"/>
  <c r="D3" i="4" s="1"/>
  <c r="E3" i="3"/>
  <c r="E3" i="4" s="1"/>
  <c r="F3" i="3"/>
  <c r="F3" i="4" s="1"/>
  <c r="G3" i="3"/>
  <c r="G3" i="4" s="1"/>
  <c r="H3" i="3"/>
  <c r="H3" i="4" s="1"/>
  <c r="I3" i="3"/>
  <c r="I3" i="4" s="1"/>
  <c r="J3" i="3"/>
  <c r="K3" i="3"/>
  <c r="L3" i="3"/>
  <c r="L3" i="4" s="1"/>
  <c r="M3" i="3"/>
  <c r="M3" i="4" s="1"/>
  <c r="N3" i="3"/>
  <c r="O3" i="3"/>
  <c r="P3" i="3"/>
  <c r="Q3" i="3"/>
  <c r="R3" i="3"/>
  <c r="R3" i="4" s="1"/>
  <c r="S3" i="3"/>
  <c r="S3" i="4" s="1"/>
  <c r="T3" i="3"/>
  <c r="T3" i="4" s="1"/>
  <c r="U3" i="3"/>
  <c r="U3" i="4" s="1"/>
  <c r="V3" i="3"/>
  <c r="V3" i="4" s="1"/>
  <c r="W3" i="3"/>
  <c r="W3" i="4" s="1"/>
  <c r="X3" i="3"/>
  <c r="X3" i="4" s="1"/>
  <c r="Y3" i="3"/>
  <c r="Y3" i="4" s="1"/>
  <c r="Z3" i="3"/>
  <c r="AA3" i="3"/>
  <c r="AB3" i="3"/>
  <c r="AC3" i="3"/>
  <c r="AD3" i="3"/>
  <c r="AE3" i="3"/>
  <c r="AF3" i="3"/>
  <c r="AG3" i="3"/>
  <c r="AH3" i="3"/>
  <c r="AI3" i="3"/>
  <c r="AJ3" i="3"/>
  <c r="AK3" i="3"/>
  <c r="AK3" i="4" s="1"/>
  <c r="AL3" i="3"/>
  <c r="AL3" i="4" s="1"/>
  <c r="AM3" i="3"/>
  <c r="AN3" i="3"/>
  <c r="C3" i="3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BJ1" i="15"/>
  <c r="BI1" i="15"/>
  <c r="BH1" i="15"/>
  <c r="BG1" i="15"/>
  <c r="BF1" i="15"/>
  <c r="BE1" i="15"/>
  <c r="BD1" i="15"/>
  <c r="BC1" i="15"/>
  <c r="BB1" i="15"/>
  <c r="BA1" i="15"/>
  <c r="AZ1" i="15"/>
  <c r="AY1" i="15"/>
  <c r="AX1" i="15"/>
  <c r="AW1" i="15"/>
  <c r="AV1" i="15"/>
  <c r="AU1" i="15"/>
  <c r="AT1" i="15"/>
  <c r="AS1" i="15"/>
  <c r="AR1" i="15"/>
  <c r="AQ1" i="15"/>
  <c r="AP1" i="15"/>
  <c r="AO1" i="15"/>
  <c r="AN1" i="15"/>
  <c r="AM1" i="15"/>
  <c r="AL1" i="15"/>
  <c r="AK1" i="15"/>
  <c r="AJ1" i="15"/>
  <c r="AI1" i="15"/>
  <c r="AH1" i="15"/>
  <c r="AG1" i="15"/>
  <c r="AF1" i="15"/>
  <c r="AE1" i="15"/>
  <c r="AD1" i="15"/>
  <c r="AC1" i="15"/>
  <c r="AB1" i="15"/>
  <c r="AA1" i="15"/>
  <c r="Z1" i="15"/>
  <c r="Y1" i="15"/>
  <c r="X1" i="15"/>
  <c r="W1" i="15"/>
  <c r="V1" i="15"/>
  <c r="U1" i="15"/>
  <c r="T1" i="15"/>
  <c r="S1" i="15"/>
  <c r="R1" i="15"/>
  <c r="Q1" i="15"/>
  <c r="P1" i="15"/>
  <c r="O1" i="15"/>
  <c r="N1" i="15"/>
  <c r="M1" i="15"/>
  <c r="L1" i="15"/>
  <c r="K1" i="15"/>
  <c r="J1" i="15"/>
  <c r="I1" i="15"/>
  <c r="H1" i="15"/>
  <c r="G1" i="15"/>
  <c r="F1" i="15"/>
  <c r="E1" i="15"/>
  <c r="D1" i="15"/>
  <c r="C1" i="15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C31" i="7" l="1"/>
  <c r="C29" i="7"/>
  <c r="C27" i="7"/>
  <c r="C25" i="7"/>
  <c r="C23" i="7"/>
  <c r="C21" i="7"/>
  <c r="C19" i="7"/>
  <c r="C16" i="7"/>
  <c r="C15" i="7"/>
  <c r="C13" i="7"/>
  <c r="C12" i="7"/>
  <c r="C11" i="7"/>
  <c r="C9" i="7"/>
  <c r="C8" i="7"/>
  <c r="C7" i="7"/>
  <c r="C6" i="7"/>
  <c r="C5" i="7"/>
  <c r="C4" i="7"/>
  <c r="C9" i="4"/>
  <c r="C7" i="4"/>
  <c r="C5" i="4"/>
  <c r="C4" i="4"/>
  <c r="C12" i="4"/>
  <c r="C62" i="7"/>
  <c r="C3" i="4"/>
  <c r="E14" i="10"/>
  <c r="C3" i="7"/>
  <c r="E15" i="10"/>
  <c r="Y9" i="4"/>
  <c r="U9" i="4"/>
  <c r="M9" i="4"/>
  <c r="I7" i="4"/>
  <c r="E7" i="4"/>
  <c r="Y5" i="4"/>
  <c r="U5" i="4"/>
  <c r="M5" i="4"/>
  <c r="BF60" i="7"/>
  <c r="AI15" i="7"/>
  <c r="U39" i="7"/>
  <c r="AO38" i="7"/>
  <c r="AK38" i="7"/>
  <c r="AO37" i="7"/>
  <c r="AK37" i="7"/>
  <c r="Q36" i="7"/>
  <c r="M36" i="7"/>
  <c r="I36" i="7"/>
  <c r="E36" i="7"/>
  <c r="BI33" i="7"/>
  <c r="AO33" i="7"/>
  <c r="AK33" i="7"/>
  <c r="AO32" i="7"/>
  <c r="AK32" i="7"/>
  <c r="Q31" i="7"/>
  <c r="M31" i="7"/>
  <c r="I31" i="7"/>
  <c r="E31" i="7"/>
  <c r="BI30" i="7"/>
  <c r="Q30" i="7"/>
  <c r="M30" i="7"/>
  <c r="I30" i="7"/>
  <c r="E30" i="7"/>
  <c r="BI29" i="7"/>
  <c r="AG29" i="7"/>
  <c r="AC29" i="7"/>
  <c r="Y29" i="7"/>
  <c r="U29" i="7"/>
  <c r="AG28" i="7"/>
  <c r="AC28" i="7"/>
  <c r="Y28" i="7"/>
  <c r="U28" i="7"/>
  <c r="AO27" i="7"/>
  <c r="AK27" i="7"/>
  <c r="BI46" i="7"/>
  <c r="Y46" i="7"/>
  <c r="M46" i="7"/>
  <c r="AK45" i="7"/>
  <c r="M45" i="7"/>
  <c r="BI43" i="7"/>
  <c r="U43" i="7"/>
  <c r="M43" i="7"/>
  <c r="E43" i="7"/>
  <c r="AO42" i="7"/>
  <c r="BA40" i="7"/>
  <c r="BA39" i="7"/>
  <c r="BA38" i="7"/>
  <c r="BA37" i="7"/>
  <c r="AW36" i="7"/>
  <c r="BI35" i="7"/>
  <c r="AW35" i="7"/>
  <c r="AK35" i="7"/>
  <c r="Y35" i="7"/>
  <c r="M35" i="7"/>
  <c r="E35" i="7"/>
  <c r="BA34" i="7"/>
  <c r="AO34" i="7"/>
  <c r="Y34" i="7"/>
  <c r="M34" i="7"/>
  <c r="E34" i="7"/>
  <c r="BA33" i="7"/>
  <c r="BA32" i="7"/>
  <c r="BE31" i="7"/>
  <c r="AS31" i="7"/>
  <c r="BE30" i="7"/>
  <c r="AS30" i="7"/>
  <c r="BE29" i="7"/>
  <c r="AS29" i="7"/>
  <c r="BE28" i="7"/>
  <c r="AS28" i="7"/>
  <c r="BE27" i="7"/>
  <c r="AS27" i="7"/>
  <c r="BE26" i="7"/>
  <c r="AS26" i="7"/>
  <c r="BA25" i="7"/>
  <c r="BA24" i="7"/>
  <c r="AW23" i="7"/>
  <c r="AW22" i="7"/>
  <c r="AW21" i="7"/>
  <c r="BA20" i="7"/>
  <c r="BA19" i="7"/>
  <c r="BA18" i="7"/>
  <c r="AO18" i="7"/>
  <c r="AC18" i="7"/>
  <c r="Q18" i="7"/>
  <c r="AW17" i="7"/>
  <c r="AW16" i="7"/>
  <c r="BA15" i="7"/>
  <c r="AW14" i="7"/>
  <c r="BA13" i="7"/>
  <c r="BA12" i="7"/>
  <c r="AW11" i="7"/>
  <c r="AW10" i="7"/>
  <c r="BA9" i="7"/>
  <c r="BA8" i="7"/>
  <c r="AW7" i="7"/>
  <c r="AW6" i="7"/>
  <c r="BA5" i="7"/>
  <c r="BA4" i="7"/>
  <c r="AW46" i="7"/>
  <c r="I45" i="7"/>
  <c r="BA42" i="7"/>
  <c r="E42" i="7"/>
  <c r="AZ62" i="7"/>
  <c r="BD61" i="7"/>
  <c r="AV61" i="7"/>
  <c r="AZ60" i="7"/>
  <c r="BD59" i="7"/>
  <c r="AV59" i="7"/>
  <c r="BH58" i="7"/>
  <c r="AZ58" i="7"/>
  <c r="AR58" i="7"/>
  <c r="AJ58" i="7"/>
  <c r="AB58" i="7"/>
  <c r="T58" i="7"/>
  <c r="L58" i="7"/>
  <c r="D58" i="7"/>
  <c r="BD57" i="7"/>
  <c r="AV57" i="7"/>
  <c r="AN57" i="7"/>
  <c r="AF57" i="7"/>
  <c r="X57" i="7"/>
  <c r="P57" i="7"/>
  <c r="H57" i="7"/>
  <c r="BH56" i="7"/>
  <c r="AZ56" i="7"/>
  <c r="AR56" i="7"/>
  <c r="AJ56" i="7"/>
  <c r="AB56" i="7"/>
  <c r="T56" i="7"/>
  <c r="L56" i="7"/>
  <c r="D56" i="7"/>
  <c r="BD55" i="7"/>
  <c r="AV55" i="7"/>
  <c r="AN55" i="7"/>
  <c r="AF55" i="7"/>
  <c r="H55" i="7"/>
  <c r="D55" i="7"/>
  <c r="BD54" i="7"/>
  <c r="AV54" i="7"/>
  <c r="AN54" i="7"/>
  <c r="AB54" i="7"/>
  <c r="T54" i="7"/>
  <c r="L54" i="7"/>
  <c r="D54" i="7"/>
  <c r="BD53" i="7"/>
  <c r="AV53" i="7"/>
  <c r="AN53" i="7"/>
  <c r="AF53" i="7"/>
  <c r="X53" i="7"/>
  <c r="P53" i="7"/>
  <c r="H53" i="7"/>
  <c r="BH52" i="7"/>
  <c r="AZ52" i="7"/>
  <c r="AR52" i="7"/>
  <c r="AJ52" i="7"/>
  <c r="AB52" i="7"/>
  <c r="T52" i="7"/>
  <c r="L52" i="7"/>
  <c r="D52" i="7"/>
  <c r="BD51" i="7"/>
  <c r="AV51" i="7"/>
  <c r="AN51" i="7"/>
  <c r="AF51" i="7"/>
  <c r="X51" i="7"/>
  <c r="P51" i="7"/>
  <c r="H51" i="7"/>
  <c r="BH50" i="7"/>
  <c r="AZ50" i="7"/>
  <c r="AR50" i="7"/>
  <c r="AJ50" i="7"/>
  <c r="AB50" i="7"/>
  <c r="T50" i="7"/>
  <c r="L50" i="7"/>
  <c r="D50" i="7"/>
  <c r="BD49" i="7"/>
  <c r="AV49" i="7"/>
  <c r="AN49" i="7"/>
  <c r="AF49" i="7"/>
  <c r="X49" i="7"/>
  <c r="P49" i="7"/>
  <c r="H49" i="7"/>
  <c r="BH48" i="7"/>
  <c r="AZ48" i="7"/>
  <c r="AR48" i="7"/>
  <c r="AJ48" i="7"/>
  <c r="AB48" i="7"/>
  <c r="T48" i="7"/>
  <c r="L48" i="7"/>
  <c r="D48" i="7"/>
  <c r="BD47" i="7"/>
  <c r="AV47" i="7"/>
  <c r="AN47" i="7"/>
  <c r="AF47" i="7"/>
  <c r="X47" i="7"/>
  <c r="P47" i="7"/>
  <c r="H47" i="7"/>
  <c r="BH46" i="7"/>
  <c r="AZ46" i="7"/>
  <c r="AJ46" i="7"/>
  <c r="AB46" i="7"/>
  <c r="T46" i="7"/>
  <c r="X45" i="7"/>
  <c r="P45" i="7"/>
  <c r="H45" i="7"/>
  <c r="D45" i="7"/>
  <c r="BD44" i="7"/>
  <c r="AV44" i="7"/>
  <c r="BH43" i="7"/>
  <c r="AZ43" i="7"/>
  <c r="AR43" i="7"/>
  <c r="AJ43" i="7"/>
  <c r="AB43" i="7"/>
  <c r="T43" i="7"/>
  <c r="L43" i="7"/>
  <c r="D43" i="7"/>
  <c r="BD42" i="7"/>
  <c r="AV42" i="7"/>
  <c r="AN42" i="7"/>
  <c r="AF42" i="7"/>
  <c r="X42" i="7"/>
  <c r="P42" i="7"/>
  <c r="H42" i="7"/>
  <c r="AZ41" i="7"/>
  <c r="BD40" i="7"/>
  <c r="AV40" i="7"/>
  <c r="BD39" i="7"/>
  <c r="AV39" i="7"/>
  <c r="AZ38" i="7"/>
  <c r="BD37" i="7"/>
  <c r="AZ36" i="7"/>
  <c r="BD35" i="7"/>
  <c r="AV35" i="7"/>
  <c r="AN35" i="7"/>
  <c r="AF35" i="7"/>
  <c r="X35" i="7"/>
  <c r="P35" i="7"/>
  <c r="L35" i="7"/>
  <c r="AW61" i="7"/>
  <c r="AW59" i="7"/>
  <c r="AK58" i="7"/>
  <c r="Y57" i="7"/>
  <c r="AK56" i="7"/>
  <c r="AW55" i="7"/>
  <c r="AS54" i="7"/>
  <c r="Y53" i="7"/>
  <c r="AS52" i="7"/>
  <c r="E52" i="7"/>
  <c r="AC50" i="7"/>
  <c r="M50" i="7"/>
  <c r="E50" i="7"/>
  <c r="AO49" i="7"/>
  <c r="BA48" i="7"/>
  <c r="AK48" i="7"/>
  <c r="AW47" i="7"/>
  <c r="AK46" i="7"/>
  <c r="BE60" i="7"/>
  <c r="BA58" i="7"/>
  <c r="AO57" i="7"/>
  <c r="BA56" i="7"/>
  <c r="E56" i="7"/>
  <c r="Q55" i="7"/>
  <c r="AC54" i="7"/>
  <c r="BE53" i="7"/>
  <c r="AC52" i="7"/>
  <c r="AO51" i="7"/>
  <c r="Y51" i="7"/>
  <c r="AS50" i="7"/>
  <c r="I49" i="7"/>
  <c r="U48" i="7"/>
  <c r="AG47" i="7"/>
  <c r="AO46" i="7"/>
  <c r="AC46" i="7"/>
  <c r="BA45" i="7"/>
  <c r="AO45" i="7"/>
  <c r="AC45" i="7"/>
  <c r="E45" i="7"/>
  <c r="BA44" i="7"/>
  <c r="BA43" i="7"/>
  <c r="AC43" i="7"/>
  <c r="AG42" i="7"/>
  <c r="U42" i="7"/>
  <c r="I42" i="7"/>
  <c r="BE41" i="7"/>
  <c r="AS41" i="7"/>
  <c r="BE40" i="7"/>
  <c r="AS40" i="7"/>
  <c r="BE39" i="7"/>
  <c r="AW39" i="7"/>
  <c r="AW38" i="7"/>
  <c r="AW37" i="7"/>
  <c r="BE36" i="7"/>
  <c r="AS36" i="7"/>
  <c r="BE35" i="7"/>
  <c r="AS35" i="7"/>
  <c r="AG35" i="7"/>
  <c r="U35" i="7"/>
  <c r="I35" i="7"/>
  <c r="BE34" i="7"/>
  <c r="AS34" i="7"/>
  <c r="AG34" i="7"/>
  <c r="U34" i="7"/>
  <c r="I34" i="7"/>
  <c r="BE33" i="7"/>
  <c r="AS33" i="7"/>
  <c r="BE32" i="7"/>
  <c r="AS32" i="7"/>
  <c r="BA31" i="7"/>
  <c r="AW30" i="7"/>
  <c r="BA29" i="7"/>
  <c r="AW28" i="7"/>
  <c r="BA27" i="7"/>
  <c r="BA26" i="7"/>
  <c r="BE25" i="7"/>
  <c r="AS25" i="7"/>
  <c r="BE24" i="7"/>
  <c r="AS24" i="7"/>
  <c r="BE23" i="7"/>
  <c r="AS23" i="7"/>
  <c r="BE22" i="7"/>
  <c r="BA21" i="7"/>
  <c r="AW20" i="7"/>
  <c r="BE19" i="7"/>
  <c r="AS19" i="7"/>
  <c r="BE18" i="7"/>
  <c r="AS18" i="7"/>
  <c r="AG18" i="7"/>
  <c r="U18" i="7"/>
  <c r="I18" i="7"/>
  <c r="BE17" i="7"/>
  <c r="AS17" i="7"/>
  <c r="BA16" i="7"/>
  <c r="AW15" i="7"/>
  <c r="BE14" i="7"/>
  <c r="AS14" i="7"/>
  <c r="BE13" i="7"/>
  <c r="AS13" i="7"/>
  <c r="BE12" i="7"/>
  <c r="AS12" i="7"/>
  <c r="BE11" i="7"/>
  <c r="AS11" i="7"/>
  <c r="BA10" i="7"/>
  <c r="AS9" i="7"/>
  <c r="BE8" i="7"/>
  <c r="AS8" i="7"/>
  <c r="BE7" i="7"/>
  <c r="BA6" i="7"/>
  <c r="AW5" i="7"/>
  <c r="BE4" i="7"/>
  <c r="AS4" i="7"/>
  <c r="BF3" i="7"/>
  <c r="Q46" i="7"/>
  <c r="Y45" i="7"/>
  <c r="AW44" i="7"/>
  <c r="AO43" i="7"/>
  <c r="BE3" i="7"/>
  <c r="BA3" i="7"/>
  <c r="AS3" i="7"/>
  <c r="BD62" i="7"/>
  <c r="AV62" i="7"/>
  <c r="AZ61" i="7"/>
  <c r="BD60" i="7"/>
  <c r="AV60" i="7"/>
  <c r="AZ59" i="7"/>
  <c r="BD58" i="7"/>
  <c r="AV58" i="7"/>
  <c r="AN58" i="7"/>
  <c r="AF58" i="7"/>
  <c r="X58" i="7"/>
  <c r="P58" i="7"/>
  <c r="H58" i="7"/>
  <c r="BH57" i="7"/>
  <c r="AZ57" i="7"/>
  <c r="AR57" i="7"/>
  <c r="AJ57" i="7"/>
  <c r="AB57" i="7"/>
  <c r="T57" i="7"/>
  <c r="L57" i="7"/>
  <c r="D57" i="7"/>
  <c r="BD56" i="7"/>
  <c r="AV56" i="7"/>
  <c r="AN56" i="7"/>
  <c r="AF56" i="7"/>
  <c r="X56" i="7"/>
  <c r="P56" i="7"/>
  <c r="H56" i="7"/>
  <c r="BH55" i="7"/>
  <c r="AZ55" i="7"/>
  <c r="AR55" i="7"/>
  <c r="AJ55" i="7"/>
  <c r="AB55" i="7"/>
  <c r="X55" i="7"/>
  <c r="T55" i="7"/>
  <c r="L55" i="7"/>
  <c r="BH54" i="7"/>
  <c r="AZ54" i="7"/>
  <c r="AR54" i="7"/>
  <c r="AJ54" i="7"/>
  <c r="AF54" i="7"/>
  <c r="X54" i="7"/>
  <c r="P54" i="7"/>
  <c r="H54" i="7"/>
  <c r="BH53" i="7"/>
  <c r="AZ53" i="7"/>
  <c r="AR53" i="7"/>
  <c r="AJ53" i="7"/>
  <c r="AB53" i="7"/>
  <c r="T53" i="7"/>
  <c r="L53" i="7"/>
  <c r="D53" i="7"/>
  <c r="BD52" i="7"/>
  <c r="AV52" i="7"/>
  <c r="AN52" i="7"/>
  <c r="AF52" i="7"/>
  <c r="X52" i="7"/>
  <c r="P52" i="7"/>
  <c r="H52" i="7"/>
  <c r="BH51" i="7"/>
  <c r="AZ51" i="7"/>
  <c r="AR51" i="7"/>
  <c r="AJ51" i="7"/>
  <c r="AB51" i="7"/>
  <c r="T51" i="7"/>
  <c r="L51" i="7"/>
  <c r="D51" i="7"/>
  <c r="BD50" i="7"/>
  <c r="AV50" i="7"/>
  <c r="AN50" i="7"/>
  <c r="AF50" i="7"/>
  <c r="X50" i="7"/>
  <c r="P50" i="7"/>
  <c r="H50" i="7"/>
  <c r="BH49" i="7"/>
  <c r="AZ49" i="7"/>
  <c r="AR49" i="7"/>
  <c r="AJ49" i="7"/>
  <c r="AB49" i="7"/>
  <c r="T49" i="7"/>
  <c r="L49" i="7"/>
  <c r="D49" i="7"/>
  <c r="BD48" i="7"/>
  <c r="AV48" i="7"/>
  <c r="AN48" i="7"/>
  <c r="AF48" i="7"/>
  <c r="X48" i="7"/>
  <c r="P48" i="7"/>
  <c r="H48" i="7"/>
  <c r="BH47" i="7"/>
  <c r="AZ47" i="7"/>
  <c r="AR47" i="7"/>
  <c r="AJ47" i="7"/>
  <c r="AB47" i="7"/>
  <c r="T47" i="7"/>
  <c r="L47" i="7"/>
  <c r="BD46" i="7"/>
  <c r="AN46" i="7"/>
  <c r="X46" i="7"/>
  <c r="P46" i="7"/>
  <c r="H46" i="7"/>
  <c r="D46" i="7"/>
  <c r="BD45" i="7"/>
  <c r="AZ45" i="7"/>
  <c r="AV45" i="7"/>
  <c r="AR45" i="7"/>
  <c r="AN45" i="7"/>
  <c r="AJ45" i="7"/>
  <c r="AF45" i="7"/>
  <c r="AB45" i="7"/>
  <c r="T45" i="7"/>
  <c r="L45" i="7"/>
  <c r="AZ44" i="7"/>
  <c r="BD43" i="7"/>
  <c r="AV43" i="7"/>
  <c r="AN43" i="7"/>
  <c r="AF43" i="7"/>
  <c r="X43" i="7"/>
  <c r="P43" i="7"/>
  <c r="H43" i="7"/>
  <c r="BH42" i="7"/>
  <c r="AZ42" i="7"/>
  <c r="AR42" i="7"/>
  <c r="AJ42" i="7"/>
  <c r="AB42" i="7"/>
  <c r="T42" i="7"/>
  <c r="L42" i="7"/>
  <c r="D42" i="7"/>
  <c r="BD41" i="7"/>
  <c r="AV41" i="7"/>
  <c r="AZ40" i="7"/>
  <c r="AZ39" i="7"/>
  <c r="BD38" i="7"/>
  <c r="AV38" i="7"/>
  <c r="AZ37" i="7"/>
  <c r="AV37" i="7"/>
  <c r="BD36" i="7"/>
  <c r="AV36" i="7"/>
  <c r="BH35" i="7"/>
  <c r="AZ35" i="7"/>
  <c r="AR35" i="7"/>
  <c r="AJ35" i="7"/>
  <c r="AB35" i="7"/>
  <c r="T35" i="7"/>
  <c r="H35" i="7"/>
  <c r="BE61" i="7"/>
  <c r="BI58" i="7"/>
  <c r="AC58" i="7"/>
  <c r="M58" i="7"/>
  <c r="E58" i="7"/>
  <c r="AW57" i="7"/>
  <c r="Q57" i="7"/>
  <c r="BI56" i="7"/>
  <c r="AC56" i="7"/>
  <c r="M56" i="7"/>
  <c r="AO55" i="7"/>
  <c r="Y55" i="7"/>
  <c r="I55" i="7"/>
  <c r="BA54" i="7"/>
  <c r="U54" i="7"/>
  <c r="E54" i="7"/>
  <c r="AW53" i="7"/>
  <c r="AG53" i="7"/>
  <c r="I53" i="7"/>
  <c r="BA52" i="7"/>
  <c r="U52" i="7"/>
  <c r="AW51" i="7"/>
  <c r="Q51" i="7"/>
  <c r="I51" i="7"/>
  <c r="BA50" i="7"/>
  <c r="U50" i="7"/>
  <c r="BE49" i="7"/>
  <c r="AG49" i="7"/>
  <c r="Q49" i="7"/>
  <c r="BI48" i="7"/>
  <c r="AS48" i="7"/>
  <c r="M48" i="7"/>
  <c r="BE47" i="7"/>
  <c r="Y47" i="7"/>
  <c r="I47" i="7"/>
  <c r="AV46" i="7"/>
  <c r="E46" i="7"/>
  <c r="BD3" i="7"/>
  <c r="AZ3" i="7"/>
  <c r="AV3" i="7"/>
  <c r="BC62" i="7"/>
  <c r="AY62" i="7"/>
  <c r="AU62" i="7"/>
  <c r="AQ62" i="7"/>
  <c r="AI62" i="7"/>
  <c r="BC61" i="7"/>
  <c r="AY61" i="7"/>
  <c r="AU61" i="7"/>
  <c r="AQ61" i="7"/>
  <c r="AI61" i="7"/>
  <c r="BC60" i="7"/>
  <c r="AY60" i="7"/>
  <c r="AU60" i="7"/>
  <c r="AQ60" i="7"/>
  <c r="AI60" i="7"/>
  <c r="BC59" i="7"/>
  <c r="AY59" i="7"/>
  <c r="AU59" i="7"/>
  <c r="AQ59" i="7"/>
  <c r="AI59" i="7"/>
  <c r="BG58" i="7"/>
  <c r="BC58" i="7"/>
  <c r="AY58" i="7"/>
  <c r="AU58" i="7"/>
  <c r="AQ58" i="7"/>
  <c r="AM58" i="7"/>
  <c r="AI58" i="7"/>
  <c r="AE58" i="7"/>
  <c r="AA58" i="7"/>
  <c r="W58" i="7"/>
  <c r="S58" i="7"/>
  <c r="O58" i="7"/>
  <c r="K58" i="7"/>
  <c r="G58" i="7"/>
  <c r="C58" i="7"/>
  <c r="BG57" i="7"/>
  <c r="BC57" i="7"/>
  <c r="AY57" i="7"/>
  <c r="AU57" i="7"/>
  <c r="AQ57" i="7"/>
  <c r="AM57" i="7"/>
  <c r="AI57" i="7"/>
  <c r="AE57" i="7"/>
  <c r="AA57" i="7"/>
  <c r="W57" i="7"/>
  <c r="S57" i="7"/>
  <c r="O57" i="7"/>
  <c r="K57" i="7"/>
  <c r="G57" i="7"/>
  <c r="C57" i="7"/>
  <c r="BG56" i="7"/>
  <c r="BC56" i="7"/>
  <c r="AY56" i="7"/>
  <c r="AU56" i="7"/>
  <c r="AQ56" i="7"/>
  <c r="AM56" i="7"/>
  <c r="AI56" i="7"/>
  <c r="AE56" i="7"/>
  <c r="AA56" i="7"/>
  <c r="W56" i="7"/>
  <c r="S56" i="7"/>
  <c r="O56" i="7"/>
  <c r="K56" i="7"/>
  <c r="G56" i="7"/>
  <c r="C56" i="7"/>
  <c r="BG55" i="7"/>
  <c r="BC55" i="7"/>
  <c r="AY55" i="7"/>
  <c r="AU55" i="7"/>
  <c r="AQ55" i="7"/>
  <c r="AM55" i="7"/>
  <c r="AI55" i="7"/>
  <c r="AE55" i="7"/>
  <c r="AA55" i="7"/>
  <c r="W55" i="7"/>
  <c r="S55" i="7"/>
  <c r="O55" i="7"/>
  <c r="K55" i="7"/>
  <c r="G55" i="7"/>
  <c r="C55" i="7"/>
  <c r="BG54" i="7"/>
  <c r="BC54" i="7"/>
  <c r="AY54" i="7"/>
  <c r="AU54" i="7"/>
  <c r="AQ54" i="7"/>
  <c r="AM54" i="7"/>
  <c r="AI54" i="7"/>
  <c r="AE54" i="7"/>
  <c r="AA54" i="7"/>
  <c r="W54" i="7"/>
  <c r="S54" i="7"/>
  <c r="O54" i="7"/>
  <c r="K54" i="7"/>
  <c r="G54" i="7"/>
  <c r="C54" i="7"/>
  <c r="BG53" i="7"/>
  <c r="BC53" i="7"/>
  <c r="AY53" i="7"/>
  <c r="AU53" i="7"/>
  <c r="AQ53" i="7"/>
  <c r="AM53" i="7"/>
  <c r="AI53" i="7"/>
  <c r="AE53" i="7"/>
  <c r="AA53" i="7"/>
  <c r="W53" i="7"/>
  <c r="S53" i="7"/>
  <c r="O53" i="7"/>
  <c r="K53" i="7"/>
  <c r="G53" i="7"/>
  <c r="C53" i="7"/>
  <c r="BG52" i="7"/>
  <c r="BC52" i="7"/>
  <c r="AY52" i="7"/>
  <c r="AU52" i="7"/>
  <c r="AQ52" i="7"/>
  <c r="AM52" i="7"/>
  <c r="AI52" i="7"/>
  <c r="AE52" i="7"/>
  <c r="AA52" i="7"/>
  <c r="W52" i="7"/>
  <c r="S52" i="7"/>
  <c r="O52" i="7"/>
  <c r="K52" i="7"/>
  <c r="G52" i="7"/>
  <c r="C52" i="7"/>
  <c r="BG51" i="7"/>
  <c r="BC51" i="7"/>
  <c r="AY51" i="7"/>
  <c r="AU51" i="7"/>
  <c r="AQ51" i="7"/>
  <c r="AM51" i="7"/>
  <c r="AI51" i="7"/>
  <c r="AE51" i="7"/>
  <c r="AA51" i="7"/>
  <c r="W51" i="7"/>
  <c r="S51" i="7"/>
  <c r="O51" i="7"/>
  <c r="K51" i="7"/>
  <c r="G51" i="7"/>
  <c r="C51" i="7"/>
  <c r="BG50" i="7"/>
  <c r="BC50" i="7"/>
  <c r="AY50" i="7"/>
  <c r="AU50" i="7"/>
  <c r="AQ50" i="7"/>
  <c r="AM50" i="7"/>
  <c r="AI50" i="7"/>
  <c r="AE50" i="7"/>
  <c r="AA50" i="7"/>
  <c r="W50" i="7"/>
  <c r="S50" i="7"/>
  <c r="O50" i="7"/>
  <c r="K50" i="7"/>
  <c r="G50" i="7"/>
  <c r="C50" i="7"/>
  <c r="BG49" i="7"/>
  <c r="BC49" i="7"/>
  <c r="AY49" i="7"/>
  <c r="AU49" i="7"/>
  <c r="AQ49" i="7"/>
  <c r="AM49" i="7"/>
  <c r="AI49" i="7"/>
  <c r="AE49" i="7"/>
  <c r="AA49" i="7"/>
  <c r="W49" i="7"/>
  <c r="S49" i="7"/>
  <c r="O49" i="7"/>
  <c r="K49" i="7"/>
  <c r="G49" i="7"/>
  <c r="C49" i="7"/>
  <c r="BG48" i="7"/>
  <c r="BC48" i="7"/>
  <c r="AY48" i="7"/>
  <c r="AU48" i="7"/>
  <c r="AQ48" i="7"/>
  <c r="AM48" i="7"/>
  <c r="AI48" i="7"/>
  <c r="AE48" i="7"/>
  <c r="AA48" i="7"/>
  <c r="W48" i="7"/>
  <c r="S48" i="7"/>
  <c r="O48" i="7"/>
  <c r="K48" i="7"/>
  <c r="G48" i="7"/>
  <c r="C48" i="7"/>
  <c r="BG47" i="7"/>
  <c r="BC47" i="7"/>
  <c r="AY47" i="7"/>
  <c r="AU47" i="7"/>
  <c r="AQ47" i="7"/>
  <c r="AM47" i="7"/>
  <c r="AI47" i="7"/>
  <c r="AE47" i="7"/>
  <c r="AA47" i="7"/>
  <c r="W47" i="7"/>
  <c r="S47" i="7"/>
  <c r="O47" i="7"/>
  <c r="K47" i="7"/>
  <c r="G47" i="7"/>
  <c r="C47" i="7"/>
  <c r="BG46" i="7"/>
  <c r="AY46" i="7"/>
  <c r="AU46" i="7"/>
  <c r="AM46" i="7"/>
  <c r="AI46" i="7"/>
  <c r="AE46" i="7"/>
  <c r="AA46" i="7"/>
  <c r="S46" i="7"/>
  <c r="O46" i="7"/>
  <c r="G46" i="7"/>
  <c r="C46" i="7"/>
  <c r="BG45" i="7"/>
  <c r="BC45" i="7"/>
  <c r="AY45" i="7"/>
  <c r="AQ45" i="7"/>
  <c r="AM45" i="7"/>
  <c r="AI45" i="7"/>
  <c r="AA45" i="7"/>
  <c r="W45" i="7"/>
  <c r="S45" i="7"/>
  <c r="K45" i="7"/>
  <c r="G45" i="7"/>
  <c r="C45" i="7"/>
  <c r="AY44" i="7"/>
  <c r="AU44" i="7"/>
  <c r="AI44" i="7"/>
  <c r="BG43" i="7"/>
  <c r="BC43" i="7"/>
  <c r="AY43" i="7"/>
  <c r="AQ43" i="7"/>
  <c r="AM43" i="7"/>
  <c r="AI43" i="7"/>
  <c r="AA43" i="7"/>
  <c r="W43" i="7"/>
  <c r="S43" i="7"/>
  <c r="K43" i="7"/>
  <c r="G43" i="7"/>
  <c r="C43" i="7"/>
  <c r="BC42" i="7"/>
  <c r="AY42" i="7"/>
  <c r="AU42" i="7"/>
  <c r="AM42" i="7"/>
  <c r="AI42" i="7"/>
  <c r="AE42" i="7"/>
  <c r="W42" i="7"/>
  <c r="S42" i="7"/>
  <c r="O42" i="7"/>
  <c r="G42" i="7"/>
  <c r="C42" i="7"/>
  <c r="BG41" i="7"/>
  <c r="BC41" i="7"/>
  <c r="AU41" i="7"/>
  <c r="AQ41" i="7"/>
  <c r="AI41" i="7"/>
  <c r="O41" i="7"/>
  <c r="K41" i="7"/>
  <c r="G41" i="7"/>
  <c r="C41" i="7"/>
  <c r="BG40" i="7"/>
  <c r="BC40" i="7"/>
  <c r="AY40" i="7"/>
  <c r="AQ40" i="7"/>
  <c r="AE40" i="7"/>
  <c r="AA40" i="7"/>
  <c r="W40" i="7"/>
  <c r="S40" i="7"/>
  <c r="BC39" i="7"/>
  <c r="AU39" i="7"/>
  <c r="AQ39" i="7"/>
  <c r="AI39" i="7"/>
  <c r="O39" i="7"/>
  <c r="K39" i="7"/>
  <c r="G39" i="7"/>
  <c r="C39" i="7"/>
  <c r="BG38" i="7"/>
  <c r="BC38" i="7"/>
  <c r="AY38" i="7"/>
  <c r="AU38" i="7"/>
  <c r="AQ38" i="7"/>
  <c r="AM38" i="7"/>
  <c r="AI38" i="7"/>
  <c r="AE38" i="7"/>
  <c r="AA38" i="7"/>
  <c r="W38" i="7"/>
  <c r="S38" i="7"/>
  <c r="BC37" i="7"/>
  <c r="AY37" i="7"/>
  <c r="AU37" i="7"/>
  <c r="AI37" i="7"/>
  <c r="BC36" i="7"/>
  <c r="AY36" i="7"/>
  <c r="AU36" i="7"/>
  <c r="AQ36" i="7"/>
  <c r="AM36" i="7"/>
  <c r="AI36" i="7"/>
  <c r="BC35" i="7"/>
  <c r="AY35" i="7"/>
  <c r="AU35" i="7"/>
  <c r="AQ35" i="7"/>
  <c r="AI35" i="7"/>
  <c r="AE35" i="7"/>
  <c r="W35" i="7"/>
  <c r="S35" i="7"/>
  <c r="O35" i="7"/>
  <c r="K35" i="7"/>
  <c r="C35" i="7"/>
  <c r="BG34" i="7"/>
  <c r="AY34" i="7"/>
  <c r="AU34" i="7"/>
  <c r="AQ34" i="7"/>
  <c r="AM34" i="7"/>
  <c r="AE34" i="7"/>
  <c r="AA34" i="7"/>
  <c r="S34" i="7"/>
  <c r="O34" i="7"/>
  <c r="K34" i="7"/>
  <c r="G34" i="7"/>
  <c r="BC33" i="7"/>
  <c r="AY33" i="7"/>
  <c r="AQ33" i="7"/>
  <c r="AY26" i="7"/>
  <c r="AU21" i="7"/>
  <c r="BB3" i="7"/>
  <c r="AT3" i="7"/>
  <c r="BC46" i="7"/>
  <c r="AR46" i="7"/>
  <c r="W46" i="7"/>
  <c r="L46" i="7"/>
  <c r="BI45" i="7"/>
  <c r="AW45" i="7"/>
  <c r="Q45" i="7"/>
  <c r="AW43" i="7"/>
  <c r="AG43" i="7"/>
  <c r="Q43" i="7"/>
  <c r="BI42" i="7"/>
  <c r="AS42" i="7"/>
  <c r="AC42" i="7"/>
  <c r="M42" i="7"/>
  <c r="BA41" i="7"/>
  <c r="AU40" i="7"/>
  <c r="AI40" i="7"/>
  <c r="AY39" i="7"/>
  <c r="AM35" i="7"/>
  <c r="G35" i="7"/>
  <c r="AI34" i="7"/>
  <c r="C34" i="7"/>
  <c r="AP3" i="7"/>
  <c r="R3" i="7"/>
  <c r="BE62" i="7"/>
  <c r="AW62" i="7"/>
  <c r="AW60" i="7"/>
  <c r="BE59" i="7"/>
  <c r="AS58" i="7"/>
  <c r="U58" i="7"/>
  <c r="BE57" i="7"/>
  <c r="AG57" i="7"/>
  <c r="I57" i="7"/>
  <c r="AS56" i="7"/>
  <c r="U56" i="7"/>
  <c r="BE55" i="7"/>
  <c r="AG55" i="7"/>
  <c r="BI54" i="7"/>
  <c r="AK54" i="7"/>
  <c r="M54" i="7"/>
  <c r="AO53" i="7"/>
  <c r="Q53" i="7"/>
  <c r="BI52" i="7"/>
  <c r="AK52" i="7"/>
  <c r="M52" i="7"/>
  <c r="BE51" i="7"/>
  <c r="AG51" i="7"/>
  <c r="BI50" i="7"/>
  <c r="AK50" i="7"/>
  <c r="AW49" i="7"/>
  <c r="Y49" i="7"/>
  <c r="AC48" i="7"/>
  <c r="E48" i="7"/>
  <c r="AO47" i="7"/>
  <c r="Q47" i="7"/>
  <c r="E47" i="7"/>
  <c r="BE46" i="7"/>
  <c r="AS46" i="7"/>
  <c r="AG46" i="7"/>
  <c r="I46" i="7"/>
  <c r="BE45" i="7"/>
  <c r="AS45" i="7"/>
  <c r="AG45" i="7"/>
  <c r="U45" i="7"/>
  <c r="BE44" i="7"/>
  <c r="AS44" i="7"/>
  <c r="BE43" i="7"/>
  <c r="AS43" i="7"/>
  <c r="AK43" i="7"/>
  <c r="Y43" i="7"/>
  <c r="I43" i="7"/>
  <c r="BE42" i="7"/>
  <c r="AW42" i="7"/>
  <c r="AK42" i="7"/>
  <c r="Y42" i="7"/>
  <c r="Q42" i="7"/>
  <c r="AW41" i="7"/>
  <c r="AW40" i="7"/>
  <c r="AS39" i="7"/>
  <c r="BE38" i="7"/>
  <c r="AS38" i="7"/>
  <c r="BE37" i="7"/>
  <c r="AS37" i="7"/>
  <c r="BA36" i="7"/>
  <c r="BA35" i="7"/>
  <c r="AO35" i="7"/>
  <c r="AC35" i="7"/>
  <c r="Q35" i="7"/>
  <c r="BI34" i="7"/>
  <c r="AW34" i="7"/>
  <c r="AK34" i="7"/>
  <c r="AC34" i="7"/>
  <c r="Q34" i="7"/>
  <c r="AW33" i="7"/>
  <c r="AW32" i="7"/>
  <c r="AW31" i="7"/>
  <c r="BA30" i="7"/>
  <c r="AW29" i="7"/>
  <c r="BA28" i="7"/>
  <c r="AW27" i="7"/>
  <c r="AW26" i="7"/>
  <c r="AW25" i="7"/>
  <c r="AW24" i="7"/>
  <c r="BA23" i="7"/>
  <c r="BA22" i="7"/>
  <c r="AS22" i="7"/>
  <c r="BE21" i="7"/>
  <c r="AS21" i="7"/>
  <c r="BE20" i="7"/>
  <c r="AS20" i="7"/>
  <c r="AW19" i="7"/>
  <c r="BI18" i="7"/>
  <c r="AW18" i="7"/>
  <c r="AK18" i="7"/>
  <c r="Y18" i="7"/>
  <c r="M18" i="7"/>
  <c r="E18" i="7"/>
  <c r="BA17" i="7"/>
  <c r="BE16" i="7"/>
  <c r="AS16" i="7"/>
  <c r="BE15" i="7"/>
  <c r="AS15" i="7"/>
  <c r="BA14" i="7"/>
  <c r="AW13" i="7"/>
  <c r="AW12" i="7"/>
  <c r="BA11" i="7"/>
  <c r="BE10" i="7"/>
  <c r="AS10" i="7"/>
  <c r="BE9" i="7"/>
  <c r="AW9" i="7"/>
  <c r="AW8" i="7"/>
  <c r="BA7" i="7"/>
  <c r="AS7" i="7"/>
  <c r="BE6" i="7"/>
  <c r="AS6" i="7"/>
  <c r="BE5" i="7"/>
  <c r="AS5" i="7"/>
  <c r="AW4" i="7"/>
  <c r="AX3" i="7"/>
  <c r="BC3" i="7"/>
  <c r="AU3" i="7"/>
  <c r="AQ3" i="7"/>
  <c r="AM3" i="7"/>
  <c r="AI3" i="7"/>
  <c r="AE3" i="7"/>
  <c r="AA3" i="7"/>
  <c r="W3" i="7"/>
  <c r="S3" i="7"/>
  <c r="O3" i="7"/>
  <c r="K3" i="7"/>
  <c r="G3" i="7"/>
  <c r="BJ62" i="7"/>
  <c r="BF62" i="7"/>
  <c r="BB62" i="7"/>
  <c r="AX62" i="7"/>
  <c r="AT62" i="7"/>
  <c r="AP62" i="7"/>
  <c r="AH62" i="7"/>
  <c r="AD62" i="7"/>
  <c r="Z62" i="7"/>
  <c r="V62" i="7"/>
  <c r="R62" i="7"/>
  <c r="N62" i="7"/>
  <c r="J62" i="7"/>
  <c r="F62" i="7"/>
  <c r="BJ61" i="7"/>
  <c r="BF61" i="7"/>
  <c r="BB61" i="7"/>
  <c r="AX61" i="7"/>
  <c r="AT61" i="7"/>
  <c r="AP61" i="7"/>
  <c r="AH61" i="7"/>
  <c r="AD61" i="7"/>
  <c r="Z61" i="7"/>
  <c r="V61" i="7"/>
  <c r="R61" i="7"/>
  <c r="N61" i="7"/>
  <c r="J61" i="7"/>
  <c r="F61" i="7"/>
  <c r="BJ60" i="7"/>
  <c r="BB60" i="7"/>
  <c r="AX60" i="7"/>
  <c r="AT60" i="7"/>
  <c r="AP60" i="7"/>
  <c r="AH60" i="7"/>
  <c r="AD60" i="7"/>
  <c r="Z60" i="7"/>
  <c r="V60" i="7"/>
  <c r="R60" i="7"/>
  <c r="N60" i="7"/>
  <c r="J60" i="7"/>
  <c r="F60" i="7"/>
  <c r="BJ59" i="7"/>
  <c r="BF59" i="7"/>
  <c r="BB59" i="7"/>
  <c r="AX59" i="7"/>
  <c r="AT59" i="7"/>
  <c r="AP59" i="7"/>
  <c r="AH59" i="7"/>
  <c r="AD59" i="7"/>
  <c r="Z59" i="7"/>
  <c r="V59" i="7"/>
  <c r="R59" i="7"/>
  <c r="N59" i="7"/>
  <c r="F59" i="7"/>
  <c r="BJ58" i="7"/>
  <c r="BF58" i="7"/>
  <c r="BB58" i="7"/>
  <c r="AX58" i="7"/>
  <c r="AT58" i="7"/>
  <c r="AP58" i="7"/>
  <c r="AL58" i="7"/>
  <c r="AH58" i="7"/>
  <c r="AD58" i="7"/>
  <c r="Z58" i="7"/>
  <c r="V58" i="7"/>
  <c r="R58" i="7"/>
  <c r="N58" i="7"/>
  <c r="J58" i="7"/>
  <c r="F58" i="7"/>
  <c r="BJ57" i="7"/>
  <c r="BF57" i="7"/>
  <c r="BB57" i="7"/>
  <c r="AX57" i="7"/>
  <c r="AT57" i="7"/>
  <c r="AP57" i="7"/>
  <c r="AL57" i="7"/>
  <c r="AH57" i="7"/>
  <c r="AD57" i="7"/>
  <c r="Z57" i="7"/>
  <c r="V57" i="7"/>
  <c r="R57" i="7"/>
  <c r="N57" i="7"/>
  <c r="J57" i="7"/>
  <c r="F57" i="7"/>
  <c r="BJ56" i="7"/>
  <c r="BF56" i="7"/>
  <c r="BB56" i="7"/>
  <c r="AX56" i="7"/>
  <c r="AT56" i="7"/>
  <c r="AP56" i="7"/>
  <c r="AL56" i="7"/>
  <c r="AH56" i="7"/>
  <c r="AD56" i="7"/>
  <c r="Z56" i="7"/>
  <c r="V56" i="7"/>
  <c r="R56" i="7"/>
  <c r="N56" i="7"/>
  <c r="J56" i="7"/>
  <c r="F56" i="7"/>
  <c r="BJ55" i="7"/>
  <c r="BF55" i="7"/>
  <c r="BB55" i="7"/>
  <c r="AX55" i="7"/>
  <c r="AT55" i="7"/>
  <c r="AP55" i="7"/>
  <c r="AL55" i="7"/>
  <c r="AH55" i="7"/>
  <c r="AD55" i="7"/>
  <c r="Z55" i="7"/>
  <c r="V55" i="7"/>
  <c r="R55" i="7"/>
  <c r="N55" i="7"/>
  <c r="J55" i="7"/>
  <c r="F55" i="7"/>
  <c r="BJ54" i="7"/>
  <c r="BF54" i="7"/>
  <c r="BB54" i="7"/>
  <c r="AX54" i="7"/>
  <c r="AT54" i="7"/>
  <c r="AP54" i="7"/>
  <c r="AL54" i="7"/>
  <c r="AH54" i="7"/>
  <c r="AD54" i="7"/>
  <c r="Z54" i="7"/>
  <c r="V54" i="7"/>
  <c r="R54" i="7"/>
  <c r="N54" i="7"/>
  <c r="J54" i="7"/>
  <c r="F54" i="7"/>
  <c r="BJ53" i="7"/>
  <c r="BF53" i="7"/>
  <c r="BB53" i="7"/>
  <c r="AX53" i="7"/>
  <c r="AT53" i="7"/>
  <c r="AP53" i="7"/>
  <c r="AL53" i="7"/>
  <c r="AH53" i="7"/>
  <c r="AD53" i="7"/>
  <c r="Z53" i="7"/>
  <c r="V53" i="7"/>
  <c r="R53" i="7"/>
  <c r="N53" i="7"/>
  <c r="J53" i="7"/>
  <c r="F53" i="7"/>
  <c r="BJ52" i="7"/>
  <c r="BF52" i="7"/>
  <c r="BB52" i="7"/>
  <c r="AX52" i="7"/>
  <c r="AT52" i="7"/>
  <c r="AP52" i="7"/>
  <c r="AL52" i="7"/>
  <c r="AH52" i="7"/>
  <c r="AD52" i="7"/>
  <c r="Z52" i="7"/>
  <c r="V52" i="7"/>
  <c r="R52" i="7"/>
  <c r="N52" i="7"/>
  <c r="J52" i="7"/>
  <c r="F52" i="7"/>
  <c r="BJ51" i="7"/>
  <c r="BF51" i="7"/>
  <c r="BB51" i="7"/>
  <c r="AX51" i="7"/>
  <c r="AT51" i="7"/>
  <c r="AP51" i="7"/>
  <c r="AL51" i="7"/>
  <c r="AH51" i="7"/>
  <c r="AD51" i="7"/>
  <c r="Z51" i="7"/>
  <c r="V51" i="7"/>
  <c r="R51" i="7"/>
  <c r="N51" i="7"/>
  <c r="J51" i="7"/>
  <c r="F51" i="7"/>
  <c r="BJ50" i="7"/>
  <c r="BF50" i="7"/>
  <c r="BB50" i="7"/>
  <c r="AX50" i="7"/>
  <c r="AT50" i="7"/>
  <c r="AP50" i="7"/>
  <c r="AL50" i="7"/>
  <c r="AH50" i="7"/>
  <c r="AD50" i="7"/>
  <c r="Z50" i="7"/>
  <c r="V50" i="7"/>
  <c r="R50" i="7"/>
  <c r="N50" i="7"/>
  <c r="J50" i="7"/>
  <c r="F50" i="7"/>
  <c r="BJ49" i="7"/>
  <c r="BF49" i="7"/>
  <c r="BB49" i="7"/>
  <c r="AX49" i="7"/>
  <c r="AT49" i="7"/>
  <c r="AP49" i="7"/>
  <c r="AL49" i="7"/>
  <c r="AH49" i="7"/>
  <c r="AD49" i="7"/>
  <c r="Z49" i="7"/>
  <c r="V49" i="7"/>
  <c r="R49" i="7"/>
  <c r="N49" i="7"/>
  <c r="J49" i="7"/>
  <c r="F49" i="7"/>
  <c r="BJ48" i="7"/>
  <c r="BF48" i="7"/>
  <c r="BB48" i="7"/>
  <c r="AX48" i="7"/>
  <c r="AT48" i="7"/>
  <c r="AP48" i="7"/>
  <c r="AL48" i="7"/>
  <c r="AH48" i="7"/>
  <c r="AD48" i="7"/>
  <c r="Z48" i="7"/>
  <c r="V48" i="7"/>
  <c r="R48" i="7"/>
  <c r="N48" i="7"/>
  <c r="J48" i="7"/>
  <c r="F48" i="7"/>
  <c r="BJ47" i="7"/>
  <c r="BF47" i="7"/>
  <c r="BB47" i="7"/>
  <c r="AX47" i="7"/>
  <c r="AT47" i="7"/>
  <c r="AP47" i="7"/>
  <c r="AL47" i="7"/>
  <c r="AH47" i="7"/>
  <c r="AD47" i="7"/>
  <c r="Z47" i="7"/>
  <c r="V47" i="7"/>
  <c r="R47" i="7"/>
  <c r="N47" i="7"/>
  <c r="J47" i="7"/>
  <c r="F47" i="7"/>
  <c r="BJ46" i="7"/>
  <c r="BF46" i="7"/>
  <c r="BB46" i="7"/>
  <c r="AX46" i="7"/>
  <c r="AT46" i="7"/>
  <c r="AP46" i="7"/>
  <c r="AL46" i="7"/>
  <c r="AH46" i="7"/>
  <c r="AD46" i="7"/>
  <c r="Z46" i="7"/>
  <c r="V46" i="7"/>
  <c r="R46" i="7"/>
  <c r="N46" i="7"/>
  <c r="J46" i="7"/>
  <c r="F46" i="7"/>
  <c r="BJ45" i="7"/>
  <c r="BF45" i="7"/>
  <c r="BB45" i="7"/>
  <c r="AX45" i="7"/>
  <c r="AT45" i="7"/>
  <c r="AP45" i="7"/>
  <c r="AL45" i="7"/>
  <c r="AH45" i="7"/>
  <c r="AD45" i="7"/>
  <c r="Z45" i="7"/>
  <c r="V45" i="7"/>
  <c r="R45" i="7"/>
  <c r="N45" i="7"/>
  <c r="J45" i="7"/>
  <c r="F45" i="7"/>
  <c r="BF44" i="7"/>
  <c r="BB44" i="7"/>
  <c r="AX44" i="7"/>
  <c r="AT44" i="7"/>
  <c r="AP44" i="7"/>
  <c r="AH44" i="7"/>
  <c r="R44" i="7"/>
  <c r="BJ43" i="7"/>
  <c r="BF43" i="7"/>
  <c r="BB43" i="7"/>
  <c r="AX43" i="7"/>
  <c r="AT43" i="7"/>
  <c r="AP43" i="7"/>
  <c r="AL43" i="7"/>
  <c r="AH43" i="7"/>
  <c r="AD43" i="7"/>
  <c r="Z43" i="7"/>
  <c r="V43" i="7"/>
  <c r="R43" i="7"/>
  <c r="N43" i="7"/>
  <c r="J43" i="7"/>
  <c r="F43" i="7"/>
  <c r="BJ42" i="7"/>
  <c r="BF42" i="7"/>
  <c r="BB42" i="7"/>
  <c r="AX42" i="7"/>
  <c r="AT42" i="7"/>
  <c r="AP42" i="7"/>
  <c r="AL42" i="7"/>
  <c r="AH42" i="7"/>
  <c r="AD42" i="7"/>
  <c r="Z42" i="7"/>
  <c r="V42" i="7"/>
  <c r="R42" i="7"/>
  <c r="N42" i="7"/>
  <c r="J42" i="7"/>
  <c r="F42" i="7"/>
  <c r="BF41" i="7"/>
  <c r="BB41" i="7"/>
  <c r="AX41" i="7"/>
  <c r="AT41" i="7"/>
  <c r="AP41" i="7"/>
  <c r="AH41" i="7"/>
  <c r="R41" i="7"/>
  <c r="BF40" i="7"/>
  <c r="BB40" i="7"/>
  <c r="AX40" i="7"/>
  <c r="AT40" i="7"/>
  <c r="AP40" i="7"/>
  <c r="AH40" i="7"/>
  <c r="R40" i="7"/>
  <c r="BF39" i="7"/>
  <c r="BB39" i="7"/>
  <c r="AX39" i="7"/>
  <c r="AT39" i="7"/>
  <c r="AP39" i="7"/>
  <c r="AH39" i="7"/>
  <c r="R39" i="7"/>
  <c r="BF38" i="7"/>
  <c r="BB38" i="7"/>
  <c r="AX38" i="7"/>
  <c r="AT38" i="7"/>
  <c r="AP38" i="7"/>
  <c r="AH38" i="7"/>
  <c r="R38" i="7"/>
  <c r="BF37" i="7"/>
  <c r="BB37" i="7"/>
  <c r="AX37" i="7"/>
  <c r="AT37" i="7"/>
  <c r="AP37" i="7"/>
  <c r="AH37" i="7"/>
  <c r="R37" i="7"/>
  <c r="BF36" i="7"/>
  <c r="BB36" i="7"/>
  <c r="AX36" i="7"/>
  <c r="AT36" i="7"/>
  <c r="AP36" i="7"/>
  <c r="AH36" i="7"/>
  <c r="R36" i="7"/>
  <c r="BJ35" i="7"/>
  <c r="BF35" i="7"/>
  <c r="BB35" i="7"/>
  <c r="AX35" i="7"/>
  <c r="AT35" i="7"/>
  <c r="AP35" i="7"/>
  <c r="AL35" i="7"/>
  <c r="AH35" i="7"/>
  <c r="AD35" i="7"/>
  <c r="Z35" i="7"/>
  <c r="V35" i="7"/>
  <c r="R35" i="7"/>
  <c r="N35" i="7"/>
  <c r="J35" i="7"/>
  <c r="F35" i="7"/>
  <c r="BJ34" i="7"/>
  <c r="BF34" i="7"/>
  <c r="BB34" i="7"/>
  <c r="AX34" i="7"/>
  <c r="AT34" i="7"/>
  <c r="AP34" i="7"/>
  <c r="AL34" i="7"/>
  <c r="AH34" i="7"/>
  <c r="AD34" i="7"/>
  <c r="Z34" i="7"/>
  <c r="V34" i="7"/>
  <c r="R34" i="7"/>
  <c r="N34" i="7"/>
  <c r="J34" i="7"/>
  <c r="F34" i="7"/>
  <c r="BF33" i="7"/>
  <c r="BB33" i="7"/>
  <c r="AX33" i="7"/>
  <c r="AT33" i="7"/>
  <c r="AP33" i="7"/>
  <c r="AH33" i="7"/>
  <c r="R33" i="7"/>
  <c r="BF32" i="7"/>
  <c r="BB32" i="7"/>
  <c r="AX32" i="7"/>
  <c r="AT32" i="7"/>
  <c r="AP32" i="7"/>
  <c r="AH32" i="7"/>
  <c r="BF31" i="7"/>
  <c r="BB31" i="7"/>
  <c r="AX31" i="7"/>
  <c r="AT31" i="7"/>
  <c r="AP31" i="7"/>
  <c r="AH31" i="7"/>
  <c r="BF30" i="7"/>
  <c r="BB30" i="7"/>
  <c r="AX30" i="7"/>
  <c r="AT30" i="7"/>
  <c r="AP30" i="7"/>
  <c r="AH30" i="7"/>
  <c r="BF29" i="7"/>
  <c r="BB29" i="7"/>
  <c r="AX29" i="7"/>
  <c r="AT29" i="7"/>
  <c r="AP29" i="7"/>
  <c r="AH29" i="7"/>
  <c r="BF28" i="7"/>
  <c r="BB28" i="7"/>
  <c r="AX28" i="7"/>
  <c r="AT28" i="7"/>
  <c r="AP28" i="7"/>
  <c r="AH28" i="7"/>
  <c r="BF27" i="7"/>
  <c r="BB27" i="7"/>
  <c r="AX27" i="7"/>
  <c r="AT27" i="7"/>
  <c r="AP27" i="7"/>
  <c r="AH27" i="7"/>
  <c r="BF26" i="7"/>
  <c r="BB26" i="7"/>
  <c r="AX26" i="7"/>
  <c r="AT26" i="7"/>
  <c r="AP26" i="7"/>
  <c r="AH26" i="7"/>
  <c r="BF25" i="7"/>
  <c r="BB25" i="7"/>
  <c r="AX25" i="7"/>
  <c r="AT25" i="7"/>
  <c r="AP25" i="7"/>
  <c r="AH25" i="7"/>
  <c r="BF24" i="7"/>
  <c r="BB24" i="7"/>
  <c r="AX24" i="7"/>
  <c r="AT24" i="7"/>
  <c r="AP24" i="7"/>
  <c r="AH24" i="7"/>
  <c r="BF23" i="7"/>
  <c r="BB23" i="7"/>
  <c r="AX23" i="7"/>
  <c r="AT23" i="7"/>
  <c r="AP23" i="7"/>
  <c r="AH23" i="7"/>
  <c r="BF22" i="7"/>
  <c r="BB22" i="7"/>
  <c r="AX22" i="7"/>
  <c r="AT22" i="7"/>
  <c r="AP22" i="7"/>
  <c r="AH22" i="7"/>
  <c r="BF21" i="7"/>
  <c r="BB21" i="7"/>
  <c r="AX21" i="7"/>
  <c r="AT21" i="7"/>
  <c r="AP21" i="7"/>
  <c r="AH21" i="7"/>
  <c r="BF20" i="7"/>
  <c r="BB20" i="7"/>
  <c r="AX20" i="7"/>
  <c r="AT20" i="7"/>
  <c r="AP20" i="7"/>
  <c r="AH20" i="7"/>
  <c r="BF19" i="7"/>
  <c r="BB19" i="7"/>
  <c r="AX19" i="7"/>
  <c r="AT19" i="7"/>
  <c r="AP19" i="7"/>
  <c r="AH19" i="7"/>
  <c r="BJ18" i="7"/>
  <c r="BF18" i="7"/>
  <c r="BB18" i="7"/>
  <c r="AX18" i="7"/>
  <c r="AT18" i="7"/>
  <c r="AP18" i="7"/>
  <c r="AL18" i="7"/>
  <c r="AH18" i="7"/>
  <c r="AD18" i="7"/>
  <c r="Z18" i="7"/>
  <c r="V18" i="7"/>
  <c r="R18" i="7"/>
  <c r="N18" i="7"/>
  <c r="J18" i="7"/>
  <c r="F18" i="7"/>
  <c r="BF17" i="7"/>
  <c r="BB17" i="7"/>
  <c r="AX17" i="7"/>
  <c r="AT17" i="7"/>
  <c r="AP17" i="7"/>
  <c r="AH17" i="7"/>
  <c r="BF16" i="7"/>
  <c r="BB16" i="7"/>
  <c r="AX16" i="7"/>
  <c r="AT16" i="7"/>
  <c r="AP16" i="7"/>
  <c r="AH16" i="7"/>
  <c r="BF15" i="7"/>
  <c r="BB15" i="7"/>
  <c r="AX15" i="7"/>
  <c r="AT15" i="7"/>
  <c r="AP15" i="7"/>
  <c r="AH15" i="7"/>
  <c r="BF14" i="7"/>
  <c r="BB14" i="7"/>
  <c r="AX14" i="7"/>
  <c r="AT14" i="7"/>
  <c r="AP14" i="7"/>
  <c r="AH14" i="7"/>
  <c r="BF13" i="7"/>
  <c r="BB13" i="7"/>
  <c r="AX13" i="7"/>
  <c r="AT13" i="7"/>
  <c r="AP13" i="7"/>
  <c r="AH13" i="7"/>
  <c r="BF12" i="7"/>
  <c r="BB12" i="7"/>
  <c r="AX12" i="7"/>
  <c r="AT12" i="7"/>
  <c r="AP12" i="7"/>
  <c r="AH12" i="7"/>
  <c r="BF11" i="7"/>
  <c r="BB11" i="7"/>
  <c r="AX11" i="7"/>
  <c r="AT11" i="7"/>
  <c r="AP11" i="7"/>
  <c r="AH11" i="7"/>
  <c r="R11" i="7"/>
  <c r="BF10" i="7"/>
  <c r="BB10" i="7"/>
  <c r="AX10" i="7"/>
  <c r="AT10" i="7"/>
  <c r="AP10" i="7"/>
  <c r="AH10" i="7"/>
  <c r="BF9" i="7"/>
  <c r="BB9" i="7"/>
  <c r="AX9" i="7"/>
  <c r="AT9" i="7"/>
  <c r="AP9" i="7"/>
  <c r="AH9" i="7"/>
  <c r="R9" i="7"/>
  <c r="BF8" i="7"/>
  <c r="BB8" i="7"/>
  <c r="AX8" i="7"/>
  <c r="AT8" i="7"/>
  <c r="AP8" i="7"/>
  <c r="AH8" i="7"/>
  <c r="BF7" i="7"/>
  <c r="BB7" i="7"/>
  <c r="AX7" i="7"/>
  <c r="AT7" i="7"/>
  <c r="AP7" i="7"/>
  <c r="AH7" i="7"/>
  <c r="BF6" i="7"/>
  <c r="BB6" i="7"/>
  <c r="AX6" i="7"/>
  <c r="AT6" i="7"/>
  <c r="AP6" i="7"/>
  <c r="AH6" i="7"/>
  <c r="BF5" i="7"/>
  <c r="BB5" i="7"/>
  <c r="AX5" i="7"/>
  <c r="AT5" i="7"/>
  <c r="AP5" i="7"/>
  <c r="AH5" i="7"/>
  <c r="BF4" i="7"/>
  <c r="BB4" i="7"/>
  <c r="AX4" i="7"/>
  <c r="AT4" i="7"/>
  <c r="AP4" i="7"/>
  <c r="AH4" i="7"/>
  <c r="R4" i="7"/>
  <c r="AY3" i="7"/>
  <c r="BA62" i="7"/>
  <c r="AS62" i="7"/>
  <c r="BA61" i="7"/>
  <c r="AS61" i="7"/>
  <c r="BA60" i="7"/>
  <c r="AS60" i="7"/>
  <c r="BA59" i="7"/>
  <c r="AS59" i="7"/>
  <c r="BE58" i="7"/>
  <c r="AW58" i="7"/>
  <c r="AO58" i="7"/>
  <c r="AG58" i="7"/>
  <c r="Y58" i="7"/>
  <c r="Q58" i="7"/>
  <c r="I58" i="7"/>
  <c r="BI57" i="7"/>
  <c r="BA57" i="7"/>
  <c r="AS57" i="7"/>
  <c r="AK57" i="7"/>
  <c r="AC57" i="7"/>
  <c r="U57" i="7"/>
  <c r="M57" i="7"/>
  <c r="E57" i="7"/>
  <c r="BE56" i="7"/>
  <c r="AW56" i="7"/>
  <c r="AO56" i="7"/>
  <c r="AG56" i="7"/>
  <c r="Y56" i="7"/>
  <c r="Q56" i="7"/>
  <c r="I56" i="7"/>
  <c r="BI55" i="7"/>
  <c r="BA55" i="7"/>
  <c r="AS55" i="7"/>
  <c r="AK55" i="7"/>
  <c r="AC55" i="7"/>
  <c r="U55" i="7"/>
  <c r="M55" i="7"/>
  <c r="E55" i="7"/>
  <c r="BE54" i="7"/>
  <c r="AW54" i="7"/>
  <c r="AO54" i="7"/>
  <c r="AG54" i="7"/>
  <c r="Y54" i="7"/>
  <c r="Q54" i="7"/>
  <c r="I54" i="7"/>
  <c r="BI53" i="7"/>
  <c r="BA53" i="7"/>
  <c r="AS53" i="7"/>
  <c r="AK53" i="7"/>
  <c r="AC53" i="7"/>
  <c r="U53" i="7"/>
  <c r="M53" i="7"/>
  <c r="E53" i="7"/>
  <c r="BE52" i="7"/>
  <c r="AW52" i="7"/>
  <c r="AO52" i="7"/>
  <c r="AG52" i="7"/>
  <c r="Y52" i="7"/>
  <c r="Q52" i="7"/>
  <c r="I52" i="7"/>
  <c r="BI51" i="7"/>
  <c r="BA51" i="7"/>
  <c r="AS51" i="7"/>
  <c r="AK51" i="7"/>
  <c r="AC51" i="7"/>
  <c r="U51" i="7"/>
  <c r="M51" i="7"/>
  <c r="E51" i="7"/>
  <c r="BE50" i="7"/>
  <c r="AW50" i="7"/>
  <c r="AO50" i="7"/>
  <c r="AG50" i="7"/>
  <c r="Y50" i="7"/>
  <c r="Q50" i="7"/>
  <c r="I50" i="7"/>
  <c r="BI49" i="7"/>
  <c r="BA49" i="7"/>
  <c r="AS49" i="7"/>
  <c r="AK49" i="7"/>
  <c r="AC49" i="7"/>
  <c r="U49" i="7"/>
  <c r="M49" i="7"/>
  <c r="E49" i="7"/>
  <c r="BE48" i="7"/>
  <c r="AW48" i="7"/>
  <c r="AO48" i="7"/>
  <c r="AG48" i="7"/>
  <c r="Y48" i="7"/>
  <c r="Q48" i="7"/>
  <c r="I48" i="7"/>
  <c r="BI47" i="7"/>
  <c r="BA47" i="7"/>
  <c r="AS47" i="7"/>
  <c r="AK47" i="7"/>
  <c r="AC47" i="7"/>
  <c r="U47" i="7"/>
  <c r="M47" i="7"/>
  <c r="D47" i="7"/>
  <c r="BA46" i="7"/>
  <c r="AQ46" i="7"/>
  <c r="AF46" i="7"/>
  <c r="U46" i="7"/>
  <c r="K46" i="7"/>
  <c r="BH45" i="7"/>
  <c r="AU45" i="7"/>
  <c r="AE45" i="7"/>
  <c r="O45" i="7"/>
  <c r="BC44" i="7"/>
  <c r="AQ44" i="7"/>
  <c r="AU43" i="7"/>
  <c r="AE43" i="7"/>
  <c r="O43" i="7"/>
  <c r="BG42" i="7"/>
  <c r="AQ42" i="7"/>
  <c r="AA42" i="7"/>
  <c r="K42" i="7"/>
  <c r="AY41" i="7"/>
  <c r="AQ37" i="7"/>
  <c r="BG35" i="7"/>
  <c r="AA35" i="7"/>
  <c r="BC34" i="7"/>
  <c r="W34" i="7"/>
  <c r="AU33" i="7"/>
  <c r="AI33" i="7"/>
  <c r="AW3" i="7"/>
  <c r="P55" i="7"/>
  <c r="D35" i="7"/>
  <c r="BH34" i="7"/>
  <c r="BD34" i="7"/>
  <c r="AZ34" i="7"/>
  <c r="AV34" i="7"/>
  <c r="AR34" i="7"/>
  <c r="AN34" i="7"/>
  <c r="AJ34" i="7"/>
  <c r="AF34" i="7"/>
  <c r="AB34" i="7"/>
  <c r="X34" i="7"/>
  <c r="T34" i="7"/>
  <c r="P34" i="7"/>
  <c r="L34" i="7"/>
  <c r="H34" i="7"/>
  <c r="D34" i="7"/>
  <c r="BD33" i="7"/>
  <c r="AZ33" i="7"/>
  <c r="AV33" i="7"/>
  <c r="BD32" i="7"/>
  <c r="AZ32" i="7"/>
  <c r="AV32" i="7"/>
  <c r="BD31" i="7"/>
  <c r="AZ31" i="7"/>
  <c r="AV31" i="7"/>
  <c r="BD30" i="7"/>
  <c r="AZ30" i="7"/>
  <c r="AV30" i="7"/>
  <c r="BD29" i="7"/>
  <c r="AZ29" i="7"/>
  <c r="AV29" i="7"/>
  <c r="BD28" i="7"/>
  <c r="AZ28" i="7"/>
  <c r="AV28" i="7"/>
  <c r="BD27" i="7"/>
  <c r="AZ27" i="7"/>
  <c r="AV27" i="7"/>
  <c r="BD26" i="7"/>
  <c r="AZ26" i="7"/>
  <c r="AV26" i="7"/>
  <c r="BD25" i="7"/>
  <c r="AZ25" i="7"/>
  <c r="AV25" i="7"/>
  <c r="BD24" i="7"/>
  <c r="AZ24" i="7"/>
  <c r="AV24" i="7"/>
  <c r="BD23" i="7"/>
  <c r="AZ23" i="7"/>
  <c r="AV23" i="7"/>
  <c r="BD22" i="7"/>
  <c r="AZ22" i="7"/>
  <c r="AV22" i="7"/>
  <c r="BD21" i="7"/>
  <c r="AZ21" i="7"/>
  <c r="AV21" i="7"/>
  <c r="BD20" i="7"/>
  <c r="AZ20" i="7"/>
  <c r="AV20" i="7"/>
  <c r="BD19" i="7"/>
  <c r="AZ19" i="7"/>
  <c r="AV19" i="7"/>
  <c r="BH18" i="7"/>
  <c r="BD18" i="7"/>
  <c r="AZ18" i="7"/>
  <c r="AV18" i="7"/>
  <c r="AR18" i="7"/>
  <c r="AN18" i="7"/>
  <c r="AJ18" i="7"/>
  <c r="AF18" i="7"/>
  <c r="AB18" i="7"/>
  <c r="X18" i="7"/>
  <c r="T18" i="7"/>
  <c r="P18" i="7"/>
  <c r="L18" i="7"/>
  <c r="H18" i="7"/>
  <c r="D18" i="7"/>
  <c r="BD17" i="7"/>
  <c r="AZ17" i="7"/>
  <c r="AV17" i="7"/>
  <c r="BD16" i="7"/>
  <c r="AZ16" i="7"/>
  <c r="AV16" i="7"/>
  <c r="BD15" i="7"/>
  <c r="AZ15" i="7"/>
  <c r="AV15" i="7"/>
  <c r="BD14" i="7"/>
  <c r="AZ14" i="7"/>
  <c r="AV14" i="7"/>
  <c r="BD13" i="7"/>
  <c r="AZ13" i="7"/>
  <c r="AV13" i="7"/>
  <c r="AN13" i="7"/>
  <c r="AJ13" i="7"/>
  <c r="BD12" i="7"/>
  <c r="AZ12" i="7"/>
  <c r="AV12" i="7"/>
  <c r="BD11" i="7"/>
  <c r="AZ11" i="7"/>
  <c r="BD10" i="7"/>
  <c r="AZ10" i="7"/>
  <c r="AV10" i="7"/>
  <c r="BD9" i="7"/>
  <c r="AZ9" i="7"/>
  <c r="AV9" i="7"/>
  <c r="BD8" i="7"/>
  <c r="AV8" i="7"/>
  <c r="BD7" i="7"/>
  <c r="AZ7" i="7"/>
  <c r="AV7" i="7"/>
  <c r="BD6" i="7"/>
  <c r="AZ6" i="7"/>
  <c r="AV6" i="7"/>
  <c r="BD5" i="7"/>
  <c r="AZ5" i="7"/>
  <c r="AV5" i="7"/>
  <c r="BD4" i="7"/>
  <c r="AZ4" i="7"/>
  <c r="AV4" i="7"/>
  <c r="W33" i="7"/>
  <c r="S33" i="7"/>
  <c r="BC32" i="7"/>
  <c r="AY32" i="7"/>
  <c r="AU32" i="7"/>
  <c r="AQ32" i="7"/>
  <c r="O32" i="7"/>
  <c r="K32" i="7"/>
  <c r="G32" i="7"/>
  <c r="C32" i="7"/>
  <c r="BG31" i="7"/>
  <c r="BC31" i="7"/>
  <c r="AU31" i="7"/>
  <c r="AQ31" i="7"/>
  <c r="AM31" i="7"/>
  <c r="AI31" i="7"/>
  <c r="AE31" i="7"/>
  <c r="AA31" i="7"/>
  <c r="W31" i="7"/>
  <c r="S31" i="7"/>
  <c r="BC30" i="7"/>
  <c r="AY30" i="7"/>
  <c r="AU30" i="7"/>
  <c r="AQ30" i="7"/>
  <c r="AI30" i="7"/>
  <c r="O30" i="7"/>
  <c r="K30" i="7"/>
  <c r="G30" i="7"/>
  <c r="C30" i="7"/>
  <c r="BG29" i="7"/>
  <c r="BC29" i="7"/>
  <c r="AU29" i="7"/>
  <c r="AQ29" i="7"/>
  <c r="AM29" i="7"/>
  <c r="AI29" i="7"/>
  <c r="AE29" i="7"/>
  <c r="AA29" i="7"/>
  <c r="W29" i="7"/>
  <c r="S29" i="7"/>
  <c r="BC28" i="7"/>
  <c r="AY28" i="7"/>
  <c r="AU28" i="7"/>
  <c r="AQ28" i="7"/>
  <c r="O28" i="7"/>
  <c r="K28" i="7"/>
  <c r="G28" i="7"/>
  <c r="C28" i="7"/>
  <c r="BG27" i="7"/>
  <c r="BC27" i="7"/>
  <c r="AU27" i="7"/>
  <c r="AQ27" i="7"/>
  <c r="AM27" i="7"/>
  <c r="AI27" i="7"/>
  <c r="AE27" i="7"/>
  <c r="AA27" i="7"/>
  <c r="W27" i="7"/>
  <c r="S27" i="7"/>
  <c r="BC26" i="7"/>
  <c r="AU26" i="7"/>
  <c r="AQ26" i="7"/>
  <c r="O26" i="7"/>
  <c r="K26" i="7"/>
  <c r="G26" i="7"/>
  <c r="C26" i="7"/>
  <c r="BG25" i="7"/>
  <c r="BC25" i="7"/>
  <c r="AU25" i="7"/>
  <c r="AQ25" i="7"/>
  <c r="AM25" i="7"/>
  <c r="AI25" i="7"/>
  <c r="AE25" i="7"/>
  <c r="AA25" i="7"/>
  <c r="W25" i="7"/>
  <c r="S25" i="7"/>
  <c r="BC24" i="7"/>
  <c r="AY24" i="7"/>
  <c r="AU24" i="7"/>
  <c r="AQ24" i="7"/>
  <c r="O24" i="7"/>
  <c r="K24" i="7"/>
  <c r="G24" i="7"/>
  <c r="C24" i="7"/>
  <c r="BG23" i="7"/>
  <c r="BC23" i="7"/>
  <c r="AU23" i="7"/>
  <c r="AQ23" i="7"/>
  <c r="AM23" i="7"/>
  <c r="AI23" i="7"/>
  <c r="AE23" i="7"/>
  <c r="AA23" i="7"/>
  <c r="W23" i="7"/>
  <c r="S23" i="7"/>
  <c r="BC22" i="7"/>
  <c r="AY22" i="7"/>
  <c r="AU22" i="7"/>
  <c r="AQ22" i="7"/>
  <c r="O22" i="7"/>
  <c r="K22" i="7"/>
  <c r="G22" i="7"/>
  <c r="C22" i="7"/>
  <c r="BG21" i="7"/>
  <c r="BC21" i="7"/>
  <c r="AQ21" i="7"/>
  <c r="AM21" i="7"/>
  <c r="AI21" i="7"/>
  <c r="AE21" i="7"/>
  <c r="AA21" i="7"/>
  <c r="W21" i="7"/>
  <c r="S21" i="7"/>
  <c r="BC20" i="7"/>
  <c r="AY20" i="7"/>
  <c r="AU20" i="7"/>
  <c r="AQ20" i="7"/>
  <c r="O20" i="7"/>
  <c r="K20" i="7"/>
  <c r="G20" i="7"/>
  <c r="C20" i="7"/>
  <c r="BG19" i="7"/>
  <c r="BC19" i="7"/>
  <c r="AU19" i="7"/>
  <c r="AQ19" i="7"/>
  <c r="AM19" i="7"/>
  <c r="AI19" i="7"/>
  <c r="AE19" i="7"/>
  <c r="AA19" i="7"/>
  <c r="W19" i="7"/>
  <c r="S19" i="7"/>
  <c r="BG18" i="7"/>
  <c r="BC18" i="7"/>
  <c r="AY18" i="7"/>
  <c r="AQ18" i="7"/>
  <c r="AM18" i="7"/>
  <c r="AI18" i="7"/>
  <c r="AA18" i="7"/>
  <c r="W18" i="7"/>
  <c r="S18" i="7"/>
  <c r="K18" i="7"/>
  <c r="G18" i="7"/>
  <c r="C18" i="7"/>
  <c r="AY17" i="7"/>
  <c r="AU17" i="7"/>
  <c r="AI17" i="7"/>
  <c r="AE17" i="7"/>
  <c r="AA17" i="7"/>
  <c r="W17" i="7"/>
  <c r="S17" i="7"/>
  <c r="O17" i="7"/>
  <c r="K17" i="7"/>
  <c r="G17" i="7"/>
  <c r="C17" i="7"/>
  <c r="BG16" i="7"/>
  <c r="BC16" i="7"/>
  <c r="AY16" i="7"/>
  <c r="AQ16" i="7"/>
  <c r="AM16" i="7"/>
  <c r="AI16" i="7"/>
  <c r="BC15" i="7"/>
  <c r="AY15" i="7"/>
  <c r="AU15" i="7"/>
  <c r="AQ15" i="7"/>
  <c r="AM15" i="7"/>
  <c r="AE15" i="7"/>
  <c r="AA15" i="7"/>
  <c r="W15" i="7"/>
  <c r="S15" i="7"/>
  <c r="BC14" i="7"/>
  <c r="AY14" i="7"/>
  <c r="AU14" i="7"/>
  <c r="AI14" i="7"/>
  <c r="O14" i="7"/>
  <c r="K14" i="7"/>
  <c r="G14" i="7"/>
  <c r="C14" i="7"/>
  <c r="BG13" i="7"/>
  <c r="BC13" i="7"/>
  <c r="AY13" i="7"/>
  <c r="AU13" i="7"/>
  <c r="AQ13" i="7"/>
  <c r="AI13" i="7"/>
  <c r="BC12" i="7"/>
  <c r="AY12" i="7"/>
  <c r="AU12" i="7"/>
  <c r="AQ12" i="7"/>
  <c r="AI12" i="7"/>
  <c r="BC11" i="7"/>
  <c r="AY11" i="7"/>
  <c r="AU11" i="7"/>
  <c r="AQ11" i="7"/>
  <c r="BC10" i="7"/>
  <c r="AY10" i="7"/>
  <c r="AU10" i="7"/>
  <c r="AI10" i="7"/>
  <c r="O10" i="7"/>
  <c r="K10" i="7"/>
  <c r="G10" i="7"/>
  <c r="C10" i="7"/>
  <c r="BG9" i="7"/>
  <c r="BC9" i="7"/>
  <c r="AY9" i="7"/>
  <c r="AU9" i="7"/>
  <c r="AQ9" i="7"/>
  <c r="AI9" i="7"/>
  <c r="BC8" i="7"/>
  <c r="AY8" i="7"/>
  <c r="AU8" i="7"/>
  <c r="AQ8" i="7"/>
  <c r="AI8" i="7"/>
  <c r="BC7" i="7"/>
  <c r="AY7" i="7"/>
  <c r="AU7" i="7"/>
  <c r="AQ7" i="7"/>
  <c r="AI7" i="7"/>
  <c r="BC6" i="7"/>
  <c r="AY6" i="7"/>
  <c r="AU6" i="7"/>
  <c r="AQ6" i="7"/>
  <c r="AI6" i="7"/>
  <c r="BC5" i="7"/>
  <c r="AY5" i="7"/>
  <c r="AU5" i="7"/>
  <c r="AQ5" i="7"/>
  <c r="AI5" i="7"/>
  <c r="BC4" i="7"/>
  <c r="AY4" i="7"/>
  <c r="AU4" i="7"/>
  <c r="AQ4" i="7"/>
  <c r="AI4" i="7"/>
  <c r="AI32" i="7"/>
  <c r="AY31" i="7"/>
  <c r="AY29" i="7"/>
  <c r="AI28" i="7"/>
  <c r="AY27" i="7"/>
  <c r="AI26" i="7"/>
  <c r="AY25" i="7"/>
  <c r="AI24" i="7"/>
  <c r="AY23" i="7"/>
  <c r="AI22" i="7"/>
  <c r="AY21" i="7"/>
  <c r="AI20" i="7"/>
  <c r="AY19" i="7"/>
  <c r="AU18" i="7"/>
  <c r="AE18" i="7"/>
  <c r="O18" i="7"/>
  <c r="BC17" i="7"/>
  <c r="AQ17" i="7"/>
  <c r="AU16" i="7"/>
  <c r="AQ14" i="7"/>
  <c r="AV11" i="7"/>
  <c r="AQ10" i="7"/>
  <c r="AZ8" i="7"/>
  <c r="AF3" i="4"/>
  <c r="Y40" i="4"/>
  <c r="I40" i="4"/>
  <c r="AE39" i="4"/>
  <c r="O39" i="4"/>
  <c r="C39" i="4"/>
  <c r="AE37" i="4"/>
  <c r="O37" i="4"/>
  <c r="AK36" i="4"/>
  <c r="U36" i="4"/>
  <c r="E36" i="4"/>
  <c r="AA35" i="4"/>
  <c r="K35" i="4"/>
  <c r="AK34" i="4"/>
  <c r="AC34" i="4"/>
  <c r="Q34" i="4"/>
  <c r="M34" i="4"/>
  <c r="I34" i="4"/>
  <c r="E34" i="4"/>
  <c r="AM33" i="4"/>
  <c r="AI33" i="4"/>
  <c r="AE33" i="4"/>
  <c r="AA33" i="4"/>
  <c r="W33" i="4"/>
  <c r="S33" i="4"/>
  <c r="O33" i="4"/>
  <c r="K33" i="4"/>
  <c r="G33" i="4"/>
  <c r="C33" i="4"/>
  <c r="AK32" i="4"/>
  <c r="AG32" i="4"/>
  <c r="AC32" i="4"/>
  <c r="Y32" i="4"/>
  <c r="U32" i="4"/>
  <c r="Q32" i="4"/>
  <c r="M32" i="4"/>
  <c r="I32" i="4"/>
  <c r="E32" i="4"/>
  <c r="AM31" i="4"/>
  <c r="AI31" i="4"/>
  <c r="AE31" i="4"/>
  <c r="AA31" i="4"/>
  <c r="W31" i="4"/>
  <c r="S31" i="4"/>
  <c r="O31" i="4"/>
  <c r="K31" i="4"/>
  <c r="G31" i="4"/>
  <c r="C31" i="4"/>
  <c r="AK30" i="4"/>
  <c r="AG30" i="4"/>
  <c r="AC30" i="4"/>
  <c r="Y30" i="4"/>
  <c r="U30" i="4"/>
  <c r="Q30" i="4"/>
  <c r="M30" i="4"/>
  <c r="I30" i="4"/>
  <c r="E30" i="4"/>
  <c r="AM29" i="4"/>
  <c r="AI29" i="4"/>
  <c r="AE29" i="4"/>
  <c r="AA29" i="4"/>
  <c r="W29" i="4"/>
  <c r="S29" i="4"/>
  <c r="O29" i="4"/>
  <c r="K29" i="4"/>
  <c r="G29" i="4"/>
  <c r="C29" i="4"/>
  <c r="AK28" i="4"/>
  <c r="AG28" i="4"/>
  <c r="AC28" i="4"/>
  <c r="Y28" i="4"/>
  <c r="U28" i="4"/>
  <c r="Q28" i="4"/>
  <c r="M28" i="4"/>
  <c r="I28" i="4"/>
  <c r="E28" i="4"/>
  <c r="AM27" i="4"/>
  <c r="AI27" i="4"/>
  <c r="AE27" i="4"/>
  <c r="AA27" i="4"/>
  <c r="W27" i="4"/>
  <c r="S27" i="4"/>
  <c r="O27" i="4"/>
  <c r="K27" i="4"/>
  <c r="G27" i="4"/>
  <c r="C27" i="4"/>
  <c r="AK26" i="4"/>
  <c r="AG26" i="4"/>
  <c r="AC26" i="4"/>
  <c r="Y26" i="4"/>
  <c r="U26" i="4"/>
  <c r="Q26" i="4"/>
  <c r="M26" i="4"/>
  <c r="I26" i="4"/>
  <c r="E26" i="4"/>
  <c r="AM25" i="4"/>
  <c r="AI25" i="4"/>
  <c r="AE25" i="4"/>
  <c r="AA25" i="4"/>
  <c r="O25" i="4"/>
  <c r="K25" i="4"/>
  <c r="AG24" i="4"/>
  <c r="AC24" i="4"/>
  <c r="Q24" i="4"/>
  <c r="AM23" i="4"/>
  <c r="AI23" i="4"/>
  <c r="AE23" i="4"/>
  <c r="AA23" i="4"/>
  <c r="O23" i="4"/>
  <c r="K23" i="4"/>
  <c r="AG22" i="4"/>
  <c r="AC22" i="4"/>
  <c r="Q22" i="4"/>
  <c r="AM21" i="4"/>
  <c r="AI21" i="4"/>
  <c r="AE21" i="4"/>
  <c r="AA21" i="4"/>
  <c r="O21" i="4"/>
  <c r="K21" i="4"/>
  <c r="AG20" i="4"/>
  <c r="AC20" i="4"/>
  <c r="Q20" i="4"/>
  <c r="AM19" i="4"/>
  <c r="AI19" i="4"/>
  <c r="AE19" i="4"/>
  <c r="AA19" i="4"/>
  <c r="O19" i="4"/>
  <c r="K19" i="4"/>
  <c r="AG18" i="4"/>
  <c r="AC18" i="4"/>
  <c r="Q18" i="4"/>
  <c r="P3" i="4"/>
  <c r="AG40" i="4"/>
  <c r="Q40" i="4"/>
  <c r="AM39" i="4"/>
  <c r="S39" i="4"/>
  <c r="AA37" i="4"/>
  <c r="K37" i="4"/>
  <c r="AG36" i="4"/>
  <c r="Q36" i="4"/>
  <c r="AM35" i="4"/>
  <c r="W35" i="4"/>
  <c r="AG34" i="4"/>
  <c r="AM3" i="4"/>
  <c r="AA3" i="4"/>
  <c r="O3" i="4"/>
  <c r="AN40" i="4"/>
  <c r="X40" i="4"/>
  <c r="L40" i="4"/>
  <c r="AL39" i="4"/>
  <c r="Z39" i="4"/>
  <c r="N39" i="4"/>
  <c r="AN38" i="4"/>
  <c r="AB38" i="4"/>
  <c r="P38" i="4"/>
  <c r="AD37" i="4"/>
  <c r="N37" i="4"/>
  <c r="J37" i="4"/>
  <c r="AN36" i="4"/>
  <c r="AJ36" i="4"/>
  <c r="AF36" i="4"/>
  <c r="AB36" i="4"/>
  <c r="X36" i="4"/>
  <c r="T36" i="4"/>
  <c r="P36" i="4"/>
  <c r="L36" i="4"/>
  <c r="H36" i="4"/>
  <c r="D36" i="4"/>
  <c r="AL35" i="4"/>
  <c r="AH35" i="4"/>
  <c r="AD35" i="4"/>
  <c r="Z35" i="4"/>
  <c r="V35" i="4"/>
  <c r="R35" i="4"/>
  <c r="N35" i="4"/>
  <c r="J35" i="4"/>
  <c r="F35" i="4"/>
  <c r="AN34" i="4"/>
  <c r="AJ34" i="4"/>
  <c r="AF34" i="4"/>
  <c r="AB34" i="4"/>
  <c r="X34" i="4"/>
  <c r="T34" i="4"/>
  <c r="P34" i="4"/>
  <c r="L34" i="4"/>
  <c r="H34" i="4"/>
  <c r="D34" i="4"/>
  <c r="AL33" i="4"/>
  <c r="AH33" i="4"/>
  <c r="AD33" i="4"/>
  <c r="Z33" i="4"/>
  <c r="V33" i="4"/>
  <c r="R33" i="4"/>
  <c r="N33" i="4"/>
  <c r="J33" i="4"/>
  <c r="F33" i="4"/>
  <c r="AN32" i="4"/>
  <c r="AJ32" i="4"/>
  <c r="AF32" i="4"/>
  <c r="AB32" i="4"/>
  <c r="X32" i="4"/>
  <c r="T32" i="4"/>
  <c r="P32" i="4"/>
  <c r="L32" i="4"/>
  <c r="H32" i="4"/>
  <c r="D32" i="4"/>
  <c r="AL31" i="4"/>
  <c r="AH31" i="4"/>
  <c r="AD31" i="4"/>
  <c r="Z31" i="4"/>
  <c r="V31" i="4"/>
  <c r="R31" i="4"/>
  <c r="N31" i="4"/>
  <c r="J31" i="4"/>
  <c r="F31" i="4"/>
  <c r="AN30" i="4"/>
  <c r="AJ30" i="4"/>
  <c r="AF30" i="4"/>
  <c r="AB30" i="4"/>
  <c r="X30" i="4"/>
  <c r="T30" i="4"/>
  <c r="P30" i="4"/>
  <c r="L30" i="4"/>
  <c r="H30" i="4"/>
  <c r="D30" i="4"/>
  <c r="AL29" i="4"/>
  <c r="AH29" i="4"/>
  <c r="AD29" i="4"/>
  <c r="Z29" i="4"/>
  <c r="V29" i="4"/>
  <c r="R29" i="4"/>
  <c r="N29" i="4"/>
  <c r="J29" i="4"/>
  <c r="F29" i="4"/>
  <c r="AN28" i="4"/>
  <c r="AJ28" i="4"/>
  <c r="AF28" i="4"/>
  <c r="AB28" i="4"/>
  <c r="X28" i="4"/>
  <c r="T28" i="4"/>
  <c r="P28" i="4"/>
  <c r="L28" i="4"/>
  <c r="H28" i="4"/>
  <c r="D28" i="4"/>
  <c r="AL27" i="4"/>
  <c r="AH27" i="4"/>
  <c r="AD27" i="4"/>
  <c r="Z27" i="4"/>
  <c r="V27" i="4"/>
  <c r="R27" i="4"/>
  <c r="N27" i="4"/>
  <c r="J27" i="4"/>
  <c r="F27" i="4"/>
  <c r="AN26" i="4"/>
  <c r="AJ26" i="4"/>
  <c r="AF26" i="4"/>
  <c r="AB26" i="4"/>
  <c r="X26" i="4"/>
  <c r="T26" i="4"/>
  <c r="P26" i="4"/>
  <c r="L26" i="4"/>
  <c r="H26" i="4"/>
  <c r="D26" i="4"/>
  <c r="AH25" i="4"/>
  <c r="AD25" i="4"/>
  <c r="Z25" i="4"/>
  <c r="N25" i="4"/>
  <c r="J25" i="4"/>
  <c r="AN24" i="4"/>
  <c r="AJ24" i="4"/>
  <c r="AF24" i="4"/>
  <c r="AB24" i="4"/>
  <c r="P24" i="4"/>
  <c r="AH23" i="4"/>
  <c r="AD23" i="4"/>
  <c r="Z23" i="4"/>
  <c r="N23" i="4"/>
  <c r="J23" i="4"/>
  <c r="AN22" i="4"/>
  <c r="AJ22" i="4"/>
  <c r="AF22" i="4"/>
  <c r="AB22" i="4"/>
  <c r="P22" i="4"/>
  <c r="AH21" i="4"/>
  <c r="AD21" i="4"/>
  <c r="Z21" i="4"/>
  <c r="N21" i="4"/>
  <c r="J21" i="4"/>
  <c r="AN20" i="4"/>
  <c r="AJ20" i="4"/>
  <c r="AF20" i="4"/>
  <c r="AB20" i="4"/>
  <c r="P20" i="4"/>
  <c r="AH19" i="4"/>
  <c r="AD19" i="4"/>
  <c r="AN3" i="4"/>
  <c r="AB3" i="4"/>
  <c r="AK40" i="4"/>
  <c r="U40" i="4"/>
  <c r="E40" i="4"/>
  <c r="AA39" i="4"/>
  <c r="K39" i="4"/>
  <c r="AG38" i="4"/>
  <c r="Q38" i="4"/>
  <c r="AM37" i="4"/>
  <c r="AC36" i="4"/>
  <c r="M36" i="4"/>
  <c r="AI35" i="4"/>
  <c r="S35" i="4"/>
  <c r="G35" i="4"/>
  <c r="U34" i="4"/>
  <c r="AE3" i="4"/>
  <c r="AF40" i="4"/>
  <c r="T40" i="4"/>
  <c r="H40" i="4"/>
  <c r="AH39" i="4"/>
  <c r="V39" i="4"/>
  <c r="J39" i="4"/>
  <c r="AJ38" i="4"/>
  <c r="AH3" i="4"/>
  <c r="Z3" i="4"/>
  <c r="AM40" i="4"/>
  <c r="AE40" i="4"/>
  <c r="W40" i="4"/>
  <c r="O40" i="4"/>
  <c r="G40" i="4"/>
  <c r="AK39" i="4"/>
  <c r="AC39" i="4"/>
  <c r="U39" i="4"/>
  <c r="M39" i="4"/>
  <c r="E39" i="4"/>
  <c r="AI38" i="4"/>
  <c r="AE38" i="4"/>
  <c r="AA38" i="4"/>
  <c r="O38" i="4"/>
  <c r="K38" i="4"/>
  <c r="AG37" i="4"/>
  <c r="AC37" i="4"/>
  <c r="Q37" i="4"/>
  <c r="AM36" i="4"/>
  <c r="AI36" i="4"/>
  <c r="AE36" i="4"/>
  <c r="AA36" i="4"/>
  <c r="W36" i="4"/>
  <c r="S36" i="4"/>
  <c r="O36" i="4"/>
  <c r="K36" i="4"/>
  <c r="G36" i="4"/>
  <c r="C36" i="4"/>
  <c r="AK35" i="4"/>
  <c r="AG35" i="4"/>
  <c r="AC35" i="4"/>
  <c r="Y35" i="4"/>
  <c r="U35" i="4"/>
  <c r="Q35" i="4"/>
  <c r="M35" i="4"/>
  <c r="I35" i="4"/>
  <c r="E35" i="4"/>
  <c r="AM34" i="4"/>
  <c r="AI34" i="4"/>
  <c r="AE34" i="4"/>
  <c r="AA34" i="4"/>
  <c r="W34" i="4"/>
  <c r="S34" i="4"/>
  <c r="O34" i="4"/>
  <c r="K34" i="4"/>
  <c r="G34" i="4"/>
  <c r="C34" i="4"/>
  <c r="AK33" i="4"/>
  <c r="AG33" i="4"/>
  <c r="AC33" i="4"/>
  <c r="Y33" i="4"/>
  <c r="U33" i="4"/>
  <c r="Q33" i="4"/>
  <c r="M33" i="4"/>
  <c r="I33" i="4"/>
  <c r="E33" i="4"/>
  <c r="AM32" i="4"/>
  <c r="AI32" i="4"/>
  <c r="AE32" i="4"/>
  <c r="AA32" i="4"/>
  <c r="W32" i="4"/>
  <c r="S32" i="4"/>
  <c r="O32" i="4"/>
  <c r="K32" i="4"/>
  <c r="G32" i="4"/>
  <c r="C32" i="4"/>
  <c r="AK31" i="4"/>
  <c r="AG31" i="4"/>
  <c r="AC31" i="4"/>
  <c r="Y31" i="4"/>
  <c r="U31" i="4"/>
  <c r="Q31" i="4"/>
  <c r="M31" i="4"/>
  <c r="I31" i="4"/>
  <c r="E31" i="4"/>
  <c r="AM30" i="4"/>
  <c r="AI30" i="4"/>
  <c r="AE30" i="4"/>
  <c r="AA30" i="4"/>
  <c r="W30" i="4"/>
  <c r="S30" i="4"/>
  <c r="O30" i="4"/>
  <c r="K30" i="4"/>
  <c r="G30" i="4"/>
  <c r="C30" i="4"/>
  <c r="AK29" i="4"/>
  <c r="AG29" i="4"/>
  <c r="AC29" i="4"/>
  <c r="Y29" i="4"/>
  <c r="U29" i="4"/>
  <c r="Q29" i="4"/>
  <c r="M29" i="4"/>
  <c r="I29" i="4"/>
  <c r="E29" i="4"/>
  <c r="AM28" i="4"/>
  <c r="AI28" i="4"/>
  <c r="AE28" i="4"/>
  <c r="AA28" i="4"/>
  <c r="W28" i="4"/>
  <c r="S28" i="4"/>
  <c r="O28" i="4"/>
  <c r="K28" i="4"/>
  <c r="G28" i="4"/>
  <c r="C28" i="4"/>
  <c r="AK27" i="4"/>
  <c r="AG27" i="4"/>
  <c r="AC27" i="4"/>
  <c r="Y27" i="4"/>
  <c r="U27" i="4"/>
  <c r="Q27" i="4"/>
  <c r="M27" i="4"/>
  <c r="I27" i="4"/>
  <c r="E27" i="4"/>
  <c r="AM26" i="4"/>
  <c r="AI26" i="4"/>
  <c r="AE26" i="4"/>
  <c r="AA26" i="4"/>
  <c r="W26" i="4"/>
  <c r="S26" i="4"/>
  <c r="O26" i="4"/>
  <c r="K26" i="4"/>
  <c r="G26" i="4"/>
  <c r="C26" i="4"/>
  <c r="AG25" i="4"/>
  <c r="AC25" i="4"/>
  <c r="Q25" i="4"/>
  <c r="AM24" i="4"/>
  <c r="AI24" i="4"/>
  <c r="AE24" i="4"/>
  <c r="AA24" i="4"/>
  <c r="O24" i="4"/>
  <c r="K24" i="4"/>
  <c r="AG23" i="4"/>
  <c r="AC23" i="4"/>
  <c r="Q23" i="4"/>
  <c r="AM22" i="4"/>
  <c r="AI22" i="4"/>
  <c r="AE22" i="4"/>
  <c r="AA22" i="4"/>
  <c r="O22" i="4"/>
  <c r="K22" i="4"/>
  <c r="AG21" i="4"/>
  <c r="AC21" i="4"/>
  <c r="Q21" i="4"/>
  <c r="AM20" i="4"/>
  <c r="AI20" i="4"/>
  <c r="AE20" i="4"/>
  <c r="AA20" i="4"/>
  <c r="O20" i="4"/>
  <c r="K20" i="4"/>
  <c r="AG19" i="4"/>
  <c r="AC19" i="4"/>
  <c r="Q19" i="4"/>
  <c r="AM18" i="4"/>
  <c r="AI18" i="4"/>
  <c r="AE18" i="4"/>
  <c r="AA18" i="4"/>
  <c r="O18" i="4"/>
  <c r="K18" i="4"/>
  <c r="AK17" i="4"/>
  <c r="AG17" i="4"/>
  <c r="AC17" i="4"/>
  <c r="Y17" i="4"/>
  <c r="U17" i="4"/>
  <c r="Q17" i="4"/>
  <c r="M17" i="4"/>
  <c r="I17" i="4"/>
  <c r="E17" i="4"/>
  <c r="AM16" i="4"/>
  <c r="AI16" i="4"/>
  <c r="AE16" i="4"/>
  <c r="AA16" i="4"/>
  <c r="W16" i="4"/>
  <c r="S16" i="4"/>
  <c r="O16" i="4"/>
  <c r="K16" i="4"/>
  <c r="G16" i="4"/>
  <c r="C16" i="4"/>
  <c r="AJ3" i="4"/>
  <c r="AC40" i="4"/>
  <c r="M40" i="4"/>
  <c r="AI39" i="4"/>
  <c r="W39" i="4"/>
  <c r="G39" i="4"/>
  <c r="AC38" i="4"/>
  <c r="AI37" i="4"/>
  <c r="Y36" i="4"/>
  <c r="I36" i="4"/>
  <c r="AE35" i="4"/>
  <c r="O35" i="4"/>
  <c r="C35" i="4"/>
  <c r="Y34" i="4"/>
  <c r="AI3" i="4"/>
  <c r="K3" i="4"/>
  <c r="AJ40" i="4"/>
  <c r="AB40" i="4"/>
  <c r="P40" i="4"/>
  <c r="D40" i="4"/>
  <c r="AD39" i="4"/>
  <c r="R39" i="4"/>
  <c r="F39" i="4"/>
  <c r="AF38" i="4"/>
  <c r="AH37" i="4"/>
  <c r="Z37" i="4"/>
  <c r="AD3" i="4"/>
  <c r="N3" i="4"/>
  <c r="AI40" i="4"/>
  <c r="AA40" i="4"/>
  <c r="S40" i="4"/>
  <c r="K40" i="4"/>
  <c r="C40" i="4"/>
  <c r="AG39" i="4"/>
  <c r="Y39" i="4"/>
  <c r="Q39" i="4"/>
  <c r="I39" i="4"/>
  <c r="AM38" i="4"/>
  <c r="AG3" i="4"/>
  <c r="AC3" i="4"/>
  <c r="Q3" i="4"/>
  <c r="AL40" i="4"/>
  <c r="AH40" i="4"/>
  <c r="AD40" i="4"/>
  <c r="Z40" i="4"/>
  <c r="V40" i="4"/>
  <c r="R40" i="4"/>
  <c r="N40" i="4"/>
  <c r="J40" i="4"/>
  <c r="F40" i="4"/>
  <c r="AN39" i="4"/>
  <c r="AJ39" i="4"/>
  <c r="AF39" i="4"/>
  <c r="AB39" i="4"/>
  <c r="X39" i="4"/>
  <c r="T39" i="4"/>
  <c r="P39" i="4"/>
  <c r="L39" i="4"/>
  <c r="H39" i="4"/>
  <c r="D39" i="4"/>
  <c r="AH38" i="4"/>
  <c r="AD38" i="4"/>
  <c r="Z38" i="4"/>
  <c r="N38" i="4"/>
  <c r="J38" i="4"/>
  <c r="AN37" i="4"/>
  <c r="AJ37" i="4"/>
  <c r="AF37" i="4"/>
  <c r="AB37" i="4"/>
  <c r="P37" i="4"/>
  <c r="AL36" i="4"/>
  <c r="AH36" i="4"/>
  <c r="AD36" i="4"/>
  <c r="Z36" i="4"/>
  <c r="V36" i="4"/>
  <c r="R36" i="4"/>
  <c r="N36" i="4"/>
  <c r="J36" i="4"/>
  <c r="F36" i="4"/>
  <c r="AN35" i="4"/>
  <c r="AJ35" i="4"/>
  <c r="AF35" i="4"/>
  <c r="AB35" i="4"/>
  <c r="X35" i="4"/>
  <c r="T35" i="4"/>
  <c r="P35" i="4"/>
  <c r="L35" i="4"/>
  <c r="H35" i="4"/>
  <c r="D35" i="4"/>
  <c r="AL34" i="4"/>
  <c r="AH34" i="4"/>
  <c r="AD34" i="4"/>
  <c r="Z34" i="4"/>
  <c r="V34" i="4"/>
  <c r="R34" i="4"/>
  <c r="N34" i="4"/>
  <c r="J34" i="4"/>
  <c r="F34" i="4"/>
  <c r="AN33" i="4"/>
  <c r="AJ33" i="4"/>
  <c r="AF33" i="4"/>
  <c r="AB33" i="4"/>
  <c r="X33" i="4"/>
  <c r="T33" i="4"/>
  <c r="P33" i="4"/>
  <c r="L33" i="4"/>
  <c r="H33" i="4"/>
  <c r="D33" i="4"/>
  <c r="AL32" i="4"/>
  <c r="AH32" i="4"/>
  <c r="AD32" i="4"/>
  <c r="Z32" i="4"/>
  <c r="V32" i="4"/>
  <c r="R32" i="4"/>
  <c r="N32" i="4"/>
  <c r="J32" i="4"/>
  <c r="F32" i="4"/>
  <c r="AN31" i="4"/>
  <c r="AJ31" i="4"/>
  <c r="AF31" i="4"/>
  <c r="AB31" i="4"/>
  <c r="X31" i="4"/>
  <c r="T31" i="4"/>
  <c r="P31" i="4"/>
  <c r="L31" i="4"/>
  <c r="H31" i="4"/>
  <c r="D31" i="4"/>
  <c r="AL30" i="4"/>
  <c r="AH30" i="4"/>
  <c r="AD30" i="4"/>
  <c r="Z30" i="4"/>
  <c r="V30" i="4"/>
  <c r="R30" i="4"/>
  <c r="N30" i="4"/>
  <c r="J30" i="4"/>
  <c r="F30" i="4"/>
  <c r="AN29" i="4"/>
  <c r="AJ29" i="4"/>
  <c r="AF29" i="4"/>
  <c r="AB29" i="4"/>
  <c r="X29" i="4"/>
  <c r="T29" i="4"/>
  <c r="P29" i="4"/>
  <c r="L29" i="4"/>
  <c r="H29" i="4"/>
  <c r="D29" i="4"/>
  <c r="AL28" i="4"/>
  <c r="AH28" i="4"/>
  <c r="AD28" i="4"/>
  <c r="Z28" i="4"/>
  <c r="V28" i="4"/>
  <c r="R28" i="4"/>
  <c r="N28" i="4"/>
  <c r="J28" i="4"/>
  <c r="F28" i="4"/>
  <c r="AN27" i="4"/>
  <c r="AJ27" i="4"/>
  <c r="AF27" i="4"/>
  <c r="AB27" i="4"/>
  <c r="X27" i="4"/>
  <c r="T27" i="4"/>
  <c r="P27" i="4"/>
  <c r="L27" i="4"/>
  <c r="H27" i="4"/>
  <c r="D27" i="4"/>
  <c r="AL26" i="4"/>
  <c r="AH26" i="4"/>
  <c r="AD26" i="4"/>
  <c r="Z26" i="4"/>
  <c r="V26" i="4"/>
  <c r="R26" i="4"/>
  <c r="N26" i="4"/>
  <c r="J26" i="4"/>
  <c r="F26" i="4"/>
  <c r="AN25" i="4"/>
  <c r="AJ25" i="4"/>
  <c r="AF25" i="4"/>
  <c r="AB25" i="4"/>
  <c r="P25" i="4"/>
  <c r="AH24" i="4"/>
  <c r="AD24" i="4"/>
  <c r="Z24" i="4"/>
  <c r="N24" i="4"/>
  <c r="J24" i="4"/>
  <c r="AN23" i="4"/>
  <c r="AJ23" i="4"/>
  <c r="AF23" i="4"/>
  <c r="AB23" i="4"/>
  <c r="P23" i="4"/>
  <c r="AH22" i="4"/>
  <c r="AD22" i="4"/>
  <c r="Z22" i="4"/>
  <c r="N22" i="4"/>
  <c r="J22" i="4"/>
  <c r="AN21" i="4"/>
  <c r="AJ21" i="4"/>
  <c r="AF21" i="4"/>
  <c r="AB21" i="4"/>
  <c r="P21" i="4"/>
  <c r="AH20" i="4"/>
  <c r="AD20" i="4"/>
  <c r="Z20" i="4"/>
  <c r="N20" i="4"/>
  <c r="J20" i="4"/>
  <c r="AN19" i="4"/>
  <c r="AJ19" i="4"/>
  <c r="AF19" i="4"/>
  <c r="AB19" i="4"/>
  <c r="P19" i="4"/>
  <c r="AH18" i="4"/>
  <c r="AD18" i="4"/>
  <c r="Z18" i="4"/>
  <c r="N18" i="4"/>
  <c r="J18" i="4"/>
  <c r="AN17" i="4"/>
  <c r="AJ17" i="4"/>
  <c r="AF17" i="4"/>
  <c r="AB17" i="4"/>
  <c r="X17" i="4"/>
  <c r="T17" i="4"/>
  <c r="P17" i="4"/>
  <c r="L17" i="4"/>
  <c r="H17" i="4"/>
  <c r="D17" i="4"/>
  <c r="AL16" i="4"/>
  <c r="AH16" i="4"/>
  <c r="AD16" i="4"/>
  <c r="Z16" i="4"/>
  <c r="V16" i="4"/>
  <c r="R16" i="4"/>
  <c r="N16" i="4"/>
  <c r="J16" i="4"/>
  <c r="F16" i="4"/>
  <c r="AN15" i="4"/>
  <c r="AJ15" i="4"/>
  <c r="AF15" i="4"/>
  <c r="AB15" i="4"/>
  <c r="X15" i="4"/>
  <c r="T15" i="4"/>
  <c r="P15" i="4"/>
  <c r="L15" i="4"/>
  <c r="H15" i="4"/>
  <c r="D15" i="4"/>
  <c r="AL14" i="4"/>
  <c r="AH14" i="4"/>
  <c r="AD14" i="4"/>
  <c r="Z14" i="4"/>
  <c r="V14" i="4"/>
  <c r="R14" i="4"/>
  <c r="N14" i="4"/>
  <c r="J14" i="4"/>
  <c r="F14" i="4"/>
  <c r="AN13" i="4"/>
  <c r="AJ13" i="4"/>
  <c r="AF13" i="4"/>
  <c r="AB13" i="4"/>
  <c r="P13" i="4"/>
  <c r="AH12" i="4"/>
  <c r="AD12" i="4"/>
  <c r="Z12" i="4"/>
  <c r="N12" i="4"/>
  <c r="AN11" i="4"/>
  <c r="AJ11" i="4"/>
  <c r="AF11" i="4"/>
  <c r="AB11" i="4"/>
  <c r="X11" i="4"/>
  <c r="T11" i="4"/>
  <c r="P11" i="4"/>
  <c r="L11" i="4"/>
  <c r="H11" i="4"/>
  <c r="D11" i="4"/>
  <c r="AL10" i="4"/>
  <c r="AH10" i="4"/>
  <c r="AD10" i="4"/>
  <c r="Z10" i="4"/>
  <c r="V10" i="4"/>
  <c r="R10" i="4"/>
  <c r="N10" i="4"/>
  <c r="J10" i="4"/>
  <c r="F10" i="4"/>
  <c r="AN9" i="4"/>
  <c r="AJ9" i="4"/>
  <c r="AF9" i="4"/>
  <c r="AB9" i="4"/>
  <c r="P9" i="4"/>
  <c r="AH8" i="4"/>
  <c r="AD8" i="4"/>
  <c r="Z8" i="4"/>
  <c r="N8" i="4"/>
  <c r="J8" i="4"/>
  <c r="AN7" i="4"/>
  <c r="AJ7" i="4"/>
  <c r="AF7" i="4"/>
  <c r="AB7" i="4"/>
  <c r="P7" i="4"/>
  <c r="AH6" i="4"/>
  <c r="AD6" i="4"/>
  <c r="Z6" i="4"/>
  <c r="N6" i="4"/>
  <c r="J6" i="4"/>
  <c r="AN5" i="4"/>
  <c r="AJ5" i="4"/>
  <c r="AF5" i="4"/>
  <c r="AB5" i="4"/>
  <c r="P5" i="4"/>
  <c r="AH4" i="4"/>
  <c r="AD4" i="4"/>
  <c r="Z4" i="4"/>
  <c r="N4" i="4"/>
  <c r="AM17" i="4"/>
  <c r="AI17" i="4"/>
  <c r="AE17" i="4"/>
  <c r="AA17" i="4"/>
  <c r="W17" i="4"/>
  <c r="S17" i="4"/>
  <c r="O17" i="4"/>
  <c r="K17" i="4"/>
  <c r="G17" i="4"/>
  <c r="AK16" i="4"/>
  <c r="AG16" i="4"/>
  <c r="AC16" i="4"/>
  <c r="Y16" i="4"/>
  <c r="U16" i="4"/>
  <c r="Q16" i="4"/>
  <c r="M16" i="4"/>
  <c r="I16" i="4"/>
  <c r="E16" i="4"/>
  <c r="AM15" i="4"/>
  <c r="AI15" i="4"/>
  <c r="AE15" i="4"/>
  <c r="AA15" i="4"/>
  <c r="W15" i="4"/>
  <c r="S15" i="4"/>
  <c r="O15" i="4"/>
  <c r="K15" i="4"/>
  <c r="G15" i="4"/>
  <c r="AK14" i="4"/>
  <c r="AG14" i="4"/>
  <c r="AC14" i="4"/>
  <c r="Y14" i="4"/>
  <c r="U14" i="4"/>
  <c r="Q14" i="4"/>
  <c r="M14" i="4"/>
  <c r="I14" i="4"/>
  <c r="E14" i="4"/>
  <c r="AM13" i="4"/>
  <c r="AI13" i="4"/>
  <c r="AE13" i="4"/>
  <c r="AA13" i="4"/>
  <c r="O13" i="4"/>
  <c r="K13" i="4"/>
  <c r="AG12" i="4"/>
  <c r="AC12" i="4"/>
  <c r="Q12" i="4"/>
  <c r="AM11" i="4"/>
  <c r="AI11" i="4"/>
  <c r="AE11" i="4"/>
  <c r="AA11" i="4"/>
  <c r="W11" i="4"/>
  <c r="S11" i="4"/>
  <c r="O11" i="4"/>
  <c r="K11" i="4"/>
  <c r="G11" i="4"/>
  <c r="C11" i="4"/>
  <c r="AK10" i="4"/>
  <c r="AG10" i="4"/>
  <c r="AC10" i="4"/>
  <c r="Y10" i="4"/>
  <c r="U10" i="4"/>
  <c r="Q10" i="4"/>
  <c r="M10" i="4"/>
  <c r="I10" i="4"/>
  <c r="E10" i="4"/>
  <c r="AM9" i="4"/>
  <c r="AI9" i="4"/>
  <c r="AE9" i="4"/>
  <c r="AA9" i="4"/>
  <c r="O9" i="4"/>
  <c r="K9" i="4"/>
  <c r="AG8" i="4"/>
  <c r="AC8" i="4"/>
  <c r="Q8" i="4"/>
  <c r="AM7" i="4"/>
  <c r="AI7" i="4"/>
  <c r="AE7" i="4"/>
  <c r="AA7" i="4"/>
  <c r="O7" i="4"/>
  <c r="K7" i="4"/>
  <c r="AG6" i="4"/>
  <c r="AC6" i="4"/>
  <c r="Q6" i="4"/>
  <c r="AM5" i="4"/>
  <c r="AI5" i="4"/>
  <c r="AE5" i="4"/>
  <c r="AA5" i="4"/>
  <c r="O5" i="4"/>
  <c r="K5" i="4"/>
  <c r="AG4" i="4"/>
  <c r="AC4" i="4"/>
  <c r="Q4" i="4"/>
  <c r="Z19" i="4"/>
  <c r="N19" i="4"/>
  <c r="J19" i="4"/>
  <c r="AN18" i="4"/>
  <c r="AJ18" i="4"/>
  <c r="AF18" i="4"/>
  <c r="AB18" i="4"/>
  <c r="P18" i="4"/>
  <c r="AL17" i="4"/>
  <c r="AH17" i="4"/>
  <c r="AD17" i="4"/>
  <c r="Z17" i="4"/>
  <c r="V17" i="4"/>
  <c r="R17" i="4"/>
  <c r="N17" i="4"/>
  <c r="J17" i="4"/>
  <c r="F17" i="4"/>
  <c r="AN16" i="4"/>
  <c r="AJ16" i="4"/>
  <c r="AF16" i="4"/>
  <c r="AB16" i="4"/>
  <c r="X16" i="4"/>
  <c r="T16" i="4"/>
  <c r="P16" i="4"/>
  <c r="L16" i="4"/>
  <c r="H16" i="4"/>
  <c r="D16" i="4"/>
  <c r="AL15" i="4"/>
  <c r="AH15" i="4"/>
  <c r="AD15" i="4"/>
  <c r="Z15" i="4"/>
  <c r="V15" i="4"/>
  <c r="R15" i="4"/>
  <c r="N15" i="4"/>
  <c r="J15" i="4"/>
  <c r="F15" i="4"/>
  <c r="AN14" i="4"/>
  <c r="AJ14" i="4"/>
  <c r="AF14" i="4"/>
  <c r="AB14" i="4"/>
  <c r="X14" i="4"/>
  <c r="T14" i="4"/>
  <c r="P14" i="4"/>
  <c r="L14" i="4"/>
  <c r="H14" i="4"/>
  <c r="D14" i="4"/>
  <c r="AH13" i="4"/>
  <c r="AD13" i="4"/>
  <c r="Z13" i="4"/>
  <c r="N13" i="4"/>
  <c r="J13" i="4"/>
  <c r="AN12" i="4"/>
  <c r="AJ12" i="4"/>
  <c r="AF12" i="4"/>
  <c r="AB12" i="4"/>
  <c r="P12" i="4"/>
  <c r="AL11" i="4"/>
  <c r="AH11" i="4"/>
  <c r="AD11" i="4"/>
  <c r="Z11" i="4"/>
  <c r="V11" i="4"/>
  <c r="R11" i="4"/>
  <c r="N11" i="4"/>
  <c r="J11" i="4"/>
  <c r="F11" i="4"/>
  <c r="AN10" i="4"/>
  <c r="AJ10" i="4"/>
  <c r="AF10" i="4"/>
  <c r="AB10" i="4"/>
  <c r="X10" i="4"/>
  <c r="T10" i="4"/>
  <c r="P10" i="4"/>
  <c r="L10" i="4"/>
  <c r="H10" i="4"/>
  <c r="D10" i="4"/>
  <c r="AH9" i="4"/>
  <c r="AD9" i="4"/>
  <c r="Z9" i="4"/>
  <c r="N9" i="4"/>
  <c r="AN8" i="4"/>
  <c r="AJ8" i="4"/>
  <c r="AF8" i="4"/>
  <c r="AB8" i="4"/>
  <c r="P8" i="4"/>
  <c r="AH7" i="4"/>
  <c r="AD7" i="4"/>
  <c r="Z7" i="4"/>
  <c r="N7" i="4"/>
  <c r="AN6" i="4"/>
  <c r="AJ6" i="4"/>
  <c r="AF6" i="4"/>
  <c r="AB6" i="4"/>
  <c r="P6" i="4"/>
  <c r="AH5" i="4"/>
  <c r="AD5" i="4"/>
  <c r="Z5" i="4"/>
  <c r="N5" i="4"/>
  <c r="AN4" i="4"/>
  <c r="AJ4" i="4"/>
  <c r="AF4" i="4"/>
  <c r="AB4" i="4"/>
  <c r="P4" i="4"/>
  <c r="AK15" i="4"/>
  <c r="AG15" i="4"/>
  <c r="AC15" i="4"/>
  <c r="Y15" i="4"/>
  <c r="U15" i="4"/>
  <c r="Q15" i="4"/>
  <c r="M15" i="4"/>
  <c r="I15" i="4"/>
  <c r="E15" i="4"/>
  <c r="AM14" i="4"/>
  <c r="AI14" i="4"/>
  <c r="AE14" i="4"/>
  <c r="AA14" i="4"/>
  <c r="W14" i="4"/>
  <c r="S14" i="4"/>
  <c r="O14" i="4"/>
  <c r="K14" i="4"/>
  <c r="G14" i="4"/>
  <c r="C14" i="4"/>
  <c r="AG13" i="4"/>
  <c r="AC13" i="4"/>
  <c r="Q13" i="4"/>
  <c r="AM12" i="4"/>
  <c r="AI12" i="4"/>
  <c r="AE12" i="4"/>
  <c r="AA12" i="4"/>
  <c r="O12" i="4"/>
  <c r="K12" i="4"/>
  <c r="AK11" i="4"/>
  <c r="AG11" i="4"/>
  <c r="AC11" i="4"/>
  <c r="Y11" i="4"/>
  <c r="U11" i="4"/>
  <c r="Q11" i="4"/>
  <c r="M11" i="4"/>
  <c r="I11" i="4"/>
  <c r="E11" i="4"/>
  <c r="AM10" i="4"/>
  <c r="AI10" i="4"/>
  <c r="AE10" i="4"/>
  <c r="AA10" i="4"/>
  <c r="W10" i="4"/>
  <c r="S10" i="4"/>
  <c r="O10" i="4"/>
  <c r="K10" i="4"/>
  <c r="G10" i="4"/>
  <c r="AG9" i="4"/>
  <c r="AC9" i="4"/>
  <c r="Q9" i="4"/>
  <c r="AM8" i="4"/>
  <c r="AI8" i="4"/>
  <c r="AE8" i="4"/>
  <c r="AA8" i="4"/>
  <c r="O8" i="4"/>
  <c r="K8" i="4"/>
  <c r="AG7" i="4"/>
  <c r="AC7" i="4"/>
  <c r="Q7" i="4"/>
  <c r="AM6" i="4"/>
  <c r="AI6" i="4"/>
  <c r="AE6" i="4"/>
  <c r="AA6" i="4"/>
  <c r="O6" i="4"/>
  <c r="K6" i="4"/>
  <c r="AG5" i="4"/>
  <c r="AC5" i="4"/>
  <c r="Q5" i="4"/>
  <c r="AM4" i="4"/>
  <c r="AI4" i="4"/>
  <c r="AE4" i="4"/>
  <c r="AA4" i="4"/>
  <c r="O4" i="4"/>
  <c r="K4" i="4"/>
  <c r="G23" i="8"/>
  <c r="G40" i="8"/>
  <c r="G18" i="8"/>
  <c r="G30" i="8"/>
  <c r="G2" i="8"/>
  <c r="G32" i="8"/>
  <c r="G26" i="8"/>
  <c r="G41" i="8"/>
  <c r="G34" i="8"/>
  <c r="G38" i="8"/>
  <c r="G19" i="8"/>
  <c r="G22" i="8"/>
  <c r="G12" i="8"/>
  <c r="G4" i="8"/>
  <c r="G36" i="8"/>
  <c r="G6" i="8"/>
  <c r="G16" i="8"/>
  <c r="G27" i="8"/>
  <c r="G3" i="8"/>
  <c r="G10" i="8"/>
  <c r="G15" i="8"/>
  <c r="G46" i="8"/>
  <c r="G42" i="8"/>
  <c r="G29" i="8"/>
  <c r="G17" i="8"/>
  <c r="G35" i="8"/>
  <c r="G9" i="8"/>
  <c r="G13" i="8"/>
  <c r="G8" i="8"/>
  <c r="G43" i="8"/>
  <c r="G45" i="8"/>
  <c r="G7" i="8"/>
  <c r="G39" i="8"/>
  <c r="G11" i="8"/>
  <c r="G52" i="8"/>
  <c r="G24" i="8"/>
  <c r="G14" i="8"/>
  <c r="G31" i="8"/>
  <c r="G21" i="8"/>
  <c r="G33" i="8"/>
  <c r="G5" i="8"/>
  <c r="G37" i="8"/>
  <c r="G25" i="8"/>
  <c r="G28" i="8"/>
  <c r="G20" i="8"/>
  <c r="G44" i="8"/>
  <c r="R15" i="7" l="1"/>
  <c r="R19" i="7"/>
  <c r="R23" i="7"/>
  <c r="R27" i="7"/>
  <c r="R31" i="7"/>
  <c r="R8" i="7"/>
  <c r="R10" i="7"/>
  <c r="R14" i="7"/>
  <c r="R22" i="7"/>
  <c r="R26" i="7"/>
  <c r="R30" i="7"/>
  <c r="AI11" i="7"/>
  <c r="R5" i="7"/>
  <c r="R7" i="7"/>
  <c r="R13" i="7"/>
  <c r="R17" i="7"/>
  <c r="R21" i="7"/>
  <c r="R25" i="7"/>
  <c r="R29" i="7"/>
  <c r="AH3" i="7"/>
  <c r="R6" i="7"/>
  <c r="R12" i="7"/>
  <c r="R16" i="7"/>
  <c r="R20" i="7"/>
  <c r="R24" i="7"/>
  <c r="R28" i="7"/>
  <c r="R32" i="7"/>
  <c r="J9" i="4"/>
  <c r="C17" i="4"/>
  <c r="J12" i="4"/>
  <c r="J7" i="4"/>
  <c r="C10" i="4"/>
  <c r="C15" i="4"/>
  <c r="J5" i="4"/>
  <c r="J4" i="4"/>
  <c r="J3" i="4"/>
  <c r="C14" i="10" l="1"/>
  <c r="F14" i="10" s="1"/>
  <c r="C15" i="10"/>
  <c r="F15" i="10" s="1"/>
  <c r="D1" i="7" l="1"/>
  <c r="E1" i="7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C1" i="7"/>
  <c r="D1" i="6"/>
  <c r="E1" i="6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C1" i="6"/>
  <c r="G3" i="11" l="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77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2" i="11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52" i="8"/>
  <c r="J27" i="8"/>
  <c r="J28" i="8"/>
  <c r="J29" i="8"/>
  <c r="J30" i="8"/>
  <c r="J31" i="8"/>
  <c r="J32" i="8"/>
  <c r="J33" i="8"/>
  <c r="J34" i="8"/>
  <c r="J35" i="8"/>
  <c r="J36" i="8"/>
  <c r="J37" i="8"/>
  <c r="J38" i="8"/>
  <c r="J2" i="8"/>
  <c r="A4" i="7" l="1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3" i="7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3" i="6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C1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3" i="3"/>
  <c r="C45" i="8" l="1"/>
  <c r="C46" i="8"/>
  <c r="C39" i="8"/>
  <c r="E39" i="11" s="1"/>
  <c r="C40" i="8"/>
  <c r="E40" i="11" s="1"/>
  <c r="C41" i="8"/>
  <c r="E41" i="11" s="1"/>
  <c r="C43" i="8"/>
  <c r="E43" i="11" s="1"/>
  <c r="C42" i="8"/>
  <c r="E42" i="11" s="1"/>
  <c r="C44" i="8"/>
  <c r="E44" i="11" s="1"/>
  <c r="C38" i="8"/>
  <c r="E38" i="11" s="1"/>
  <c r="C4" i="8"/>
  <c r="E4" i="11" s="1"/>
  <c r="C32" i="8"/>
  <c r="E32" i="11" s="1"/>
  <c r="C25" i="8"/>
  <c r="E25" i="11" s="1"/>
  <c r="C17" i="8"/>
  <c r="E17" i="11" s="1"/>
  <c r="C9" i="8"/>
  <c r="E9" i="11" s="1"/>
  <c r="C31" i="8"/>
  <c r="E31" i="11" s="1"/>
  <c r="C24" i="8"/>
  <c r="E24" i="11" s="1"/>
  <c r="C16" i="8"/>
  <c r="E16" i="11" s="1"/>
  <c r="C8" i="8"/>
  <c r="E8" i="11" s="1"/>
  <c r="C2" i="8"/>
  <c r="E2" i="11" s="1"/>
  <c r="C34" i="8"/>
  <c r="E34" i="11" s="1"/>
  <c r="C30" i="8"/>
  <c r="E30" i="11" s="1"/>
  <c r="C52" i="8"/>
  <c r="E77" i="11" s="1"/>
  <c r="C23" i="8"/>
  <c r="E23" i="11" s="1"/>
  <c r="C19" i="8"/>
  <c r="E19" i="11" s="1"/>
  <c r="C15" i="8"/>
  <c r="E15" i="11" s="1"/>
  <c r="C11" i="8"/>
  <c r="E11" i="11" s="1"/>
  <c r="C7" i="8"/>
  <c r="E7" i="11" s="1"/>
  <c r="C3" i="8"/>
  <c r="E3" i="11" s="1"/>
  <c r="C36" i="8"/>
  <c r="E36" i="11" s="1"/>
  <c r="C28" i="8"/>
  <c r="E28" i="11" s="1"/>
  <c r="C21" i="8"/>
  <c r="E21" i="11" s="1"/>
  <c r="C13" i="8"/>
  <c r="E13" i="11" s="1"/>
  <c r="C5" i="8"/>
  <c r="E5" i="11" s="1"/>
  <c r="C35" i="8"/>
  <c r="E35" i="11" s="1"/>
  <c r="C27" i="8"/>
  <c r="E27" i="11" s="1"/>
  <c r="C20" i="8"/>
  <c r="E20" i="11" s="1"/>
  <c r="C12" i="8"/>
  <c r="E12" i="11" s="1"/>
  <c r="C37" i="8"/>
  <c r="E37" i="11" s="1"/>
  <c r="C33" i="8"/>
  <c r="E33" i="11" s="1"/>
  <c r="C29" i="8"/>
  <c r="E29" i="11" s="1"/>
  <c r="C26" i="8"/>
  <c r="E26" i="11" s="1"/>
  <c r="C22" i="8"/>
  <c r="E22" i="11" s="1"/>
  <c r="C18" i="8"/>
  <c r="E18" i="11" s="1"/>
  <c r="C14" i="8"/>
  <c r="E14" i="11" s="1"/>
  <c r="C10" i="8"/>
  <c r="E10" i="11" s="1"/>
  <c r="C6" i="8"/>
  <c r="E6" i="11" s="1"/>
  <c r="E10" i="8"/>
  <c r="I5" i="8"/>
  <c r="I34" i="8"/>
  <c r="E45" i="8"/>
  <c r="I8" i="8"/>
  <c r="I20" i="8"/>
  <c r="E26" i="8"/>
  <c r="I18" i="8"/>
  <c r="I15" i="8"/>
  <c r="I40" i="8"/>
  <c r="I9" i="8"/>
  <c r="I10" i="8"/>
  <c r="E19" i="8"/>
  <c r="E32" i="8"/>
  <c r="I16" i="8"/>
  <c r="E37" i="8"/>
  <c r="I52" i="8"/>
  <c r="E29" i="8"/>
  <c r="E25" i="8"/>
  <c r="E17" i="8"/>
  <c r="E18" i="8"/>
  <c r="E46" i="8"/>
  <c r="E27" i="8"/>
  <c r="E39" i="8"/>
  <c r="E11" i="8"/>
  <c r="I32" i="8"/>
  <c r="I29" i="8"/>
  <c r="E20" i="8"/>
  <c r="E22" i="8"/>
  <c r="E52" i="8"/>
  <c r="E38" i="8"/>
  <c r="I30" i="8"/>
  <c r="I37" i="8"/>
  <c r="I39" i="8"/>
  <c r="I24" i="8"/>
  <c r="I12" i="8"/>
  <c r="E28" i="8"/>
  <c r="I14" i="8"/>
  <c r="I21" i="8"/>
  <c r="I4" i="8"/>
  <c r="I13" i="8"/>
  <c r="I36" i="8"/>
  <c r="E12" i="8"/>
  <c r="I25" i="8"/>
  <c r="I28" i="8"/>
  <c r="E44" i="8"/>
  <c r="E4" i="8"/>
  <c r="I17" i="8"/>
  <c r="I35" i="8"/>
  <c r="E36" i="8"/>
  <c r="I11" i="8"/>
  <c r="I27" i="8"/>
  <c r="E30" i="8"/>
  <c r="E14" i="8"/>
  <c r="I38" i="8"/>
  <c r="I2" i="8"/>
  <c r="E7" i="8"/>
  <c r="E21" i="8"/>
  <c r="E42" i="8"/>
  <c r="E6" i="8"/>
  <c r="I43" i="8"/>
  <c r="E33" i="8"/>
  <c r="E23" i="8"/>
  <c r="I46" i="8"/>
  <c r="E35" i="8"/>
  <c r="I22" i="8"/>
  <c r="E40" i="8"/>
  <c r="I3" i="8"/>
  <c r="I33" i="8"/>
  <c r="I41" i="8"/>
  <c r="I19" i="8"/>
  <c r="E9" i="8"/>
  <c r="E5" i="8"/>
  <c r="E16" i="8"/>
  <c r="I42" i="8"/>
  <c r="E15" i="8"/>
  <c r="E2" i="8"/>
  <c r="I45" i="8"/>
  <c r="E24" i="8"/>
  <c r="E41" i="8"/>
  <c r="I44" i="8"/>
  <c r="I23" i="8"/>
  <c r="E31" i="8"/>
  <c r="E3" i="8"/>
  <c r="I6" i="8"/>
  <c r="E8" i="8"/>
  <c r="I26" i="8"/>
  <c r="I31" i="8"/>
  <c r="I7" i="8"/>
  <c r="E34" i="8"/>
  <c r="E13" i="8"/>
  <c r="E43" i="8"/>
  <c r="C4" i="11" l="1"/>
  <c r="C2" i="11"/>
  <c r="C44" i="11"/>
  <c r="C45" i="11"/>
  <c r="C39" i="11"/>
  <c r="C42" i="11"/>
  <c r="C30" i="11"/>
  <c r="C7" i="11"/>
  <c r="C43" i="11"/>
  <c r="C41" i="11"/>
  <c r="C46" i="11"/>
  <c r="C12" i="11"/>
  <c r="C29" i="11"/>
  <c r="C40" i="11"/>
  <c r="C9" i="11"/>
  <c r="C26" i="11"/>
  <c r="C11" i="11"/>
  <c r="C37" i="11"/>
  <c r="C20" i="11"/>
  <c r="C19" i="11"/>
  <c r="C3" i="11"/>
  <c r="C8" i="11"/>
  <c r="C15" i="11"/>
  <c r="C18" i="11"/>
  <c r="C24" i="11"/>
  <c r="C25" i="11"/>
  <c r="C16" i="11"/>
  <c r="C23" i="11"/>
  <c r="C33" i="11"/>
  <c r="C27" i="11"/>
  <c r="C14" i="11"/>
  <c r="C32" i="11"/>
  <c r="C17" i="11"/>
  <c r="C6" i="11"/>
  <c r="C5" i="11"/>
  <c r="C38" i="11"/>
  <c r="C22" i="11"/>
  <c r="C77" i="11"/>
  <c r="O77" i="11" s="1"/>
  <c r="C35" i="11"/>
  <c r="C21" i="11"/>
  <c r="C34" i="11"/>
  <c r="C13" i="11"/>
  <c r="C28" i="11"/>
  <c r="C31" i="11"/>
  <c r="C36" i="11"/>
  <c r="C10" i="11"/>
  <c r="J31" i="11" l="1"/>
  <c r="N31" i="11"/>
  <c r="R31" i="11"/>
  <c r="K31" i="11"/>
  <c r="O31" i="11"/>
  <c r="S31" i="11"/>
  <c r="H31" i="11"/>
  <c r="L31" i="11"/>
  <c r="P31" i="11"/>
  <c r="T31" i="11"/>
  <c r="Q31" i="11"/>
  <c r="M31" i="11"/>
  <c r="U31" i="11"/>
  <c r="I31" i="11"/>
  <c r="H21" i="11"/>
  <c r="L21" i="11"/>
  <c r="P21" i="11"/>
  <c r="T21" i="11"/>
  <c r="I21" i="11"/>
  <c r="M21" i="11"/>
  <c r="Q21" i="11"/>
  <c r="U21" i="11"/>
  <c r="J21" i="11"/>
  <c r="N21" i="11"/>
  <c r="R21" i="11"/>
  <c r="O21" i="11"/>
  <c r="S21" i="11"/>
  <c r="K21" i="11"/>
  <c r="H38" i="11"/>
  <c r="L38" i="11"/>
  <c r="P38" i="11"/>
  <c r="T38" i="11"/>
  <c r="I38" i="11"/>
  <c r="M38" i="11"/>
  <c r="Q38" i="11"/>
  <c r="U38" i="11"/>
  <c r="J38" i="11"/>
  <c r="N38" i="11"/>
  <c r="R38" i="11"/>
  <c r="O38" i="11"/>
  <c r="S38" i="11"/>
  <c r="K38" i="11"/>
  <c r="H32" i="11"/>
  <c r="L32" i="11"/>
  <c r="P32" i="11"/>
  <c r="T32" i="11"/>
  <c r="I32" i="11"/>
  <c r="M32" i="11"/>
  <c r="Q32" i="11"/>
  <c r="U32" i="11"/>
  <c r="J32" i="11"/>
  <c r="N32" i="11"/>
  <c r="R32" i="11"/>
  <c r="S32" i="11"/>
  <c r="K32" i="11"/>
  <c r="O32" i="11"/>
  <c r="H23" i="11"/>
  <c r="L23" i="11"/>
  <c r="P23" i="11"/>
  <c r="T23" i="11"/>
  <c r="I23" i="11"/>
  <c r="M23" i="11"/>
  <c r="Q23" i="11"/>
  <c r="U23" i="11"/>
  <c r="J23" i="11"/>
  <c r="N23" i="11"/>
  <c r="R23" i="11"/>
  <c r="S23" i="11"/>
  <c r="K23" i="11"/>
  <c r="O23" i="11"/>
  <c r="J18" i="11"/>
  <c r="N18" i="11"/>
  <c r="R18" i="11"/>
  <c r="K18" i="11"/>
  <c r="O18" i="11"/>
  <c r="S18" i="11"/>
  <c r="H18" i="11"/>
  <c r="L18" i="11"/>
  <c r="P18" i="11"/>
  <c r="T18" i="11"/>
  <c r="I18" i="11"/>
  <c r="M18" i="11"/>
  <c r="Q18" i="11"/>
  <c r="U18" i="11"/>
  <c r="H19" i="11"/>
  <c r="L19" i="11"/>
  <c r="P19" i="11"/>
  <c r="T19" i="11"/>
  <c r="I19" i="11"/>
  <c r="M19" i="11"/>
  <c r="Q19" i="11"/>
  <c r="U19" i="11"/>
  <c r="J19" i="11"/>
  <c r="N19" i="11"/>
  <c r="R19" i="11"/>
  <c r="K19" i="11"/>
  <c r="O19" i="11"/>
  <c r="S19" i="11"/>
  <c r="J26" i="11"/>
  <c r="N26" i="11"/>
  <c r="R26" i="11"/>
  <c r="K26" i="11"/>
  <c r="O26" i="11"/>
  <c r="S26" i="11"/>
  <c r="H26" i="11"/>
  <c r="L26" i="11"/>
  <c r="P26" i="11"/>
  <c r="T26" i="11"/>
  <c r="I26" i="11"/>
  <c r="M26" i="11"/>
  <c r="Q26" i="11"/>
  <c r="U26" i="11"/>
  <c r="J12" i="11"/>
  <c r="N12" i="11"/>
  <c r="R12" i="11"/>
  <c r="K12" i="11"/>
  <c r="O12" i="11"/>
  <c r="S12" i="11"/>
  <c r="H12" i="11"/>
  <c r="L12" i="11"/>
  <c r="P12" i="11"/>
  <c r="T12" i="11"/>
  <c r="M12" i="11"/>
  <c r="Q12" i="11"/>
  <c r="U12" i="11"/>
  <c r="I12" i="11"/>
  <c r="H7" i="11"/>
  <c r="L7" i="11"/>
  <c r="P7" i="11"/>
  <c r="T7" i="11"/>
  <c r="I7" i="11"/>
  <c r="M7" i="11"/>
  <c r="Q7" i="11"/>
  <c r="U7" i="11"/>
  <c r="J7" i="11"/>
  <c r="N7" i="11"/>
  <c r="R7" i="11"/>
  <c r="S7" i="11"/>
  <c r="K7" i="11"/>
  <c r="O7" i="11"/>
  <c r="J45" i="11"/>
  <c r="N45" i="11"/>
  <c r="K45" i="11"/>
  <c r="H45" i="11"/>
  <c r="L45" i="11"/>
  <c r="M45" i="11"/>
  <c r="R45" i="11"/>
  <c r="O45" i="11"/>
  <c r="T45" i="11"/>
  <c r="I45" i="11"/>
  <c r="U45" i="11"/>
  <c r="S45" i="11"/>
  <c r="P45" i="11"/>
  <c r="Q45" i="11"/>
  <c r="H13" i="11"/>
  <c r="L13" i="11"/>
  <c r="P13" i="11"/>
  <c r="T13" i="11"/>
  <c r="I13" i="11"/>
  <c r="M13" i="11"/>
  <c r="Q13" i="11"/>
  <c r="U13" i="11"/>
  <c r="J13" i="11"/>
  <c r="N13" i="11"/>
  <c r="R13" i="11"/>
  <c r="O13" i="11"/>
  <c r="S13" i="11"/>
  <c r="K13" i="11"/>
  <c r="H28" i="11"/>
  <c r="L28" i="11"/>
  <c r="P28" i="11"/>
  <c r="T28" i="11"/>
  <c r="I28" i="11"/>
  <c r="M28" i="11"/>
  <c r="Q28" i="11"/>
  <c r="U28" i="11"/>
  <c r="J28" i="11"/>
  <c r="N28" i="11"/>
  <c r="R28" i="11"/>
  <c r="K28" i="11"/>
  <c r="O28" i="11"/>
  <c r="S28" i="11"/>
  <c r="J35" i="11"/>
  <c r="N35" i="11"/>
  <c r="R35" i="11"/>
  <c r="K35" i="11"/>
  <c r="O35" i="11"/>
  <c r="S35" i="11"/>
  <c r="H35" i="11"/>
  <c r="L35" i="11"/>
  <c r="P35" i="11"/>
  <c r="T35" i="11"/>
  <c r="I35" i="11"/>
  <c r="M35" i="11"/>
  <c r="Q35" i="11"/>
  <c r="U35" i="11"/>
  <c r="H5" i="11"/>
  <c r="L5" i="11"/>
  <c r="P5" i="11"/>
  <c r="T5" i="11"/>
  <c r="I5" i="11"/>
  <c r="M5" i="11"/>
  <c r="Q5" i="11"/>
  <c r="U5" i="11"/>
  <c r="J5" i="11"/>
  <c r="N5" i="11"/>
  <c r="R5" i="11"/>
  <c r="O5" i="11"/>
  <c r="S5" i="11"/>
  <c r="K5" i="11"/>
  <c r="J14" i="11"/>
  <c r="N14" i="11"/>
  <c r="R14" i="11"/>
  <c r="K14" i="11"/>
  <c r="O14" i="11"/>
  <c r="S14" i="11"/>
  <c r="H14" i="11"/>
  <c r="L14" i="11"/>
  <c r="P14" i="11"/>
  <c r="T14" i="11"/>
  <c r="Q14" i="11"/>
  <c r="U14" i="11"/>
  <c r="I14" i="11"/>
  <c r="M14" i="11"/>
  <c r="J16" i="11"/>
  <c r="N16" i="11"/>
  <c r="R16" i="11"/>
  <c r="K16" i="11"/>
  <c r="O16" i="11"/>
  <c r="S16" i="11"/>
  <c r="H16" i="11"/>
  <c r="L16" i="11"/>
  <c r="P16" i="11"/>
  <c r="T16" i="11"/>
  <c r="U16" i="11"/>
  <c r="I16" i="11"/>
  <c r="M16" i="11"/>
  <c r="Q16" i="11"/>
  <c r="H15" i="11"/>
  <c r="L15" i="11"/>
  <c r="P15" i="11"/>
  <c r="T15" i="11"/>
  <c r="I15" i="11"/>
  <c r="M15" i="11"/>
  <c r="Q15" i="11"/>
  <c r="U15" i="11"/>
  <c r="J15" i="11"/>
  <c r="N15" i="11"/>
  <c r="R15" i="11"/>
  <c r="S15" i="11"/>
  <c r="K15" i="11"/>
  <c r="O15" i="11"/>
  <c r="J20" i="11"/>
  <c r="N20" i="11"/>
  <c r="R20" i="11"/>
  <c r="K20" i="11"/>
  <c r="O20" i="11"/>
  <c r="S20" i="11"/>
  <c r="H20" i="11"/>
  <c r="L20" i="11"/>
  <c r="P20" i="11"/>
  <c r="T20" i="11"/>
  <c r="M20" i="11"/>
  <c r="Q20" i="11"/>
  <c r="U20" i="11"/>
  <c r="I20" i="11"/>
  <c r="H9" i="11"/>
  <c r="L9" i="11"/>
  <c r="P9" i="11"/>
  <c r="T9" i="11"/>
  <c r="I9" i="11"/>
  <c r="M9" i="11"/>
  <c r="Q9" i="11"/>
  <c r="U9" i="11"/>
  <c r="J9" i="11"/>
  <c r="N9" i="11"/>
  <c r="R9" i="11"/>
  <c r="K9" i="11"/>
  <c r="O9" i="11"/>
  <c r="S9" i="11"/>
  <c r="H46" i="11"/>
  <c r="L46" i="11"/>
  <c r="P46" i="11"/>
  <c r="T46" i="11"/>
  <c r="I46" i="11"/>
  <c r="M46" i="11"/>
  <c r="Q46" i="11"/>
  <c r="N46" i="11"/>
  <c r="S46" i="11"/>
  <c r="U46" i="11"/>
  <c r="R46" i="11"/>
  <c r="K46" i="11"/>
  <c r="J46" i="11"/>
  <c r="O46" i="11"/>
  <c r="H30" i="11"/>
  <c r="L30" i="11"/>
  <c r="P30" i="11"/>
  <c r="T30" i="11"/>
  <c r="I30" i="11"/>
  <c r="M30" i="11"/>
  <c r="Q30" i="11"/>
  <c r="U30" i="11"/>
  <c r="J30" i="11"/>
  <c r="N30" i="11"/>
  <c r="R30" i="11"/>
  <c r="O30" i="11"/>
  <c r="S30" i="11"/>
  <c r="K30" i="11"/>
  <c r="H44" i="11"/>
  <c r="L44" i="11"/>
  <c r="P44" i="11"/>
  <c r="T44" i="11"/>
  <c r="I44" i="11"/>
  <c r="M44" i="11"/>
  <c r="Q44" i="11"/>
  <c r="U44" i="11"/>
  <c r="J44" i="11"/>
  <c r="N44" i="11"/>
  <c r="R44" i="11"/>
  <c r="K44" i="11"/>
  <c r="O44" i="11"/>
  <c r="S44" i="11"/>
  <c r="J10" i="11"/>
  <c r="N10" i="11"/>
  <c r="R10" i="11"/>
  <c r="K10" i="11"/>
  <c r="O10" i="11"/>
  <c r="S10" i="11"/>
  <c r="H10" i="11"/>
  <c r="L10" i="11"/>
  <c r="P10" i="11"/>
  <c r="T10" i="11"/>
  <c r="I10" i="11"/>
  <c r="M10" i="11"/>
  <c r="Q10" i="11"/>
  <c r="U10" i="11"/>
  <c r="J6" i="11"/>
  <c r="N6" i="11"/>
  <c r="R6" i="11"/>
  <c r="K6" i="11"/>
  <c r="O6" i="11"/>
  <c r="S6" i="11"/>
  <c r="H6" i="11"/>
  <c r="L6" i="11"/>
  <c r="P6" i="11"/>
  <c r="T6" i="11"/>
  <c r="Q6" i="11"/>
  <c r="U6" i="11"/>
  <c r="I6" i="11"/>
  <c r="M6" i="11"/>
  <c r="H27" i="11"/>
  <c r="I27" i="11"/>
  <c r="J27" i="11"/>
  <c r="N27" i="11"/>
  <c r="R27" i="11"/>
  <c r="K27" i="11"/>
  <c r="O27" i="11"/>
  <c r="S27" i="11"/>
  <c r="L27" i="11"/>
  <c r="P27" i="11"/>
  <c r="T27" i="11"/>
  <c r="M27" i="11"/>
  <c r="Q27" i="11"/>
  <c r="U27" i="11"/>
  <c r="H25" i="11"/>
  <c r="L25" i="11"/>
  <c r="P25" i="11"/>
  <c r="T25" i="11"/>
  <c r="I25" i="11"/>
  <c r="M25" i="11"/>
  <c r="Q25" i="11"/>
  <c r="U25" i="11"/>
  <c r="J25" i="11"/>
  <c r="N25" i="11"/>
  <c r="R25" i="11"/>
  <c r="K25" i="11"/>
  <c r="O25" i="11"/>
  <c r="S25" i="11"/>
  <c r="J8" i="11"/>
  <c r="N8" i="11"/>
  <c r="R8" i="11"/>
  <c r="K8" i="11"/>
  <c r="O8" i="11"/>
  <c r="S8" i="11"/>
  <c r="H8" i="11"/>
  <c r="L8" i="11"/>
  <c r="P8" i="11"/>
  <c r="T8" i="11"/>
  <c r="U8" i="11"/>
  <c r="I8" i="11"/>
  <c r="M8" i="11"/>
  <c r="Q8" i="11"/>
  <c r="J37" i="11"/>
  <c r="N37" i="11"/>
  <c r="R37" i="11"/>
  <c r="K37" i="11"/>
  <c r="O37" i="11"/>
  <c r="S37" i="11"/>
  <c r="H37" i="11"/>
  <c r="L37" i="11"/>
  <c r="P37" i="11"/>
  <c r="T37" i="11"/>
  <c r="M37" i="11"/>
  <c r="I37" i="11"/>
  <c r="Q37" i="11"/>
  <c r="U37" i="11"/>
  <c r="H40" i="11"/>
  <c r="L40" i="11"/>
  <c r="P40" i="11"/>
  <c r="T40" i="11"/>
  <c r="I40" i="11"/>
  <c r="M40" i="11"/>
  <c r="Q40" i="11"/>
  <c r="U40" i="11"/>
  <c r="J40" i="11"/>
  <c r="N40" i="11"/>
  <c r="R40" i="11"/>
  <c r="S40" i="11"/>
  <c r="O40" i="11"/>
  <c r="K40" i="11"/>
  <c r="J41" i="11"/>
  <c r="N41" i="11"/>
  <c r="R41" i="11"/>
  <c r="K41" i="11"/>
  <c r="O41" i="11"/>
  <c r="S41" i="11"/>
  <c r="H41" i="11"/>
  <c r="L41" i="11"/>
  <c r="P41" i="11"/>
  <c r="T41" i="11"/>
  <c r="U41" i="11"/>
  <c r="M41" i="11"/>
  <c r="I41" i="11"/>
  <c r="Q41" i="11"/>
  <c r="H42" i="11"/>
  <c r="L42" i="11"/>
  <c r="P42" i="11"/>
  <c r="T42" i="11"/>
  <c r="I42" i="11"/>
  <c r="M42" i="11"/>
  <c r="Q42" i="11"/>
  <c r="U42" i="11"/>
  <c r="J42" i="11"/>
  <c r="N42" i="11"/>
  <c r="R42" i="11"/>
  <c r="K42" i="11"/>
  <c r="S42" i="11"/>
  <c r="O42" i="11"/>
  <c r="H36" i="11"/>
  <c r="L36" i="11"/>
  <c r="P36" i="11"/>
  <c r="T36" i="11"/>
  <c r="I36" i="11"/>
  <c r="M36" i="11"/>
  <c r="Q36" i="11"/>
  <c r="U36" i="11"/>
  <c r="J36" i="11"/>
  <c r="N36" i="11"/>
  <c r="R36" i="11"/>
  <c r="K36" i="11"/>
  <c r="O36" i="11"/>
  <c r="S36" i="11"/>
  <c r="H34" i="11"/>
  <c r="L34" i="11"/>
  <c r="P34" i="11"/>
  <c r="T34" i="11"/>
  <c r="I34" i="11"/>
  <c r="M34" i="11"/>
  <c r="Q34" i="11"/>
  <c r="U34" i="11"/>
  <c r="J34" i="11"/>
  <c r="N34" i="11"/>
  <c r="R34" i="11"/>
  <c r="S34" i="11"/>
  <c r="K34" i="11"/>
  <c r="O34" i="11"/>
  <c r="J22" i="11"/>
  <c r="N22" i="11"/>
  <c r="R22" i="11"/>
  <c r="K22" i="11"/>
  <c r="O22" i="11"/>
  <c r="S22" i="11"/>
  <c r="H22" i="11"/>
  <c r="L22" i="11"/>
  <c r="P22" i="11"/>
  <c r="T22" i="11"/>
  <c r="Q22" i="11"/>
  <c r="U22" i="11"/>
  <c r="I22" i="11"/>
  <c r="M22" i="11"/>
  <c r="H17" i="11"/>
  <c r="L17" i="11"/>
  <c r="P17" i="11"/>
  <c r="T17" i="11"/>
  <c r="I17" i="11"/>
  <c r="M17" i="11"/>
  <c r="Q17" i="11"/>
  <c r="U17" i="11"/>
  <c r="J17" i="11"/>
  <c r="N17" i="11"/>
  <c r="R17" i="11"/>
  <c r="K17" i="11"/>
  <c r="O17" i="11"/>
  <c r="S17" i="11"/>
  <c r="J33" i="11"/>
  <c r="N33" i="11"/>
  <c r="R33" i="11"/>
  <c r="K33" i="11"/>
  <c r="O33" i="11"/>
  <c r="S33" i="11"/>
  <c r="H33" i="11"/>
  <c r="L33" i="11"/>
  <c r="P33" i="11"/>
  <c r="T33" i="11"/>
  <c r="U33" i="11"/>
  <c r="M33" i="11"/>
  <c r="I33" i="11"/>
  <c r="Q33" i="11"/>
  <c r="J24" i="11"/>
  <c r="N24" i="11"/>
  <c r="R24" i="11"/>
  <c r="K24" i="11"/>
  <c r="O24" i="11"/>
  <c r="S24" i="11"/>
  <c r="H24" i="11"/>
  <c r="L24" i="11"/>
  <c r="P24" i="11"/>
  <c r="T24" i="11"/>
  <c r="U24" i="11"/>
  <c r="I24" i="11"/>
  <c r="M24" i="11"/>
  <c r="Q24" i="11"/>
  <c r="H3" i="11"/>
  <c r="L3" i="11"/>
  <c r="P3" i="11"/>
  <c r="T3" i="11"/>
  <c r="I3" i="11"/>
  <c r="M3" i="11"/>
  <c r="Q3" i="11"/>
  <c r="U3" i="11"/>
  <c r="J3" i="11"/>
  <c r="N3" i="11"/>
  <c r="R3" i="11"/>
  <c r="K3" i="11"/>
  <c r="O3" i="11"/>
  <c r="S3" i="11"/>
  <c r="H11" i="11"/>
  <c r="L11" i="11"/>
  <c r="P11" i="11"/>
  <c r="T11" i="11"/>
  <c r="I11" i="11"/>
  <c r="M11" i="11"/>
  <c r="Q11" i="11"/>
  <c r="U11" i="11"/>
  <c r="J11" i="11"/>
  <c r="N11" i="11"/>
  <c r="R11" i="11"/>
  <c r="K11" i="11"/>
  <c r="O11" i="11"/>
  <c r="S11" i="11"/>
  <c r="J29" i="11"/>
  <c r="N29" i="11"/>
  <c r="R29" i="11"/>
  <c r="K29" i="11"/>
  <c r="O29" i="11"/>
  <c r="S29" i="11"/>
  <c r="H29" i="11"/>
  <c r="L29" i="11"/>
  <c r="P29" i="11"/>
  <c r="T29" i="11"/>
  <c r="M29" i="11"/>
  <c r="I29" i="11"/>
  <c r="Q29" i="11"/>
  <c r="U29" i="11"/>
  <c r="J43" i="11"/>
  <c r="N43" i="11"/>
  <c r="R43" i="11"/>
  <c r="K43" i="11"/>
  <c r="O43" i="11"/>
  <c r="S43" i="11"/>
  <c r="H43" i="11"/>
  <c r="L43" i="11"/>
  <c r="P43" i="11"/>
  <c r="T43" i="11"/>
  <c r="I43" i="11"/>
  <c r="Q43" i="11"/>
  <c r="M43" i="11"/>
  <c r="U43" i="11"/>
  <c r="J39" i="11"/>
  <c r="N39" i="11"/>
  <c r="R39" i="11"/>
  <c r="K39" i="11"/>
  <c r="O39" i="11"/>
  <c r="S39" i="11"/>
  <c r="H39" i="11"/>
  <c r="L39" i="11"/>
  <c r="P39" i="11"/>
  <c r="T39" i="11"/>
  <c r="Q39" i="11"/>
  <c r="U39" i="11"/>
  <c r="I39" i="11"/>
  <c r="M39" i="11"/>
  <c r="J4" i="11"/>
  <c r="N4" i="11"/>
  <c r="R4" i="11"/>
  <c r="K4" i="11"/>
  <c r="O4" i="11"/>
  <c r="S4" i="11"/>
  <c r="H4" i="11"/>
  <c r="L4" i="11"/>
  <c r="P4" i="11"/>
  <c r="T4" i="11"/>
  <c r="M4" i="11"/>
  <c r="Q4" i="11"/>
  <c r="U4" i="11"/>
  <c r="I4" i="11"/>
  <c r="U2" i="11"/>
  <c r="Q2" i="11"/>
  <c r="M2" i="11"/>
  <c r="I2" i="11"/>
  <c r="H2" i="11"/>
  <c r="O2" i="11"/>
  <c r="T2" i="11"/>
  <c r="P2" i="11"/>
  <c r="L2" i="11"/>
  <c r="K2" i="11"/>
  <c r="N2" i="11"/>
  <c r="S2" i="11"/>
  <c r="R2" i="11"/>
  <c r="J2" i="11"/>
  <c r="Q77" i="11"/>
  <c r="R77" i="11"/>
  <c r="S77" i="11"/>
  <c r="L77" i="11"/>
  <c r="P77" i="11"/>
  <c r="U77" i="11"/>
  <c r="T77" i="11"/>
  <c r="J77" i="11"/>
  <c r="H77" i="11" s="1"/>
  <c r="K77" i="11"/>
  <c r="I77" i="11" s="1"/>
  <c r="M77" i="11"/>
  <c r="N77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Johnson, Patrick</author>
  </authors>
  <commentList>
    <comment ref="B39" authorId="0" shapeId="0" xr:uid="{7A66C2F9-E618-4254-85E0-52B66D0C1C5E}">
      <text>
        <r>
          <rPr>
            <b/>
            <sz val="9"/>
            <color indexed="81"/>
            <rFont val="Tahoma"/>
            <family val="2"/>
          </rPr>
          <t>Johnson, Patrick:</t>
        </r>
        <r>
          <rPr>
            <sz val="9"/>
            <color indexed="81"/>
            <rFont val="Tahoma"/>
            <family val="2"/>
          </rPr>
          <t xml:space="preserve">
100 series added for NB
</t>
        </r>
      </text>
    </comment>
  </commentList>
</comments>
</file>

<file path=xl/sharedStrings.xml><?xml version="1.0" encoding="utf-8"?>
<sst xmlns="http://schemas.openxmlformats.org/spreadsheetml/2006/main" count="476" uniqueCount="211">
  <si>
    <t>VISUM Zone</t>
  </si>
  <si>
    <t>VISSIM Entry Link</t>
  </si>
  <si>
    <t>VISSIM Exit Link</t>
  </si>
  <si>
    <t>Entry Link</t>
  </si>
  <si>
    <t>Freeway Truck %:</t>
  </si>
  <si>
    <t>Arterial Truck %:</t>
  </si>
  <si>
    <t>NB I-495 GP</t>
  </si>
  <si>
    <t>NB I-495 HOT</t>
  </si>
  <si>
    <t>SB I-495 GP</t>
  </si>
  <si>
    <t>EB Clara Barton</t>
  </si>
  <si>
    <t>WB Clara Barton</t>
  </si>
  <si>
    <t>WB George Washingtion Memorial Pkwy</t>
  </si>
  <si>
    <t>NB Helga Pl</t>
  </si>
  <si>
    <t>SB Linganore Dr</t>
  </si>
  <si>
    <t>NB Balls Hill Rd</t>
  </si>
  <si>
    <t>NB Dead Run Dr</t>
  </si>
  <si>
    <t>WB Georgetown Pike</t>
  </si>
  <si>
    <t>Location</t>
  </si>
  <si>
    <t>EB Dulles Toll Rd</t>
  </si>
  <si>
    <t>EB Dulles Access Rd</t>
  </si>
  <si>
    <t>WB Dulles Toll Rd</t>
  </si>
  <si>
    <t>SB Spring Hill Rd</t>
  </si>
  <si>
    <t>EB Lewinsville Rd @ Spring Hill</t>
  </si>
  <si>
    <t>WB Lewinsville Rd @ Spring Hill</t>
  </si>
  <si>
    <t>EB Spring Hill Rd</t>
  </si>
  <si>
    <t>WB Jones Branch Dr @ Spring Hill</t>
  </si>
  <si>
    <t>NB International Dr</t>
  </si>
  <si>
    <t>SB Balls Hill Rd @ Georgetown Pike</t>
  </si>
  <si>
    <t>SB Balls Hill Rd @ Lewinsville Rd</t>
  </si>
  <si>
    <t>SB Dolley Madison Blvd</t>
  </si>
  <si>
    <t>EB Lewinsville Rd @ Dolley Madison Blvd</t>
  </si>
  <si>
    <t>WB Lewinsville Rd @ Dolley Madison Blvd</t>
  </si>
  <si>
    <t>WB Anderson Rd</t>
  </si>
  <si>
    <t>EB Capitol One Dr</t>
  </si>
  <si>
    <t>EB Scotts Crossing Rd</t>
  </si>
  <si>
    <t>WB Colshire Dr</t>
  </si>
  <si>
    <t>WB Old Meadow Rd</t>
  </si>
  <si>
    <t>SB SB Tyson's Blvd</t>
  </si>
  <si>
    <t>NB Tyson's Blvd</t>
  </si>
  <si>
    <t>NB Dolley Madison Blvd</t>
  </si>
  <si>
    <t>NB Jones Branch</t>
  </si>
  <si>
    <t>SB Jones Branch</t>
  </si>
  <si>
    <t>NB West Park Dr</t>
  </si>
  <si>
    <t>SB West Park Dr</t>
  </si>
  <si>
    <t>Composition</t>
  </si>
  <si>
    <t>Origin Zone</t>
  </si>
  <si>
    <t>Name</t>
  </si>
  <si>
    <t>0-900</t>
  </si>
  <si>
    <t>900-1800</t>
  </si>
  <si>
    <t>1800-2700</t>
  </si>
  <si>
    <t>2700-3600</t>
  </si>
  <si>
    <t>3600-4500</t>
  </si>
  <si>
    <t>Distribution ID</t>
  </si>
  <si>
    <t>Hourly Vol</t>
  </si>
  <si>
    <t>EB Georgetown Pike</t>
  </si>
  <si>
    <t>NB Westpark Dr</t>
  </si>
  <si>
    <t>SB Westpark Dr</t>
  </si>
  <si>
    <t>4500-5400</t>
  </si>
  <si>
    <t>5400-6300</t>
  </si>
  <si>
    <t>6300-7200</t>
  </si>
  <si>
    <t>7200-8100</t>
  </si>
  <si>
    <t>8100-9000</t>
  </si>
  <si>
    <t>9000-9900</t>
  </si>
  <si>
    <t>9900-10800</t>
  </si>
  <si>
    <t>10800-11700</t>
  </si>
  <si>
    <t>11700-12600</t>
  </si>
  <si>
    <t>Distriubtions Column Lookup:</t>
  </si>
  <si>
    <t>Link ID</t>
  </si>
  <si>
    <t>Zone</t>
  </si>
  <si>
    <t>Freeway</t>
  </si>
  <si>
    <t>Arterial</t>
  </si>
  <si>
    <t>Tolled Facilities:</t>
  </si>
  <si>
    <t>Truck-Free Facilities</t>
  </si>
  <si>
    <t>VISUM OD total</t>
  </si>
  <si>
    <t xml:space="preserve">Car </t>
  </si>
  <si>
    <t>HOT</t>
  </si>
  <si>
    <t>Truck</t>
  </si>
  <si>
    <t>Freeway Check:</t>
  </si>
  <si>
    <t>Aretial Check:</t>
  </si>
  <si>
    <t>Crosswalk</t>
  </si>
  <si>
    <t>Write OD tables, compositions, and inputs to txt:</t>
  </si>
  <si>
    <t>Removed (From Existing)</t>
  </si>
  <si>
    <t>SB I-495 HOT</t>
  </si>
  <si>
    <t>EB Frontage Rd @ Spring Hill</t>
  </si>
  <si>
    <t>EB Capitol One Dr @ Scotts Crossing</t>
  </si>
  <si>
    <t>SB Parking Lot @ Scotts Crossing</t>
  </si>
  <si>
    <t>EB Capitol One Dr @ Old Springhouse Rd</t>
  </si>
  <si>
    <t>WB Spring Gate Dr @ Old Springhouse Rd</t>
  </si>
  <si>
    <t>Additional Demand</t>
  </si>
  <si>
    <t>NB I-495 GP Add. Demand</t>
  </si>
  <si>
    <t>Clara Barton E</t>
  </si>
  <si>
    <t>SB GP in MD</t>
  </si>
  <si>
    <t>Clara Barton W</t>
  </si>
  <si>
    <t>NB GP in MD</t>
  </si>
  <si>
    <t>GWMP</t>
  </si>
  <si>
    <t>NB GP south end</t>
  </si>
  <si>
    <t>SB GP south end</t>
  </si>
  <si>
    <t>DTR WB east end</t>
  </si>
  <si>
    <t>DTR EB east end</t>
  </si>
  <si>
    <t>DAAR EB west end</t>
  </si>
  <si>
    <t>DAAR WB west end</t>
  </si>
  <si>
    <t>DTR WB west end</t>
  </si>
  <si>
    <t>DTR EB west end</t>
  </si>
  <si>
    <t>SB HOT south end</t>
  </si>
  <si>
    <t>NB HOT north end</t>
  </si>
  <si>
    <t>NB 123 to SB 495</t>
  </si>
  <si>
    <t>SB 495 to SB 123</t>
  </si>
  <si>
    <t>SB 495 to NB 123</t>
  </si>
  <si>
    <t>combined off-ramp in Build</t>
  </si>
  <si>
    <t>SB 123 to SB 495</t>
  </si>
  <si>
    <t>NB 495 to NB 123</t>
  </si>
  <si>
    <t>NB 495 to SB 123</t>
  </si>
  <si>
    <t>SB 123 to NB 495</t>
  </si>
  <si>
    <t>NB 123 to NB 495</t>
  </si>
  <si>
    <t>Westpark SB ramps</t>
  </si>
  <si>
    <t>Westpark NB ramps</t>
  </si>
  <si>
    <t>entry is change from No-Build (may have been incorrect)</t>
  </si>
  <si>
    <t>267 EB to 123 SB</t>
  </si>
  <si>
    <t>123 SB to 267 EB</t>
  </si>
  <si>
    <t>123 NB to 267 EB</t>
  </si>
  <si>
    <t>entry is change from No-Build</t>
  </si>
  <si>
    <t>267 EB to 123 NB</t>
  </si>
  <si>
    <t>267 WB to 123 SB</t>
  </si>
  <si>
    <t>267 WB to 123 NB</t>
  </si>
  <si>
    <t>123 SB to 267 WB</t>
  </si>
  <si>
    <t>Spring Hill EB ramps</t>
  </si>
  <si>
    <t>Spring Hill WB ramps</t>
  </si>
  <si>
    <t>Georgetown Pike SB ramps</t>
  </si>
  <si>
    <t>Georgetown Pike NB ramps</t>
  </si>
  <si>
    <t>JBC SB ramps</t>
  </si>
  <si>
    <t>JBC NB ramps</t>
  </si>
  <si>
    <t>Spring Hill EB C-D</t>
  </si>
  <si>
    <t>Spring Hill WB C-D</t>
  </si>
  <si>
    <t>SB HOT north end</t>
  </si>
  <si>
    <t>NB HOT south end</t>
  </si>
  <si>
    <t>exit is change from No-Build</t>
  </si>
  <si>
    <t>dummy zone - 123 NB to 495 NB GP C-D road (ramp G9)</t>
  </si>
  <si>
    <t>dummy zone - 495 NB GP to 267 WB/DAAR WB</t>
  </si>
  <si>
    <t>dummy zone - DTR WB to DAAR WB</t>
  </si>
  <si>
    <t>dummy zone - DTR/DAAR EB to I-495 HOT</t>
  </si>
  <si>
    <t>Colshire</t>
  </si>
  <si>
    <t>-</t>
  </si>
  <si>
    <t>Tysons Mall</t>
  </si>
  <si>
    <t>Balls Hill north of GTP</t>
  </si>
  <si>
    <t>Dead Run south of GTP</t>
  </si>
  <si>
    <t>International south of Spring Hill</t>
  </si>
  <si>
    <t>Jones Branch north of JBC</t>
  </si>
  <si>
    <t>Jones Branch south of JBC</t>
  </si>
  <si>
    <t>Tysons Blvd</t>
  </si>
  <si>
    <t>Lewinsville S/E of 123</t>
  </si>
  <si>
    <t>123 N/E end</t>
  </si>
  <si>
    <t>GTP east end</t>
  </si>
  <si>
    <t>GTP west end</t>
  </si>
  <si>
    <t>123 S/W end</t>
  </si>
  <si>
    <t>Lewinsville N/W of 123</t>
  </si>
  <si>
    <t>Spring Hill WB on-ramp</t>
  </si>
  <si>
    <t>Westpark north of HOT connector</t>
  </si>
  <si>
    <t>Westpark south of HOT connector</t>
  </si>
  <si>
    <t>Anderson</t>
  </si>
  <si>
    <t>Lewinsville east of Spring Hill</t>
  </si>
  <si>
    <t>Jones Branch east of Spring Hill</t>
  </si>
  <si>
    <t>Lewinsville west of Spring Hill</t>
  </si>
  <si>
    <t>Spring Hill north of Lewinsville</t>
  </si>
  <si>
    <t>Balls Hill south of GTP</t>
  </si>
  <si>
    <t>Old Meadow</t>
  </si>
  <si>
    <t>Spring Hill west of Jones Branch/International</t>
  </si>
  <si>
    <t>Capital One (access across from Old Meadow)</t>
  </si>
  <si>
    <t>Balls Hill N/W of Lewinsville</t>
  </si>
  <si>
    <t>Helga</t>
  </si>
  <si>
    <t>Linganore</t>
  </si>
  <si>
    <t>123 NB to 495 SB</t>
  </si>
  <si>
    <t>Westpark SB on-ramp</t>
  </si>
  <si>
    <t>Westpark NB off-ramp</t>
  </si>
  <si>
    <t>495 NB to 123 NB</t>
  </si>
  <si>
    <t>change from No-Build</t>
  </si>
  <si>
    <t>123 NB to 495 NB</t>
  </si>
  <si>
    <t>495 SB to 123 NB</t>
  </si>
  <si>
    <t>123 SB to 495 SB</t>
  </si>
  <si>
    <t>495 NB to 123 SB</t>
  </si>
  <si>
    <t>123 SB to 495 NB</t>
  </si>
  <si>
    <t>Westpark NB on-ramp</t>
  </si>
  <si>
    <t>Westpark SB off-ramp</t>
  </si>
  <si>
    <t>495 SB to 123 SB</t>
  </si>
  <si>
    <t>JBC SB off-ramp</t>
  </si>
  <si>
    <t>JBC NB on-ramp</t>
  </si>
  <si>
    <t>JBC NB off-ramp</t>
  </si>
  <si>
    <t>JBC SB on-ramp</t>
  </si>
  <si>
    <t>Spring Hill EB off-ramp</t>
  </si>
  <si>
    <t>Spring Hill WB off-ramp</t>
  </si>
  <si>
    <t>Spring Hill EB on-ramp</t>
  </si>
  <si>
    <t>GTP SB off-ramp</t>
  </si>
  <si>
    <t>GTP NB on-ramp</t>
  </si>
  <si>
    <t>GTP SB on-ramp</t>
  </si>
  <si>
    <t>GTP NB off-ramp</t>
  </si>
  <si>
    <t>Capital One to JBC (north/west)</t>
  </si>
  <si>
    <t>Capital One to JBC (south/east)</t>
  </si>
  <si>
    <t>JBC/Scotts Crossing connection</t>
  </si>
  <si>
    <t>RIRO south side of 123</t>
  </si>
  <si>
    <t>RIRO north side of 123</t>
  </si>
  <si>
    <t>Origin Link</t>
  </si>
  <si>
    <t>Closed Link 1</t>
  </si>
  <si>
    <t>Closed Link 2</t>
  </si>
  <si>
    <t>Closed Link 3</t>
  </si>
  <si>
    <t>Closed Link 4</t>
  </si>
  <si>
    <t>To Text File</t>
  </si>
  <si>
    <t>Route 267 EB Add. Demand</t>
  </si>
  <si>
    <t>Route 267 WB Add. Demand</t>
  </si>
  <si>
    <t>DAAR EB Add. Demand</t>
  </si>
  <si>
    <t>Dummy Zone for 495 SB Express to GP</t>
  </si>
  <si>
    <t>Dummy Zone for 495 NB/GWMP to Express NB</t>
  </si>
  <si>
    <t>DTR WB Ramps From Spring Hill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</si>
</sst>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2" borderId="0" xfId="0" applyFill="1"/>
    <xf numFmtId="0" fontId="0" fillId="4" borderId="0" xfId="0" applyFill="1"/>
    <xf numFmtId="9" fontId="0" fillId="0" borderId="0" xfId="0" applyNumberFormat="1"/>
    <xf numFmtId="0" fontId="1" fillId="5" borderId="0" xfId="0" applyFont="1" applyFill="1"/>
    <xf numFmtId="0" fontId="1" fillId="3" borderId="0" xfId="0" applyFont="1" applyFill="1"/>
    <xf numFmtId="0" fontId="0" fillId="0" borderId="0" xfId="0" applyFill="1"/>
    <xf numFmtId="0" fontId="2" fillId="0" borderId="0" xfId="0" applyFont="1"/>
    <xf numFmtId="0" fontId="0" fillId="0" borderId="0" xfId="0" applyFill="1" applyAlignment="1"/>
    <xf numFmtId="0" fontId="3" fillId="0" borderId="0" xfId="0" applyFont="1" applyFill="1"/>
    <xf numFmtId="0" fontId="0" fillId="0" borderId="0" xfId="0" applyFont="1" applyFill="1"/>
    <xf numFmtId="0" fontId="2" fillId="0" borderId="0" xfId="0" applyFont="1" applyFill="1"/>
    <xf numFmtId="2" fontId="0" fillId="0" borderId="0" xfId="0" applyNumberFormat="1"/>
    <xf numFmtId="0" fontId="0" fillId="0" borderId="0" xfId="0" applyBorder="1"/>
    <xf numFmtId="0" fontId="0" fillId="6" borderId="0" xfId="0" applyFill="1"/>
    <xf numFmtId="0" fontId="1" fillId="8" borderId="0" xfId="0" applyFont="1" applyFill="1"/>
    <xf numFmtId="0" fontId="1" fillId="7" borderId="0" xfId="0" applyFont="1" applyFill="1"/>
    <xf numFmtId="0" fontId="0" fillId="6" borderId="0" xfId="0" applyFill="1" applyBorder="1"/>
    <xf numFmtId="2" fontId="0" fillId="6" borderId="0" xfId="0" applyNumberFormat="1" applyFill="1"/>
    <xf numFmtId="1" fontId="0" fillId="0" borderId="0" xfId="0" applyNumberFormat="1"/>
    <xf numFmtId="0" fontId="0" fillId="9" borderId="0" xfId="0" applyFill="1"/>
    <xf numFmtId="2" fontId="0" fillId="9" borderId="0" xfId="0" applyNumberFormat="1" applyFill="1"/>
    <xf numFmtId="0" fontId="1" fillId="10" borderId="0" xfId="0" applyFont="1" applyFill="1"/>
    <xf numFmtId="0" fontId="0" fillId="0" borderId="1" xfId="0" applyBorder="1"/>
    <xf numFmtId="2" fontId="0" fillId="0" borderId="1" xfId="0" applyNumberFormat="1" applyBorder="1"/>
    <xf numFmtId="0" fontId="0" fillId="11" borderId="0" xfId="0" applyFill="1"/>
    <xf numFmtId="2" fontId="0" fillId="11" borderId="0" xfId="0" applyNumberFormat="1" applyFill="1"/>
    <xf numFmtId="2" fontId="0" fillId="0" borderId="0" xfId="0" applyNumberFormat="1" applyFill="1" applyBorder="1"/>
    <xf numFmtId="2" fontId="0" fillId="0" borderId="0" xfId="0" applyNumberFormat="1" applyFill="1"/>
    <xf numFmtId="4" fontId="0" fillId="0" borderId="0" xfId="0" applyNumberFormat="1"/>
    <xf numFmtId="0" fontId="2" fillId="6" borderId="0" xfId="0" applyFont="1" applyFill="1" applyAlignment="1">
      <alignment wrapText="1"/>
    </xf>
    <xf numFmtId="0" fontId="0" fillId="12" borderId="0" xfId="0" applyFill="1"/>
    <xf numFmtId="0" fontId="0" fillId="13" borderId="0" xfId="0" applyFill="1"/>
    <xf numFmtId="0" fontId="0" fillId="13" borderId="0" xfId="0" applyFill="1" applyBorder="1"/>
    <xf numFmtId="0" fontId="1" fillId="14" borderId="0" xfId="0" applyFont="1" applyFill="1"/>
    <xf numFmtId="0" fontId="7" fillId="0" borderId="0" xfId="0" applyFont="1" applyFill="1"/>
    <xf numFmtId="0" fontId="7" fillId="0" borderId="0" xfId="0" applyFont="1"/>
    <xf numFmtId="0" fontId="2" fillId="15" borderId="0" xfId="0" applyFont="1" applyFill="1"/>
    <xf numFmtId="0" fontId="2" fillId="16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</cellXfs>
  <cellStyles count="1">
    <cellStyle name="Normal" xfId="0" builtinId="0"/>
  </cellStyles>
  <dxfs count="25"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4</xdr:row>
          <xdr:rowOff>0</xdr:rowOff>
        </xdr:from>
        <xdr:to>
          <xdr:col>4</xdr:col>
          <xdr:colOff>209550</xdr:colOff>
          <xdr:row>10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Text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NVA_TPTO/110467001_495_Project_NEXT/Production/Task-3_Traffic/VISUM/Existing/Distribu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D"/>
      <sheetName val="CountData-15Min"/>
      <sheetName val="Distributions"/>
      <sheetName val="AMTrucks"/>
      <sheetName val="PMTrucks"/>
    </sheetNames>
    <sheetDataSet>
      <sheetData sheetId="0"/>
      <sheetData sheetId="1"/>
      <sheetData sheetId="2">
        <row r="1">
          <cell r="D1">
            <v>0.25</v>
          </cell>
          <cell r="E1">
            <v>0.26041666666666669</v>
          </cell>
          <cell r="F1">
            <v>0.27083333333333331</v>
          </cell>
          <cell r="G1">
            <v>0.28125</v>
          </cell>
          <cell r="H1">
            <v>0.29166666666666669</v>
          </cell>
          <cell r="I1">
            <v>0.30208333333333331</v>
          </cell>
          <cell r="J1">
            <v>0.3125</v>
          </cell>
          <cell r="K1">
            <v>0.32291666666666669</v>
          </cell>
          <cell r="L1">
            <v>0.33333333333333331</v>
          </cell>
          <cell r="M1">
            <v>0.34375</v>
          </cell>
          <cell r="N1">
            <v>0.35416666666666669</v>
          </cell>
          <cell r="O1">
            <v>0.36458333333333331</v>
          </cell>
          <cell r="P1">
            <v>0.375</v>
          </cell>
          <cell r="Q1">
            <v>0.38541666666666669</v>
          </cell>
          <cell r="R1">
            <v>0.39583333333333331</v>
          </cell>
          <cell r="S1">
            <v>0.40625</v>
          </cell>
          <cell r="T1"/>
          <cell r="U1">
            <v>0.58333333333333337</v>
          </cell>
          <cell r="V1">
            <v>0.59375</v>
          </cell>
          <cell r="W1">
            <v>0.60416666666666663</v>
          </cell>
          <cell r="X1">
            <v>0.61458333333333337</v>
          </cell>
          <cell r="Y1">
            <v>0.625</v>
          </cell>
          <cell r="Z1">
            <v>0.63541666666666663</v>
          </cell>
          <cell r="AA1">
            <v>0.64583333333333337</v>
          </cell>
          <cell r="AB1">
            <v>0.65625</v>
          </cell>
          <cell r="AC1">
            <v>0.66666666666666663</v>
          </cell>
          <cell r="AD1">
            <v>0.67708333333333337</v>
          </cell>
          <cell r="AE1">
            <v>0.6875</v>
          </cell>
          <cell r="AF1">
            <v>0.69791666666666663</v>
          </cell>
          <cell r="AG1">
            <v>0.70833333333333337</v>
          </cell>
          <cell r="AH1">
            <v>0.71875</v>
          </cell>
          <cell r="AI1">
            <v>0.72916666666666663</v>
          </cell>
          <cell r="AJ1">
            <v>0.73958333333333337</v>
          </cell>
          <cell r="AK1">
            <v>0.75</v>
          </cell>
        </row>
        <row r="3">
          <cell r="A3">
            <v>1</v>
          </cell>
          <cell r="B3" t="str">
            <v>I-495 GP south of Route 123 NB</v>
          </cell>
          <cell r="C3" t="str">
            <v>M-1</v>
          </cell>
          <cell r="D3">
            <v>0.88711204629142548</v>
          </cell>
          <cell r="E3">
            <v>0.94960547080483948</v>
          </cell>
          <cell r="F3">
            <v>1.0924776433456076</v>
          </cell>
          <cell r="G3">
            <v>1.0238821672803786</v>
          </cell>
          <cell r="H3">
            <v>1.0419779063650709</v>
          </cell>
          <cell r="I3">
            <v>1.1082588111520253</v>
          </cell>
          <cell r="J3">
            <v>1.1196212519726461</v>
          </cell>
          <cell r="K3">
            <v>1.0438716465018412</v>
          </cell>
          <cell r="L3">
            <v>1.0146238821672804</v>
          </cell>
          <cell r="M3">
            <v>1.000946870068385</v>
          </cell>
          <cell r="N3">
            <v>0.94055760126249333</v>
          </cell>
          <cell r="O3">
            <v>0.95465544450289308</v>
          </cell>
          <cell r="P3">
            <v>0.88984744871120458</v>
          </cell>
          <cell r="Q3">
            <v>0.87596002104155712</v>
          </cell>
          <cell r="R3">
            <v>0.95528669121514986</v>
          </cell>
          <cell r="S3">
            <v>0.86038926880589162</v>
          </cell>
          <cell r="T3"/>
          <cell r="U3">
            <v>1.2085452695829093</v>
          </cell>
          <cell r="V3">
            <v>1.264574692855466</v>
          </cell>
          <cell r="W3">
            <v>1.1916425385397917</v>
          </cell>
          <cell r="X3">
            <v>1.1741137804210031</v>
          </cell>
          <cell r="Y3">
            <v>1.115893262383598</v>
          </cell>
          <cell r="Z3">
            <v>1.0933562876594412</v>
          </cell>
          <cell r="AA3">
            <v>1.08646998982706</v>
          </cell>
          <cell r="AB3">
            <v>1.0636200015650676</v>
          </cell>
          <cell r="AC3">
            <v>1.0363878237733781</v>
          </cell>
          <cell r="AD3">
            <v>0.96157758823069095</v>
          </cell>
          <cell r="AE3">
            <v>0.93841458643086306</v>
          </cell>
          <cell r="AF3">
            <v>0.89146255575553635</v>
          </cell>
          <cell r="AG3">
            <v>0.91838172000939033</v>
          </cell>
          <cell r="AH3">
            <v>0.89396666405822045</v>
          </cell>
          <cell r="AI3">
            <v>0.90993035448783155</v>
          </cell>
          <cell r="AJ3">
            <v>0.93121527506064627</v>
          </cell>
          <cell r="AK3">
            <v>0.88019406839345804</v>
          </cell>
        </row>
        <row r="4">
          <cell r="A4">
            <v>2</v>
          </cell>
          <cell r="B4" t="str">
            <v>I-495 HOT south of Westpark Drive NB</v>
          </cell>
          <cell r="C4" t="str">
            <v>M-3</v>
          </cell>
          <cell r="D4">
            <v>0.32080536912751684</v>
          </cell>
          <cell r="E4">
            <v>0.3590604026845638</v>
          </cell>
          <cell r="F4">
            <v>0.49664429530201343</v>
          </cell>
          <cell r="G4">
            <v>0.63691275167785233</v>
          </cell>
          <cell r="H4">
            <v>0.72885906040268467</v>
          </cell>
          <cell r="I4">
            <v>0.76912751677852353</v>
          </cell>
          <cell r="J4">
            <v>0.82483221476510082</v>
          </cell>
          <cell r="K4">
            <v>0.92013422818791957</v>
          </cell>
          <cell r="L4">
            <v>0.93557046979865788</v>
          </cell>
          <cell r="M4">
            <v>1.031543624161074</v>
          </cell>
          <cell r="N4">
            <v>1.112751677852349</v>
          </cell>
          <cell r="O4">
            <v>1.1536912751677852</v>
          </cell>
          <cell r="P4">
            <v>1.1744966442953022</v>
          </cell>
          <cell r="Q4">
            <v>1.1906040268456377</v>
          </cell>
          <cell r="R4">
            <v>0.95637583892617462</v>
          </cell>
          <cell r="S4">
            <v>0.86442953020134228</v>
          </cell>
          <cell r="T4"/>
          <cell r="U4">
            <v>0.73503675183759187</v>
          </cell>
          <cell r="V4">
            <v>0.87084354217710891</v>
          </cell>
          <cell r="W4">
            <v>0.86384319215960792</v>
          </cell>
          <cell r="X4">
            <v>0.91144557227861389</v>
          </cell>
          <cell r="Y4">
            <v>0.98144907245362256</v>
          </cell>
          <cell r="Z4">
            <v>0.97584879243962197</v>
          </cell>
          <cell r="AA4">
            <v>1.0948547427371369</v>
          </cell>
          <cell r="AB4">
            <v>1.0304515225761288</v>
          </cell>
          <cell r="AC4">
            <v>0.98424921246062302</v>
          </cell>
          <cell r="AD4">
            <v>0.94924746237311863</v>
          </cell>
          <cell r="AE4">
            <v>1.0360518025901295</v>
          </cell>
          <cell r="AF4">
            <v>1.0696534826741335</v>
          </cell>
          <cell r="AG4">
            <v>0.98984949247462362</v>
          </cell>
          <cell r="AH4">
            <v>0.97444872243612179</v>
          </cell>
          <cell r="AI4">
            <v>0.94924746237311863</v>
          </cell>
          <cell r="AJ4">
            <v>0.9912495624781239</v>
          </cell>
          <cell r="AK4">
            <v>0.82184109205460265</v>
          </cell>
        </row>
        <row r="5">
          <cell r="A5">
            <v>3</v>
          </cell>
          <cell r="B5" t="str">
            <v>DAAR between I-495 and Spring Hill Road EB</v>
          </cell>
          <cell r="C5" t="str">
            <v>M-9</v>
          </cell>
          <cell r="D5">
            <v>0.36482084690553745</v>
          </cell>
          <cell r="E5">
            <v>0.48682262363044121</v>
          </cell>
          <cell r="F5">
            <v>0.61948474977790935</v>
          </cell>
          <cell r="G5">
            <v>0.6976606455433817</v>
          </cell>
          <cell r="H5">
            <v>0.76280722534794188</v>
          </cell>
          <cell r="I5">
            <v>0.8445365709209357</v>
          </cell>
          <cell r="J5">
            <v>1.0162866449511401</v>
          </cell>
          <cell r="K5">
            <v>1.0257625111045305</v>
          </cell>
          <cell r="L5">
            <v>0.95469351495410126</v>
          </cell>
          <cell r="M5">
            <v>1.0257625111045305</v>
          </cell>
          <cell r="N5">
            <v>0.99378146283683744</v>
          </cell>
          <cell r="O5">
            <v>0.8682262363044122</v>
          </cell>
          <cell r="P5">
            <v>0.78886585726976599</v>
          </cell>
          <cell r="Q5">
            <v>0.77583654130885404</v>
          </cell>
          <cell r="R5">
            <v>0.70713651169677227</v>
          </cell>
          <cell r="S5">
            <v>0.76043825880959426</v>
          </cell>
          <cell r="T5"/>
          <cell r="U5">
            <v>0.57447438554930408</v>
          </cell>
          <cell r="V5">
            <v>0.68107787977494805</v>
          </cell>
          <cell r="W5">
            <v>0.90849866745632213</v>
          </cell>
          <cell r="X5">
            <v>0.92271246668640805</v>
          </cell>
          <cell r="Y5">
            <v>1.0162866449511401</v>
          </cell>
          <cell r="Z5">
            <v>0.96890731418418719</v>
          </cell>
          <cell r="AA5">
            <v>0.983121113414273</v>
          </cell>
          <cell r="AB5">
            <v>1.0802487414865265</v>
          </cell>
          <cell r="AC5">
            <v>1.0293159609120521</v>
          </cell>
          <cell r="AD5">
            <v>0.99733491264435892</v>
          </cell>
          <cell r="AE5">
            <v>0.89310038495706245</v>
          </cell>
          <cell r="AF5">
            <v>0.94640213206988433</v>
          </cell>
          <cell r="AG5">
            <v>0.95587799822327502</v>
          </cell>
          <cell r="AH5">
            <v>0.94284868226236296</v>
          </cell>
          <cell r="AI5">
            <v>0.89783831803375769</v>
          </cell>
          <cell r="AJ5">
            <v>0.72727272727272718</v>
          </cell>
          <cell r="AK5">
            <v>0.59934853420195433</v>
          </cell>
        </row>
        <row r="6">
          <cell r="A6">
            <v>4</v>
          </cell>
          <cell r="B6" t="str">
            <v>I-495 GP north of Clara Barton Parkway SB</v>
          </cell>
          <cell r="C6" t="str">
            <v>M-14</v>
          </cell>
          <cell r="D6">
            <v>0.90651996389736533</v>
          </cell>
          <cell r="E6">
            <v>0.97941290239394851</v>
          </cell>
          <cell r="F6">
            <v>1.0153436197189152</v>
          </cell>
          <cell r="G6">
            <v>1.0297846735720118</v>
          </cell>
          <cell r="H6">
            <v>1.0160312889500149</v>
          </cell>
          <cell r="I6">
            <v>1.0129367774100657</v>
          </cell>
          <cell r="J6">
            <v>1.0454291485795333</v>
          </cell>
          <cell r="K6">
            <v>1.0394120428074096</v>
          </cell>
          <cell r="L6">
            <v>1.0615893755103796</v>
          </cell>
          <cell r="M6">
            <v>0.98422658701164734</v>
          </cell>
          <cell r="N6">
            <v>0.91477199467056347</v>
          </cell>
          <cell r="O6">
            <v>0.89517342158421798</v>
          </cell>
          <cell r="P6">
            <v>0.90428503889629086</v>
          </cell>
          <cell r="Q6">
            <v>0.83861262732625608</v>
          </cell>
          <cell r="R6">
            <v>0.85907078695147632</v>
          </cell>
          <cell r="S6">
            <v>0.88468646580994537</v>
          </cell>
          <cell r="T6"/>
          <cell r="U6">
            <v>1.3472240196712826</v>
          </cell>
          <cell r="V6">
            <v>1.3624951468875373</v>
          </cell>
          <cell r="W6">
            <v>1.4323799663517538</v>
          </cell>
          <cell r="X6">
            <v>1.4486864242267377</v>
          </cell>
          <cell r="Y6">
            <v>1.2964928173935553</v>
          </cell>
          <cell r="Z6">
            <v>1.2071955480781675</v>
          </cell>
          <cell r="AA6">
            <v>1.1031448168758899</v>
          </cell>
          <cell r="AB6">
            <v>1.1122039601397697</v>
          </cell>
          <cell r="AC6">
            <v>1.0402484793580951</v>
          </cell>
          <cell r="AD6">
            <v>0.98226996246926368</v>
          </cell>
          <cell r="AE6">
            <v>0.86527759803287174</v>
          </cell>
          <cell r="AF6">
            <v>0.85181829946939314</v>
          </cell>
          <cell r="AG6">
            <v>0.86708942668564781</v>
          </cell>
          <cell r="AH6">
            <v>0.86864242267374159</v>
          </cell>
          <cell r="AI6">
            <v>0.90410249773521423</v>
          </cell>
          <cell r="AJ6">
            <v>0.94965704671929607</v>
          </cell>
          <cell r="AK6">
            <v>1.052931279927527</v>
          </cell>
        </row>
        <row r="7">
          <cell r="A7">
            <v>5</v>
          </cell>
          <cell r="B7" t="str">
            <v>Route 267 east of Route 123 / DAAR termini WB</v>
          </cell>
          <cell r="C7" t="str">
            <v>M-22</v>
          </cell>
          <cell r="D7">
            <v>0.24710123745493526</v>
          </cell>
          <cell r="E7">
            <v>0.26970671343661701</v>
          </cell>
          <cell r="F7">
            <v>0.37454935204131351</v>
          </cell>
          <cell r="G7">
            <v>0.47198674851407979</v>
          </cell>
          <cell r="H7">
            <v>0.60255285978758655</v>
          </cell>
          <cell r="I7">
            <v>0.72454448017148987</v>
          </cell>
          <cell r="J7">
            <v>0.81847413037123662</v>
          </cell>
          <cell r="K7">
            <v>0.87888531618435162</v>
          </cell>
          <cell r="L7">
            <v>0.98918444899152302</v>
          </cell>
          <cell r="M7">
            <v>1.0472571372892918</v>
          </cell>
          <cell r="N7">
            <v>1.084673097534834</v>
          </cell>
          <cell r="O7">
            <v>1.0324466530254313</v>
          </cell>
          <cell r="P7">
            <v>1.0359543992984508</v>
          </cell>
          <cell r="Q7">
            <v>0.99191269609276056</v>
          </cell>
          <cell r="R7">
            <v>0.83757186007989881</v>
          </cell>
          <cell r="S7">
            <v>0.76741693461950711</v>
          </cell>
          <cell r="T7"/>
          <cell r="U7">
            <v>0.95800711743772249</v>
          </cell>
          <cell r="V7">
            <v>0.90177935943060494</v>
          </cell>
          <cell r="W7">
            <v>0.95088967971530247</v>
          </cell>
          <cell r="X7">
            <v>0.9145907473309608</v>
          </cell>
          <cell r="Y7">
            <v>0.97935943060498232</v>
          </cell>
          <cell r="Z7">
            <v>1.0583629893238435</v>
          </cell>
          <cell r="AA7">
            <v>0.98220640569395024</v>
          </cell>
          <cell r="AB7">
            <v>1.0007117437722421</v>
          </cell>
          <cell r="AC7">
            <v>1.008540925266904</v>
          </cell>
          <cell r="AD7">
            <v>1.0078291814946621</v>
          </cell>
          <cell r="AE7">
            <v>0.98291814946619216</v>
          </cell>
          <cell r="AF7">
            <v>1.0661921708185054</v>
          </cell>
          <cell r="AG7">
            <v>1.0448398576512457</v>
          </cell>
          <cell r="AH7">
            <v>0.99359430604982202</v>
          </cell>
          <cell r="AI7">
            <v>0.92313167259786477</v>
          </cell>
          <cell r="AJ7">
            <v>0.82775800711743774</v>
          </cell>
          <cell r="AK7">
            <v>0.84839857651245554</v>
          </cell>
        </row>
        <row r="8">
          <cell r="A8">
            <v>6</v>
          </cell>
          <cell r="B8" t="str">
            <v>Route 267 west of Spring Hill Road EB</v>
          </cell>
          <cell r="C8" t="str">
            <v>M-23</v>
          </cell>
          <cell r="D8">
            <v>0.41475024373458735</v>
          </cell>
          <cell r="E8">
            <v>0.54642427022997075</v>
          </cell>
          <cell r="F8">
            <v>0.75861673453002232</v>
          </cell>
          <cell r="G8">
            <v>0.9295176922635775</v>
          </cell>
          <cell r="H8">
            <v>1.0781671159029651</v>
          </cell>
          <cell r="I8">
            <v>1.104777197912485</v>
          </cell>
          <cell r="J8">
            <v>1.1830016631301257</v>
          </cell>
          <cell r="K8">
            <v>1.1563915811206056</v>
          </cell>
          <cell r="L8">
            <v>1.0602741297241498</v>
          </cell>
          <cell r="M8">
            <v>0.92080059643287271</v>
          </cell>
          <cell r="N8">
            <v>0.86253369272237201</v>
          </cell>
          <cell r="O8">
            <v>0.81458966565349555</v>
          </cell>
          <cell r="P8">
            <v>0.84808166542409813</v>
          </cell>
          <cell r="Q8">
            <v>0.8230773642254976</v>
          </cell>
          <cell r="R8">
            <v>0.86574525434421068</v>
          </cell>
          <cell r="S8">
            <v>0.88891437747318924</v>
          </cell>
          <cell r="T8"/>
          <cell r="U8">
            <v>0.78222981631781285</v>
          </cell>
          <cell r="V8">
            <v>0.79521571977787264</v>
          </cell>
          <cell r="W8">
            <v>0.92780862879111481</v>
          </cell>
          <cell r="X8">
            <v>0.86629645450662107</v>
          </cell>
          <cell r="Y8">
            <v>0.87586501495087565</v>
          </cell>
          <cell r="Z8">
            <v>0.82768047842802217</v>
          </cell>
          <cell r="AA8">
            <v>0.94113626655275517</v>
          </cell>
          <cell r="AB8">
            <v>0.91106364801366924</v>
          </cell>
          <cell r="AC8">
            <v>0.98829560017086704</v>
          </cell>
          <cell r="AD8">
            <v>0.96608287056813325</v>
          </cell>
          <cell r="AE8">
            <v>1.1345578812473303</v>
          </cell>
          <cell r="AF8">
            <v>1.114053823152499</v>
          </cell>
          <cell r="AG8">
            <v>1.0935497650576678</v>
          </cell>
          <cell r="AH8">
            <v>1.0645023494233232</v>
          </cell>
          <cell r="AI8">
            <v>1.1212302434856898</v>
          </cell>
          <cell r="AJ8">
            <v>1.0252029047415634</v>
          </cell>
          <cell r="AK8">
            <v>0.94113626655275517</v>
          </cell>
        </row>
        <row r="9">
          <cell r="A9">
            <v>7</v>
          </cell>
          <cell r="B9" t="str">
            <v>Georgetown Pike between Swinks Mill Road and I-495 EB</v>
          </cell>
          <cell r="C9" t="str">
            <v>M-27 EB</v>
          </cell>
          <cell r="D9">
            <v>0.28800917957544464</v>
          </cell>
          <cell r="E9">
            <v>0.38324727481353987</v>
          </cell>
          <cell r="F9">
            <v>0.5358577165806081</v>
          </cell>
          <cell r="G9">
            <v>0.73780837636259322</v>
          </cell>
          <cell r="H9">
            <v>0.83878370625358578</v>
          </cell>
          <cell r="I9">
            <v>0.87435456110154908</v>
          </cell>
          <cell r="J9">
            <v>1.0671256454388984</v>
          </cell>
          <cell r="K9">
            <v>1.0028686173264485</v>
          </cell>
          <cell r="L9">
            <v>1.0327022375215147</v>
          </cell>
          <cell r="M9">
            <v>0.95352839931153188</v>
          </cell>
          <cell r="N9">
            <v>1.010900745840505</v>
          </cell>
          <cell r="O9">
            <v>0.97762478485370052</v>
          </cell>
          <cell r="P9">
            <v>0.99598393574297184</v>
          </cell>
          <cell r="Q9">
            <v>0.89271371199082039</v>
          </cell>
          <cell r="R9">
            <v>0.846815834767642</v>
          </cell>
          <cell r="S9">
            <v>0.86976477337923119</v>
          </cell>
          <cell r="T9"/>
          <cell r="U9">
            <v>0.83386923901393351</v>
          </cell>
          <cell r="V9">
            <v>1.0760986066452305</v>
          </cell>
          <cell r="W9">
            <v>1.1789924973204717</v>
          </cell>
          <cell r="X9">
            <v>1.2111468381564845</v>
          </cell>
          <cell r="Y9">
            <v>1.3440514469453375</v>
          </cell>
          <cell r="Z9">
            <v>1.4340836012861737</v>
          </cell>
          <cell r="AA9">
            <v>1.232583065380493</v>
          </cell>
          <cell r="AB9">
            <v>1.2561629153269025</v>
          </cell>
          <cell r="AC9">
            <v>0.977491961414791</v>
          </cell>
          <cell r="AD9">
            <v>0.99678456591639875</v>
          </cell>
          <cell r="AE9">
            <v>0.76956055734190787</v>
          </cell>
          <cell r="AF9">
            <v>0.73526259378349412</v>
          </cell>
          <cell r="AG9">
            <v>0.87459807073954987</v>
          </cell>
          <cell r="AH9">
            <v>0.78670953912111463</v>
          </cell>
          <cell r="AI9">
            <v>0.79314040728831725</v>
          </cell>
          <cell r="AJ9">
            <v>0.79528403001071812</v>
          </cell>
          <cell r="AK9">
            <v>0.82529474812433012</v>
          </cell>
        </row>
        <row r="10">
          <cell r="A10">
            <v>8</v>
          </cell>
          <cell r="B10" t="str">
            <v>Georgetown Pike between Dead Run and  Douglass WB</v>
          </cell>
          <cell r="C10" t="str">
            <v>M-28 WB</v>
          </cell>
          <cell r="D10">
            <v>8.522336769759449E-2</v>
          </cell>
          <cell r="E10">
            <v>0.12371134020618556</v>
          </cell>
          <cell r="F10">
            <v>0.15120274914089343</v>
          </cell>
          <cell r="G10">
            <v>0.20068728522336765</v>
          </cell>
          <cell r="H10">
            <v>0.31340206185567004</v>
          </cell>
          <cell r="I10">
            <v>0.51958762886597931</v>
          </cell>
          <cell r="J10">
            <v>0.57457044673539515</v>
          </cell>
          <cell r="K10">
            <v>0.84673539518900343</v>
          </cell>
          <cell r="L10">
            <v>1.0804123711340206</v>
          </cell>
          <cell r="M10">
            <v>1.2343642611683847</v>
          </cell>
          <cell r="N10">
            <v>0.83848797250859097</v>
          </cell>
          <cell r="O10">
            <v>0.52508591065292087</v>
          </cell>
          <cell r="P10">
            <v>0.58831615120274905</v>
          </cell>
          <cell r="Q10">
            <v>0.57182130584192425</v>
          </cell>
          <cell r="R10">
            <v>0.47835051546391749</v>
          </cell>
          <cell r="S10">
            <v>0.40412371134020614</v>
          </cell>
          <cell r="T10"/>
          <cell r="U10">
            <v>0.5011515430677107</v>
          </cell>
          <cell r="V10">
            <v>0.75541225241824028</v>
          </cell>
          <cell r="W10">
            <v>0.80147397512666962</v>
          </cell>
          <cell r="X10">
            <v>0.79410409949332095</v>
          </cell>
          <cell r="Y10">
            <v>1.0225702441271303</v>
          </cell>
          <cell r="Z10">
            <v>1.0262551819438046</v>
          </cell>
          <cell r="AA10">
            <v>1.2989405803777061</v>
          </cell>
          <cell r="AB10">
            <v>1.2049746660525102</v>
          </cell>
          <cell r="AC10">
            <v>1.0612620912022108</v>
          </cell>
          <cell r="AD10">
            <v>0.96913864578535236</v>
          </cell>
          <cell r="AE10">
            <v>0.76462459695992624</v>
          </cell>
          <cell r="AF10">
            <v>0.82911100875172727</v>
          </cell>
          <cell r="AG10">
            <v>0.86227544910179632</v>
          </cell>
          <cell r="AH10">
            <v>0.94334408106863177</v>
          </cell>
          <cell r="AI10">
            <v>0.77015200368493775</v>
          </cell>
          <cell r="AJ10">
            <v>0.7369875633348687</v>
          </cell>
          <cell r="AK10">
            <v>0.72593274988484568</v>
          </cell>
        </row>
        <row r="11">
          <cell r="A11">
            <v>9</v>
          </cell>
          <cell r="B11" t="str">
            <v>GWMP south/east of I-495 WB</v>
          </cell>
          <cell r="C11" t="str">
            <v>M-11</v>
          </cell>
          <cell r="D11">
            <v>0.24257709503611141</v>
          </cell>
          <cell r="E11">
            <v>0.33016164163705142</v>
          </cell>
          <cell r="F11">
            <v>0.41774618823799148</v>
          </cell>
          <cell r="G11">
            <v>0.53880545683824366</v>
          </cell>
          <cell r="H11">
            <v>0.60529634300126101</v>
          </cell>
          <cell r="I11">
            <v>0.7364438839848676</v>
          </cell>
          <cell r="J11">
            <v>0.83686804998280406</v>
          </cell>
          <cell r="K11">
            <v>0.96205433910351934</v>
          </cell>
          <cell r="L11">
            <v>0.97260116932248075</v>
          </cell>
          <cell r="M11">
            <v>1.0565172532385647</v>
          </cell>
          <cell r="N11">
            <v>1.0088272383354351</v>
          </cell>
          <cell r="O11">
            <v>1.0069930069930069</v>
          </cell>
          <cell r="P11">
            <v>0.98498223088387016</v>
          </cell>
          <cell r="Q11">
            <v>0.91849134472085281</v>
          </cell>
          <cell r="R11">
            <v>0.7433222515189728</v>
          </cell>
          <cell r="S11">
            <v>0.7630402384500744</v>
          </cell>
          <cell r="T11"/>
          <cell r="U11">
            <v>0.81472684085510683</v>
          </cell>
          <cell r="V11">
            <v>0.78384798099762476</v>
          </cell>
          <cell r="W11">
            <v>0.87315914489311164</v>
          </cell>
          <cell r="X11">
            <v>0.95439429928741093</v>
          </cell>
          <cell r="Y11">
            <v>0.96579572446555817</v>
          </cell>
          <cell r="Z11">
            <v>0.99049881235154402</v>
          </cell>
          <cell r="AA11">
            <v>1.0228028503562945</v>
          </cell>
          <cell r="AB11">
            <v>1.0494061757719717</v>
          </cell>
          <cell r="AC11">
            <v>1.0726840855106889</v>
          </cell>
          <cell r="AD11">
            <v>1.0142517814726841</v>
          </cell>
          <cell r="AE11">
            <v>0.86365795724465566</v>
          </cell>
          <cell r="AF11">
            <v>0.86603325415676957</v>
          </cell>
          <cell r="AG11">
            <v>0.92636579572446565</v>
          </cell>
          <cell r="AH11">
            <v>0.9415676959619953</v>
          </cell>
          <cell r="AI11">
            <v>0.8802850356294537</v>
          </cell>
          <cell r="AJ11">
            <v>0.87410926365795738</v>
          </cell>
          <cell r="AK11">
            <v>0.81805225653206659</v>
          </cell>
        </row>
        <row r="12">
          <cell r="A12">
            <v>10</v>
          </cell>
          <cell r="B12" t="str">
            <v>Westpark Drive Connector</v>
          </cell>
          <cell r="C12"/>
          <cell r="D12">
            <v>0.12559872272485365</v>
          </cell>
          <cell r="E12">
            <v>0.16604576902607771</v>
          </cell>
          <cell r="F12">
            <v>0.19372006386375737</v>
          </cell>
          <cell r="G12">
            <v>0.27035657264502394</v>
          </cell>
          <cell r="H12">
            <v>0.3661522086216073</v>
          </cell>
          <cell r="I12">
            <v>0.50239489089941469</v>
          </cell>
          <cell r="J12">
            <v>0.68547099521021826</v>
          </cell>
          <cell r="K12">
            <v>0.75359233634912193</v>
          </cell>
          <cell r="L12">
            <v>1.047365620010644</v>
          </cell>
          <cell r="M12">
            <v>1.0771687067589144</v>
          </cell>
          <cell r="N12">
            <v>1.1218733368813198</v>
          </cell>
          <cell r="O12">
            <v>1.23682810005322</v>
          </cell>
          <cell r="P12">
            <v>1.2453432676955831</v>
          </cell>
          <cell r="Q12">
            <v>0.97924427887174048</v>
          </cell>
          <cell r="R12">
            <v>0.85151676423629608</v>
          </cell>
          <cell r="S12">
            <v>0.68334220329962747</v>
          </cell>
          <cell r="T12"/>
          <cell r="U12">
            <v>0.50312500000000004</v>
          </cell>
          <cell r="V12">
            <v>0.56718749999999996</v>
          </cell>
          <cell r="W12">
            <v>0.55624999999999991</v>
          </cell>
          <cell r="X12">
            <v>0.64531249999999996</v>
          </cell>
          <cell r="Y12">
            <v>0.70624999999999993</v>
          </cell>
          <cell r="Z12">
            <v>0.70625000000000004</v>
          </cell>
          <cell r="AA12">
            <v>0.79531250000000009</v>
          </cell>
          <cell r="AB12">
            <v>0.75781249999999989</v>
          </cell>
          <cell r="AC12">
            <v>0.99062499999999987</v>
          </cell>
          <cell r="AD12">
            <v>1.1078125000000001</v>
          </cell>
          <cell r="AE12">
            <v>1.14375</v>
          </cell>
          <cell r="AF12">
            <v>1.246875</v>
          </cell>
          <cell r="AG12">
            <v>1.4078125000000001</v>
          </cell>
          <cell r="AH12">
            <v>1.3234375</v>
          </cell>
          <cell r="AI12">
            <v>1.29375</v>
          </cell>
          <cell r="AJ12">
            <v>1.2687499999999998</v>
          </cell>
          <cell r="AK12">
            <v>1.21875</v>
          </cell>
        </row>
        <row r="13">
          <cell r="A13">
            <v>11</v>
          </cell>
          <cell r="B13" t="str">
            <v>Rt 123 EB</v>
          </cell>
          <cell r="C13"/>
          <cell r="D13">
            <v>0.58517158127153812</v>
          </cell>
          <cell r="E13">
            <v>0.62124182332184652</v>
          </cell>
          <cell r="F13">
            <v>0.69565217391304357</v>
          </cell>
          <cell r="G13">
            <v>0.79990095128041117</v>
          </cell>
          <cell r="H13">
            <v>0.91516889870204932</v>
          </cell>
          <cell r="I13">
            <v>1.0068715049214834</v>
          </cell>
          <cell r="J13">
            <v>1.0102556695074392</v>
          </cell>
          <cell r="K13">
            <v>1.0261860052413281</v>
          </cell>
          <cell r="L13">
            <v>0.97447431955593156</v>
          </cell>
          <cell r="M13">
            <v>0.9955221724685831</v>
          </cell>
          <cell r="N13">
            <v>1.0038175027341576</v>
          </cell>
          <cell r="O13">
            <v>0.93972472710014254</v>
          </cell>
          <cell r="P13">
            <v>0.88008914384763015</v>
          </cell>
          <cell r="Q13">
            <v>0.86250799612059204</v>
          </cell>
          <cell r="R13">
            <v>0.87282557107777414</v>
          </cell>
          <cell r="S13">
            <v>0.8553682342502219</v>
          </cell>
          <cell r="T13"/>
          <cell r="U13">
            <v>1.0045047750615654</v>
          </cell>
          <cell r="V13">
            <v>1.0669229383146135</v>
          </cell>
          <cell r="W13">
            <v>1.0211784491561056</v>
          </cell>
          <cell r="X13">
            <v>1.0208420926181754</v>
          </cell>
          <cell r="Y13">
            <v>0.9828338038320622</v>
          </cell>
          <cell r="Z13">
            <v>1.0360261877590249</v>
          </cell>
          <cell r="AA13">
            <v>1.031797705567902</v>
          </cell>
          <cell r="AB13">
            <v>1.0609165715658599</v>
          </cell>
          <cell r="AC13">
            <v>1.0100306324704187</v>
          </cell>
          <cell r="AD13">
            <v>1.0391494984683765</v>
          </cell>
          <cell r="AE13">
            <v>0.88990329749534514</v>
          </cell>
          <cell r="AF13">
            <v>0.86731935852003139</v>
          </cell>
          <cell r="AG13">
            <v>0.8663583398402307</v>
          </cell>
          <cell r="AH13">
            <v>0.82056579974773269</v>
          </cell>
          <cell r="AI13">
            <v>0.82075800348369277</v>
          </cell>
          <cell r="AJ13">
            <v>0.83459667247282132</v>
          </cell>
          <cell r="AK13">
            <v>0.81686587783050046</v>
          </cell>
        </row>
        <row r="14">
          <cell r="A14">
            <v>12</v>
          </cell>
          <cell r="B14" t="str">
            <v>Jones Branch Drive Connector</v>
          </cell>
          <cell r="C14"/>
          <cell r="D14">
            <v>0.10222432560340745</v>
          </cell>
          <cell r="E14">
            <v>0.1590156176053005</v>
          </cell>
          <cell r="F14">
            <v>0.20255560814008514</v>
          </cell>
          <cell r="G14">
            <v>0.38239469947941312</v>
          </cell>
          <cell r="H14">
            <v>0.37860861334595358</v>
          </cell>
          <cell r="I14">
            <v>0.56601987695220057</v>
          </cell>
          <cell r="J14">
            <v>0.62470421202082327</v>
          </cell>
          <cell r="K14">
            <v>0.84240416469474677</v>
          </cell>
          <cell r="L14">
            <v>0.94273544723142444</v>
          </cell>
          <cell r="M14">
            <v>1.0411736867013726</v>
          </cell>
          <cell r="N14">
            <v>1.1736867013724563</v>
          </cell>
          <cell r="O14">
            <v>1.198296261239943</v>
          </cell>
          <cell r="P14">
            <v>1.1717936583057265</v>
          </cell>
          <cell r="Q14">
            <v>1.0468528159015615</v>
          </cell>
          <cell r="R14">
            <v>0.70421202082347367</v>
          </cell>
          <cell r="S14">
            <v>0.58495030761949829</v>
          </cell>
          <cell r="T14"/>
          <cell r="U14">
            <v>0.45228902371759516</v>
          </cell>
          <cell r="V14">
            <v>0.46993932708218428</v>
          </cell>
          <cell r="W14">
            <v>0.41478212906784345</v>
          </cell>
          <cell r="X14">
            <v>0.4831770546056261</v>
          </cell>
          <cell r="Y14">
            <v>0.60893546607832327</v>
          </cell>
          <cell r="Z14">
            <v>0.6685052399338115</v>
          </cell>
          <cell r="AA14">
            <v>0.65085493656922244</v>
          </cell>
          <cell r="AB14">
            <v>0.60893546607832316</v>
          </cell>
          <cell r="AC14">
            <v>0.9972421400992828</v>
          </cell>
          <cell r="AD14">
            <v>1.2112520683949255</v>
          </cell>
          <cell r="AE14">
            <v>1.1825703254274684</v>
          </cell>
          <cell r="AF14">
            <v>1.1891891891891895</v>
          </cell>
          <cell r="AG14">
            <v>1.5819084390512963</v>
          </cell>
          <cell r="AH14">
            <v>1.643684500827358</v>
          </cell>
          <cell r="AI14">
            <v>1.5752895752895755</v>
          </cell>
          <cell r="AJ14">
            <v>1.3877551020408165</v>
          </cell>
          <cell r="AK14">
            <v>1.1737451737451741</v>
          </cell>
        </row>
        <row r="15">
          <cell r="A15">
            <v>13</v>
          </cell>
          <cell r="B15" t="str">
            <v>Clara Barton Parkway</v>
          </cell>
          <cell r="C15"/>
          <cell r="D15">
            <v>0.32391096545131776</v>
          </cell>
          <cell r="E15">
            <v>0.35034821794346588</v>
          </cell>
          <cell r="F15">
            <v>0.47816468660385092</v>
          </cell>
          <cell r="G15">
            <v>0.57582957804178614</v>
          </cell>
          <cell r="H15">
            <v>0.65219172470299069</v>
          </cell>
          <cell r="I15">
            <v>0.7686467294824525</v>
          </cell>
          <cell r="J15">
            <v>0.88105967499658611</v>
          </cell>
          <cell r="K15">
            <v>0.95228731394237343</v>
          </cell>
          <cell r="L15">
            <v>0.94988392735217797</v>
          </cell>
          <cell r="M15">
            <v>1.0042878601665985</v>
          </cell>
          <cell r="N15">
            <v>1.0935408985388502</v>
          </cell>
          <cell r="O15">
            <v>1.088515635668442</v>
          </cell>
          <cell r="P15">
            <v>1.0331284992489418</v>
          </cell>
          <cell r="Q15">
            <v>0.95075788611224921</v>
          </cell>
          <cell r="R15">
            <v>0.91405161818926672</v>
          </cell>
          <cell r="S15">
            <v>0.83168100505257414</v>
          </cell>
          <cell r="T15"/>
          <cell r="U15">
            <v>0.41492234247078391</v>
          </cell>
          <cell r="V15">
            <v>0.49052772557406088</v>
          </cell>
          <cell r="W15">
            <v>0.53252111550342385</v>
          </cell>
          <cell r="X15">
            <v>0.61348368003801867</v>
          </cell>
          <cell r="Y15">
            <v>0.66256237444106014</v>
          </cell>
          <cell r="Z15">
            <v>0.73885900676128136</v>
          </cell>
          <cell r="AA15">
            <v>0.8207720389691745</v>
          </cell>
          <cell r="AB15">
            <v>0.97975935886635124</v>
          </cell>
          <cell r="AC15">
            <v>0.98917762944721677</v>
          </cell>
          <cell r="AD15">
            <v>0.99427559242218044</v>
          </cell>
          <cell r="AE15">
            <v>1.0367874192642514</v>
          </cell>
          <cell r="AF15">
            <v>1.099691098006178</v>
          </cell>
          <cell r="AG15">
            <v>1.1044434363726696</v>
          </cell>
          <cell r="AH15">
            <v>1.0988270364849977</v>
          </cell>
          <cell r="AI15">
            <v>1.0657334802237919</v>
          </cell>
          <cell r="AJ15">
            <v>1.0700537878296934</v>
          </cell>
          <cell r="AK15">
            <v>0.9589354762059058</v>
          </cell>
        </row>
        <row r="16">
          <cell r="A16">
            <v>14</v>
          </cell>
          <cell r="B16" t="str">
            <v>Rt 123 WB</v>
          </cell>
          <cell r="C16"/>
          <cell r="D16">
            <v>0.41386734848357409</v>
          </cell>
          <cell r="E16">
            <v>0.49003347407021136</v>
          </cell>
          <cell r="F16">
            <v>0.60455180070312353</v>
          </cell>
          <cell r="G16">
            <v>0.79207387845043642</v>
          </cell>
          <cell r="H16">
            <v>0.81844942724015535</v>
          </cell>
          <cell r="I16">
            <v>0.90457366818617635</v>
          </cell>
          <cell r="J16">
            <v>0.97273293074736311</v>
          </cell>
          <cell r="K16">
            <v>0.97703914279466486</v>
          </cell>
          <cell r="L16">
            <v>0.98645898164813584</v>
          </cell>
          <cell r="M16">
            <v>1.0572423421756469</v>
          </cell>
          <cell r="N16">
            <v>0.97925953338155447</v>
          </cell>
          <cell r="O16">
            <v>0.90746690440545663</v>
          </cell>
          <cell r="P16">
            <v>0.95012531749903262</v>
          </cell>
          <cell r="Q16">
            <v>0.95927601809954754</v>
          </cell>
          <cell r="R16">
            <v>0.94709751215327409</v>
          </cell>
          <cell r="S16">
            <v>0.9431277229221684</v>
          </cell>
          <cell r="T16"/>
          <cell r="U16">
            <v>0.6770189988824189</v>
          </cell>
          <cell r="V16">
            <v>0.70989941768131304</v>
          </cell>
          <cell r="W16">
            <v>0.80583495088524215</v>
          </cell>
          <cell r="X16">
            <v>0.88259514146226703</v>
          </cell>
          <cell r="Y16">
            <v>0.9261808128933593</v>
          </cell>
          <cell r="Z16">
            <v>1.0044115052055764</v>
          </cell>
          <cell r="AA16">
            <v>0.97376624904417408</v>
          </cell>
          <cell r="AB16">
            <v>0.97506029057114296</v>
          </cell>
          <cell r="AC16">
            <v>1.005234986177284</v>
          </cell>
          <cell r="AD16">
            <v>1.0304099758837719</v>
          </cell>
          <cell r="AE16">
            <v>0.98929474736780199</v>
          </cell>
          <cell r="AF16">
            <v>0.99876477854243884</v>
          </cell>
          <cell r="AG16">
            <v>0.96059055349685329</v>
          </cell>
          <cell r="AH16">
            <v>0.92518087171342867</v>
          </cell>
          <cell r="AI16">
            <v>0.89782953943885657</v>
          </cell>
          <cell r="AJ16">
            <v>0.86806658431856965</v>
          </cell>
          <cell r="AK16">
            <v>0.82559849420622333</v>
          </cell>
        </row>
        <row r="17">
          <cell r="A17">
            <v>15</v>
          </cell>
          <cell r="B17" t="str">
            <v>Spring Hill Road</v>
          </cell>
          <cell r="C17"/>
          <cell r="D17">
            <v>0.14492753623188409</v>
          </cell>
          <cell r="E17">
            <v>0.19749752452966066</v>
          </cell>
          <cell r="F17">
            <v>0.29111531190926282</v>
          </cell>
          <cell r="G17">
            <v>0.40192636600954179</v>
          </cell>
          <cell r="H17">
            <v>0.58223062381852564</v>
          </cell>
          <cell r="I17">
            <v>0.6961022594292916</v>
          </cell>
          <cell r="J17">
            <v>0.90611216131064898</v>
          </cell>
          <cell r="K17">
            <v>1.0165631469979297</v>
          </cell>
          <cell r="L17">
            <v>0.99666936717976418</v>
          </cell>
          <cell r="M17">
            <v>0.97812584391034296</v>
          </cell>
          <cell r="N17">
            <v>1.0086416419119633</v>
          </cell>
          <cell r="O17">
            <v>0.99909982896750382</v>
          </cell>
          <cell r="P17">
            <v>0.95382122603294639</v>
          </cell>
          <cell r="Q17">
            <v>0.93275722387253579</v>
          </cell>
          <cell r="R17">
            <v>0.90368169952290955</v>
          </cell>
          <cell r="S17">
            <v>0.81879557115852009</v>
          </cell>
          <cell r="T17"/>
          <cell r="U17">
            <v>0.54872204472843444</v>
          </cell>
          <cell r="V17">
            <v>0.55340027384755808</v>
          </cell>
          <cell r="W17">
            <v>0.57108626198083057</v>
          </cell>
          <cell r="X17">
            <v>0.63943404837973516</v>
          </cell>
          <cell r="Y17">
            <v>0.64502510269283442</v>
          </cell>
          <cell r="Z17">
            <v>0.75193975353719766</v>
          </cell>
          <cell r="AA17">
            <v>0.76323596531264248</v>
          </cell>
          <cell r="AB17">
            <v>0.88589685075308078</v>
          </cell>
          <cell r="AC17">
            <v>0.96314468279324528</v>
          </cell>
          <cell r="AD17">
            <v>1.0572797809219538</v>
          </cell>
          <cell r="AE17">
            <v>1.0936786855317209</v>
          </cell>
          <cell r="AF17">
            <v>1.0490643541761751</v>
          </cell>
          <cell r="AG17">
            <v>1.1457097215883159</v>
          </cell>
          <cell r="AH17">
            <v>1.0807850296668187</v>
          </cell>
          <cell r="AI17">
            <v>1.0880876312186216</v>
          </cell>
          <cell r="AJ17">
            <v>1.0594477407576448</v>
          </cell>
          <cell r="AK17">
            <v>1.0463258785942491</v>
          </cell>
        </row>
        <row r="18">
          <cell r="D18"/>
          <cell r="E18"/>
          <cell r="F18"/>
          <cell r="G18"/>
          <cell r="H18"/>
          <cell r="I18"/>
          <cell r="J18"/>
          <cell r="L18"/>
          <cell r="M18"/>
          <cell r="N18"/>
          <cell r="O18"/>
          <cell r="P18"/>
          <cell r="Q18"/>
          <cell r="R18"/>
          <cell r="S18"/>
          <cell r="T18"/>
          <cell r="U18"/>
          <cell r="V18"/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</row>
        <row r="19">
          <cell r="D19"/>
          <cell r="E19"/>
          <cell r="F19"/>
          <cell r="G19"/>
          <cell r="H19"/>
          <cell r="I19"/>
          <cell r="J19"/>
          <cell r="L19"/>
          <cell r="M19"/>
          <cell r="N19"/>
          <cell r="O19"/>
          <cell r="P19"/>
          <cell r="Q19"/>
          <cell r="R19"/>
          <cell r="S19"/>
          <cell r="T19"/>
          <cell r="U19"/>
          <cell r="V19"/>
          <cell r="W19"/>
          <cell r="X19"/>
          <cell r="Y19"/>
          <cell r="Z19"/>
          <cell r="AA19"/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</row>
        <row r="20">
          <cell r="D20"/>
          <cell r="E20"/>
          <cell r="F20"/>
          <cell r="G20"/>
          <cell r="H20"/>
          <cell r="I20"/>
          <cell r="J20"/>
          <cell r="L20"/>
          <cell r="M20"/>
          <cell r="N20"/>
          <cell r="O20"/>
          <cell r="P20"/>
          <cell r="Q20"/>
          <cell r="R20"/>
          <cell r="S20"/>
          <cell r="T20"/>
          <cell r="U20"/>
          <cell r="V20"/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</row>
        <row r="21">
          <cell r="D21"/>
          <cell r="E21"/>
          <cell r="F21"/>
          <cell r="G21"/>
          <cell r="H21"/>
          <cell r="I21"/>
          <cell r="J21"/>
          <cell r="L21"/>
          <cell r="M21"/>
          <cell r="N21"/>
          <cell r="O21"/>
          <cell r="P21"/>
          <cell r="Q21"/>
          <cell r="R21"/>
          <cell r="S21"/>
          <cell r="T21"/>
          <cell r="U21"/>
          <cell r="V21"/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</row>
        <row r="22">
          <cell r="D22"/>
          <cell r="E22"/>
          <cell r="F22"/>
          <cell r="G22"/>
          <cell r="H22"/>
          <cell r="I22"/>
          <cell r="J22"/>
          <cell r="L22"/>
          <cell r="M22"/>
          <cell r="N22"/>
          <cell r="O22"/>
          <cell r="P22"/>
          <cell r="Q22"/>
          <cell r="R22"/>
          <cell r="S22"/>
          <cell r="T22"/>
          <cell r="U22"/>
          <cell r="V22"/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</row>
        <row r="23">
          <cell r="D23"/>
          <cell r="E23"/>
          <cell r="F23"/>
          <cell r="G23"/>
          <cell r="H23"/>
          <cell r="I23"/>
          <cell r="J23"/>
          <cell r="L23"/>
          <cell r="M23"/>
          <cell r="N23"/>
          <cell r="O23"/>
          <cell r="P23"/>
          <cell r="Q23"/>
          <cell r="R23"/>
          <cell r="S23"/>
          <cell r="T23"/>
          <cell r="U23"/>
          <cell r="V23"/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</row>
        <row r="24">
          <cell r="D24"/>
          <cell r="E24"/>
          <cell r="F24"/>
          <cell r="G24"/>
          <cell r="H24"/>
          <cell r="I24"/>
          <cell r="J24"/>
          <cell r="L24"/>
          <cell r="M24"/>
          <cell r="N24"/>
          <cell r="O24"/>
          <cell r="P24"/>
          <cell r="Q24"/>
          <cell r="R24"/>
          <cell r="S24"/>
          <cell r="T24"/>
          <cell r="U24"/>
          <cell r="V24"/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</row>
        <row r="25">
          <cell r="D25"/>
          <cell r="E25"/>
          <cell r="F25"/>
          <cell r="G25"/>
          <cell r="H25"/>
          <cell r="I25"/>
          <cell r="J25"/>
          <cell r="L25"/>
          <cell r="M25"/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</row>
        <row r="26">
          <cell r="D26"/>
          <cell r="E26"/>
          <cell r="F26"/>
          <cell r="G26"/>
          <cell r="H26"/>
          <cell r="I26"/>
          <cell r="J26"/>
          <cell r="L26"/>
          <cell r="M26"/>
          <cell r="N26"/>
          <cell r="O26"/>
          <cell r="P26"/>
          <cell r="Q26"/>
          <cell r="R26"/>
          <cell r="S26"/>
          <cell r="T26"/>
          <cell r="U26"/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</row>
        <row r="27">
          <cell r="D27"/>
          <cell r="E27"/>
          <cell r="F27"/>
          <cell r="G27"/>
          <cell r="H27"/>
          <cell r="I27"/>
          <cell r="J27"/>
          <cell r="L27"/>
          <cell r="M27"/>
          <cell r="N27"/>
          <cell r="O27"/>
          <cell r="P27"/>
          <cell r="Q27"/>
          <cell r="R27"/>
          <cell r="S27"/>
          <cell r="T27"/>
          <cell r="U27"/>
          <cell r="V27"/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</row>
        <row r="28">
          <cell r="D28"/>
          <cell r="E28"/>
          <cell r="F28"/>
          <cell r="G28"/>
          <cell r="H28"/>
          <cell r="I28"/>
          <cell r="J28"/>
          <cell r="L28"/>
          <cell r="M28"/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</row>
        <row r="29">
          <cell r="D29"/>
          <cell r="E29"/>
          <cell r="F29"/>
          <cell r="G29"/>
          <cell r="H29"/>
          <cell r="I29"/>
          <cell r="J29"/>
          <cell r="L29"/>
          <cell r="M29"/>
          <cell r="N29"/>
          <cell r="O29"/>
          <cell r="P29"/>
          <cell r="Q29"/>
          <cell r="R29"/>
          <cell r="S29"/>
          <cell r="T29"/>
          <cell r="U29"/>
          <cell r="V29"/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</row>
        <row r="30">
          <cell r="D30"/>
          <cell r="E30"/>
          <cell r="F30"/>
          <cell r="G30"/>
          <cell r="H30"/>
          <cell r="I30"/>
          <cell r="J30"/>
          <cell r="L30"/>
          <cell r="M30"/>
          <cell r="N30"/>
          <cell r="O30"/>
          <cell r="P30"/>
          <cell r="Q30"/>
          <cell r="R30"/>
          <cell r="S30"/>
          <cell r="T30"/>
          <cell r="U30"/>
          <cell r="V30"/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</row>
        <row r="31">
          <cell r="D31"/>
          <cell r="E31"/>
          <cell r="F31"/>
          <cell r="G31"/>
          <cell r="H31"/>
          <cell r="I31"/>
          <cell r="J31"/>
          <cell r="L31"/>
          <cell r="M31"/>
          <cell r="N31"/>
          <cell r="O31"/>
          <cell r="P31"/>
          <cell r="Q31"/>
          <cell r="R31"/>
          <cell r="S31"/>
          <cell r="T31"/>
          <cell r="U31"/>
          <cell r="V31"/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</row>
        <row r="32">
          <cell r="D32"/>
          <cell r="E32"/>
          <cell r="F32"/>
          <cell r="G32"/>
          <cell r="H32"/>
          <cell r="I32"/>
          <cell r="J32"/>
          <cell r="L32"/>
          <cell r="M32"/>
          <cell r="N32"/>
          <cell r="O32"/>
          <cell r="P32"/>
          <cell r="Q32"/>
          <cell r="R32"/>
          <cell r="S32"/>
          <cell r="T32"/>
          <cell r="U32"/>
          <cell r="V32"/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</row>
        <row r="33">
          <cell r="D33"/>
          <cell r="E33"/>
          <cell r="F33"/>
          <cell r="G33"/>
          <cell r="H33"/>
          <cell r="I33"/>
          <cell r="J33"/>
          <cell r="L33"/>
          <cell r="M33"/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</row>
        <row r="34">
          <cell r="D34"/>
          <cell r="E34"/>
          <cell r="F34"/>
          <cell r="G34"/>
          <cell r="H34"/>
          <cell r="I34"/>
          <cell r="J34"/>
          <cell r="L34"/>
          <cell r="M34"/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</row>
        <row r="35">
          <cell r="D35"/>
          <cell r="E35"/>
          <cell r="F35"/>
          <cell r="G35"/>
          <cell r="H35"/>
          <cell r="I35"/>
          <cell r="J35"/>
          <cell r="L35"/>
          <cell r="M35"/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</row>
        <row r="36">
          <cell r="D36"/>
          <cell r="E36"/>
          <cell r="F36"/>
          <cell r="G36"/>
          <cell r="H36"/>
          <cell r="I36"/>
          <cell r="J36"/>
          <cell r="L36"/>
          <cell r="M36"/>
          <cell r="N36"/>
          <cell r="O36"/>
          <cell r="P36"/>
          <cell r="Q36"/>
          <cell r="R36"/>
          <cell r="S36"/>
          <cell r="T36"/>
          <cell r="U36"/>
          <cell r="V36"/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</row>
        <row r="37">
          <cell r="D37"/>
          <cell r="E37"/>
          <cell r="F37"/>
          <cell r="G37"/>
          <cell r="H37"/>
          <cell r="I37"/>
          <cell r="J37"/>
          <cell r="L37"/>
          <cell r="M37"/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</row>
        <row r="38">
          <cell r="D38"/>
          <cell r="E38"/>
          <cell r="F38"/>
          <cell r="G38"/>
          <cell r="H38"/>
          <cell r="I38"/>
          <cell r="J38"/>
          <cell r="L38"/>
          <cell r="M38"/>
          <cell r="N38"/>
          <cell r="O38"/>
          <cell r="P38"/>
          <cell r="Q38"/>
          <cell r="R38"/>
          <cell r="S38"/>
          <cell r="T38"/>
          <cell r="U38"/>
          <cell r="V38"/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</row>
        <row r="39">
          <cell r="D39"/>
          <cell r="E39"/>
          <cell r="F39"/>
          <cell r="G39"/>
          <cell r="H39"/>
          <cell r="I39"/>
          <cell r="J39"/>
          <cell r="L39"/>
          <cell r="M39"/>
          <cell r="N39"/>
          <cell r="O39"/>
          <cell r="P39"/>
          <cell r="Q39"/>
          <cell r="R39"/>
          <cell r="S39"/>
          <cell r="T39"/>
          <cell r="U39"/>
          <cell r="V39"/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</row>
        <row r="40">
          <cell r="D40"/>
          <cell r="E40"/>
          <cell r="F40"/>
          <cell r="G40"/>
          <cell r="H40"/>
          <cell r="I40"/>
          <cell r="J40"/>
          <cell r="L40"/>
          <cell r="M40"/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</row>
        <row r="41">
          <cell r="D41"/>
          <cell r="E41"/>
          <cell r="F41"/>
          <cell r="G41"/>
          <cell r="H41"/>
          <cell r="I41"/>
          <cell r="J41"/>
          <cell r="L41"/>
          <cell r="M41"/>
          <cell r="N41"/>
          <cell r="O41"/>
          <cell r="P41"/>
          <cell r="Q41"/>
          <cell r="R41"/>
          <cell r="S41"/>
          <cell r="T41"/>
          <cell r="U41"/>
          <cell r="V41"/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</row>
        <row r="42">
          <cell r="D42"/>
          <cell r="E42"/>
          <cell r="F42"/>
          <cell r="G42"/>
          <cell r="H42"/>
          <cell r="I42"/>
          <cell r="J42"/>
          <cell r="L42"/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</row>
        <row r="43">
          <cell r="D43"/>
          <cell r="E43"/>
          <cell r="F43"/>
          <cell r="G43"/>
          <cell r="H43"/>
          <cell r="I43"/>
          <cell r="J43"/>
          <cell r="L43"/>
          <cell r="M43"/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</row>
        <row r="44">
          <cell r="D44"/>
          <cell r="E44"/>
          <cell r="F44"/>
          <cell r="G44"/>
          <cell r="H44"/>
          <cell r="I44"/>
          <cell r="J44"/>
          <cell r="L44"/>
          <cell r="M44"/>
          <cell r="N44"/>
          <cell r="O44"/>
          <cell r="P44"/>
          <cell r="Q44"/>
          <cell r="R44"/>
          <cell r="S44"/>
          <cell r="T44"/>
          <cell r="U44"/>
          <cell r="V44"/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</row>
        <row r="45">
          <cell r="D45"/>
          <cell r="E45"/>
          <cell r="F45"/>
          <cell r="G45"/>
          <cell r="H45"/>
          <cell r="I45"/>
          <cell r="J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2"/>
  </sheetPr>
  <dimension ref="A2:F38"/>
  <sheetViews>
    <sheetView zoomScale="85" zoomScaleNormal="85" workbookViewId="0">
      <selection activeCell="K12" sqref="K12"/>
    </sheetView>
  </sheetViews>
  <sheetFormatPr defaultRowHeight="15" x14ac:dyDescent="0.25"/>
  <cols>
    <col min="1" max="1" width="15.7109375" customWidth="1"/>
    <col min="2" max="2" width="14.28515625" customWidth="1"/>
    <col min="6" max="6" width="15.28515625" customWidth="1"/>
    <col min="7" max="7" width="17.42578125" customWidth="1"/>
    <col min="8" max="10" width="10.5703125" customWidth="1"/>
    <col min="11" max="11" width="12.28515625" customWidth="1"/>
  </cols>
  <sheetData>
    <row r="2" spans="1:6" x14ac:dyDescent="0.25">
      <c r="A2" t="s">
        <v>4</v>
      </c>
      <c r="B2" s="3">
        <v>0.03</v>
      </c>
    </row>
    <row r="3" spans="1:6" x14ac:dyDescent="0.25">
      <c r="A3" t="s">
        <v>5</v>
      </c>
      <c r="B3" s="3">
        <v>0.03</v>
      </c>
    </row>
    <row r="5" spans="1:6" x14ac:dyDescent="0.25">
      <c r="A5" s="40" t="s">
        <v>80</v>
      </c>
    </row>
    <row r="6" spans="1:6" x14ac:dyDescent="0.25">
      <c r="A6" s="40"/>
    </row>
    <row r="7" spans="1:6" x14ac:dyDescent="0.25">
      <c r="A7" s="40"/>
    </row>
    <row r="8" spans="1:6" x14ac:dyDescent="0.25">
      <c r="A8" s="40"/>
    </row>
    <row r="9" spans="1:6" x14ac:dyDescent="0.25">
      <c r="A9" s="40"/>
    </row>
    <row r="10" spans="1:6" x14ac:dyDescent="0.25">
      <c r="A10" s="40"/>
    </row>
    <row r="13" spans="1:6" x14ac:dyDescent="0.25">
      <c r="A13" s="22"/>
      <c r="B13" s="22" t="s">
        <v>73</v>
      </c>
      <c r="C13" s="22" t="s">
        <v>74</v>
      </c>
      <c r="D13" s="22" t="s">
        <v>75</v>
      </c>
      <c r="E13" s="22" t="s">
        <v>76</v>
      </c>
      <c r="F13" s="22"/>
    </row>
    <row r="14" spans="1:6" x14ac:dyDescent="0.25">
      <c r="A14" s="23" t="s">
        <v>77</v>
      </c>
      <c r="B14" s="23">
        <f>SUM(VISUM_Freeway_OD!$C$3:$AN$40)</f>
        <v>38750.845295000014</v>
      </c>
      <c r="C14" s="23">
        <f>SUM(Freeway_Car!C3:$AN$40)</f>
        <v>36299.8341172</v>
      </c>
      <c r="D14" s="23">
        <f>SUM(Freeway_HOT!$C$3:$AN$40)</f>
        <v>0</v>
      </c>
      <c r="E14" s="23">
        <f>SUM(Freeway_Truck!$C$3:$AN$40)</f>
        <v>2451.0111778000014</v>
      </c>
      <c r="F14" s="23">
        <f>SUM(C14:E14)</f>
        <v>38750.845294999999</v>
      </c>
    </row>
    <row r="15" spans="1:6" x14ac:dyDescent="0.25">
      <c r="A15" s="23" t="s">
        <v>78</v>
      </c>
      <c r="B15" s="23">
        <f>SUM(VISUM_Arterial_OD!$C$3:$BJ$62)</f>
        <v>30852.802701999997</v>
      </c>
      <c r="C15" s="24">
        <f>SUM(Arterial_Car!C3:$BJ$62)</f>
        <v>30017.688983140015</v>
      </c>
      <c r="D15" s="23">
        <f>SUM(Arterial_HOT!$C$3:$BJ$62)</f>
        <v>0</v>
      </c>
      <c r="E15" s="23">
        <f>SUM(Arterial_Truck!$C$3:$BJ$62)</f>
        <v>835.11371885999938</v>
      </c>
      <c r="F15" s="23">
        <f>SUM(C15:E15)</f>
        <v>30852.802702000015</v>
      </c>
    </row>
    <row r="18" spans="1:5" x14ac:dyDescent="0.25">
      <c r="A18" s="39" t="s">
        <v>71</v>
      </c>
      <c r="B18" s="39"/>
      <c r="D18" s="39" t="s">
        <v>72</v>
      </c>
      <c r="E18" s="39"/>
    </row>
    <row r="19" spans="1:5" x14ac:dyDescent="0.25">
      <c r="A19" t="s">
        <v>69</v>
      </c>
      <c r="B19" t="s">
        <v>70</v>
      </c>
      <c r="D19" t="s">
        <v>69</v>
      </c>
      <c r="E19" t="s">
        <v>70</v>
      </c>
    </row>
    <row r="20" spans="1:5" x14ac:dyDescent="0.25">
      <c r="A20">
        <v>34</v>
      </c>
      <c r="B20">
        <v>34</v>
      </c>
      <c r="D20">
        <v>59</v>
      </c>
      <c r="E20">
        <v>73</v>
      </c>
    </row>
    <row r="21" spans="1:5" x14ac:dyDescent="0.25">
      <c r="A21">
        <v>35</v>
      </c>
      <c r="B21">
        <v>77</v>
      </c>
      <c r="D21">
        <v>60</v>
      </c>
      <c r="E21">
        <v>74</v>
      </c>
    </row>
    <row r="22" spans="1:5" x14ac:dyDescent="0.25">
      <c r="A22">
        <v>56</v>
      </c>
      <c r="B22">
        <v>78</v>
      </c>
      <c r="D22">
        <v>46</v>
      </c>
      <c r="E22">
        <v>75</v>
      </c>
    </row>
    <row r="23" spans="1:5" x14ac:dyDescent="0.25">
      <c r="A23">
        <v>55</v>
      </c>
      <c r="B23">
        <v>79</v>
      </c>
      <c r="D23">
        <v>47</v>
      </c>
      <c r="E23">
        <v>76</v>
      </c>
    </row>
    <row r="24" spans="1:5" x14ac:dyDescent="0.25">
      <c r="A24">
        <v>59</v>
      </c>
      <c r="B24">
        <v>69</v>
      </c>
      <c r="D24">
        <v>36</v>
      </c>
      <c r="E24">
        <v>63</v>
      </c>
    </row>
    <row r="25" spans="1:5" x14ac:dyDescent="0.25">
      <c r="A25">
        <v>60</v>
      </c>
      <c r="B25">
        <v>68</v>
      </c>
      <c r="D25">
        <v>37</v>
      </c>
      <c r="E25">
        <v>64</v>
      </c>
    </row>
    <row r="26" spans="1:5" x14ac:dyDescent="0.25">
      <c r="A26">
        <v>46</v>
      </c>
      <c r="B26">
        <v>67</v>
      </c>
      <c r="D26">
        <v>24</v>
      </c>
      <c r="E26">
        <v>55</v>
      </c>
    </row>
    <row r="27" spans="1:5" x14ac:dyDescent="0.25">
      <c r="A27">
        <v>47</v>
      </c>
      <c r="B27">
        <v>66</v>
      </c>
      <c r="E27">
        <v>56</v>
      </c>
    </row>
    <row r="28" spans="1:5" x14ac:dyDescent="0.25">
      <c r="A28">
        <v>54</v>
      </c>
      <c r="B28">
        <v>70</v>
      </c>
    </row>
    <row r="29" spans="1:5" x14ac:dyDescent="0.25">
      <c r="A29">
        <v>53</v>
      </c>
      <c r="B29">
        <v>71</v>
      </c>
    </row>
    <row r="30" spans="1:5" x14ac:dyDescent="0.25">
      <c r="A30">
        <v>48</v>
      </c>
      <c r="B30">
        <v>72</v>
      </c>
    </row>
    <row r="31" spans="1:5" x14ac:dyDescent="0.25">
      <c r="A31">
        <v>50</v>
      </c>
      <c r="B31">
        <v>73</v>
      </c>
    </row>
    <row r="32" spans="1:5" x14ac:dyDescent="0.25">
      <c r="A32">
        <v>49</v>
      </c>
      <c r="B32">
        <v>74</v>
      </c>
    </row>
    <row r="33" spans="1:2" x14ac:dyDescent="0.25">
      <c r="A33">
        <v>51</v>
      </c>
      <c r="B33">
        <v>75</v>
      </c>
    </row>
    <row r="34" spans="1:2" x14ac:dyDescent="0.25">
      <c r="A34">
        <v>52</v>
      </c>
      <c r="B34">
        <v>76</v>
      </c>
    </row>
    <row r="35" spans="1:2" x14ac:dyDescent="0.25">
      <c r="A35">
        <v>30</v>
      </c>
      <c r="B35">
        <v>55</v>
      </c>
    </row>
    <row r="36" spans="1:2" x14ac:dyDescent="0.25">
      <c r="A36">
        <v>31</v>
      </c>
      <c r="B36">
        <v>56</v>
      </c>
    </row>
    <row r="37" spans="1:2" x14ac:dyDescent="0.25">
      <c r="A37">
        <v>36</v>
      </c>
      <c r="B37">
        <v>64</v>
      </c>
    </row>
    <row r="38" spans="1:2" x14ac:dyDescent="0.25">
      <c r="A38">
        <v>37</v>
      </c>
      <c r="B38">
        <v>63</v>
      </c>
    </row>
  </sheetData>
  <mergeCells count="3">
    <mergeCell ref="A18:B18"/>
    <mergeCell ref="D18:E18"/>
    <mergeCell ref="A5:A10"/>
  </mergeCells>
  <conditionalFormatting sqref="F14:F15">
    <cfRule type="cellIs" dxfId="24" priority="1" operator="equal">
      <formula>B14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orksheets_to_txt">
                <anchor moveWithCells="1">
                  <from>
                    <xdr:col>0</xdr:col>
                    <xdr:colOff>1085850</xdr:colOff>
                    <xdr:row>4</xdr:row>
                    <xdr:rowOff>0</xdr:rowOff>
                  </from>
                  <to>
                    <xdr:col>4</xdr:col>
                    <xdr:colOff>209550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F50"/>
  <sheetViews>
    <sheetView zoomScaleNormal="100" workbookViewId="0">
      <selection activeCell="E50" sqref="E50"/>
    </sheetView>
  </sheetViews>
  <sheetFormatPr defaultRowHeight="15" x14ac:dyDescent="0.25"/>
  <cols>
    <col min="1" max="1" width="11.7109375" bestFit="1" customWidth="1"/>
    <col min="2" max="2" width="16.28515625" bestFit="1" customWidth="1"/>
    <col min="3" max="3" width="15" bestFit="1" customWidth="1"/>
    <col min="5" max="5" width="22.5703125" bestFit="1" customWidth="1"/>
  </cols>
  <sheetData>
    <row r="1" spans="1:5" x14ac:dyDescent="0.25">
      <c r="A1" t="s">
        <v>0</v>
      </c>
      <c r="B1" s="3" t="s">
        <v>1</v>
      </c>
      <c r="C1" t="s">
        <v>2</v>
      </c>
    </row>
    <row r="2" spans="1:5" x14ac:dyDescent="0.25">
      <c r="A2" s="6">
        <v>12</v>
      </c>
      <c r="B2" s="6">
        <v>105920028</v>
      </c>
      <c r="C2" s="10">
        <v>105920061</v>
      </c>
      <c r="D2" s="2"/>
      <c r="E2" t="s">
        <v>90</v>
      </c>
    </row>
    <row r="3" spans="1:5" x14ac:dyDescent="0.25">
      <c r="A3" s="6">
        <v>13</v>
      </c>
      <c r="B3" s="6">
        <v>105920065</v>
      </c>
      <c r="C3" s="9"/>
      <c r="D3" s="2"/>
      <c r="E3" t="s">
        <v>91</v>
      </c>
    </row>
    <row r="4" spans="1:5" x14ac:dyDescent="0.25">
      <c r="A4" s="6">
        <v>14</v>
      </c>
      <c r="B4" s="6">
        <v>105920026</v>
      </c>
      <c r="C4" s="6">
        <v>105920056</v>
      </c>
      <c r="D4" s="2"/>
      <c r="E4" t="s">
        <v>92</v>
      </c>
    </row>
    <row r="5" spans="1:5" x14ac:dyDescent="0.25">
      <c r="A5" s="6">
        <v>15</v>
      </c>
      <c r="B5" s="6"/>
      <c r="C5" s="6">
        <v>308</v>
      </c>
      <c r="D5" s="2"/>
      <c r="E5" t="s">
        <v>93</v>
      </c>
    </row>
    <row r="6" spans="1:5" x14ac:dyDescent="0.25">
      <c r="A6" s="6">
        <v>24</v>
      </c>
      <c r="B6" s="11">
        <v>246</v>
      </c>
      <c r="C6" s="11">
        <v>389</v>
      </c>
      <c r="D6" s="2"/>
      <c r="E6" t="s">
        <v>94</v>
      </c>
    </row>
    <row r="7" spans="1:5" x14ac:dyDescent="0.25">
      <c r="A7" s="6">
        <v>28</v>
      </c>
      <c r="B7" s="6"/>
      <c r="C7" s="6">
        <v>189</v>
      </c>
      <c r="D7" s="2"/>
      <c r="E7" t="s">
        <v>96</v>
      </c>
    </row>
    <row r="8" spans="1:5" x14ac:dyDescent="0.25">
      <c r="A8" s="6">
        <v>29</v>
      </c>
      <c r="B8" s="6">
        <v>210</v>
      </c>
      <c r="C8" s="6"/>
      <c r="D8" s="2"/>
      <c r="E8" t="s">
        <v>95</v>
      </c>
    </row>
    <row r="9" spans="1:5" x14ac:dyDescent="0.25">
      <c r="A9" s="6">
        <v>30</v>
      </c>
      <c r="B9" s="6">
        <v>24</v>
      </c>
      <c r="C9" s="6"/>
      <c r="D9" s="2"/>
      <c r="E9" t="s">
        <v>97</v>
      </c>
    </row>
    <row r="10" spans="1:5" x14ac:dyDescent="0.25">
      <c r="A10" s="6">
        <v>31</v>
      </c>
      <c r="B10" s="6"/>
      <c r="C10" s="10">
        <v>321</v>
      </c>
      <c r="D10" s="2"/>
      <c r="E10" t="s">
        <v>98</v>
      </c>
    </row>
    <row r="11" spans="1:5" x14ac:dyDescent="0.25">
      <c r="A11" s="6">
        <v>32</v>
      </c>
      <c r="B11" s="6">
        <v>65</v>
      </c>
      <c r="C11" s="6"/>
      <c r="D11" s="2"/>
      <c r="E11" t="s">
        <v>99</v>
      </c>
    </row>
    <row r="12" spans="1:5" x14ac:dyDescent="0.25">
      <c r="A12" s="6">
        <v>33</v>
      </c>
      <c r="B12" s="6"/>
      <c r="C12" s="10">
        <v>323</v>
      </c>
      <c r="D12" s="2"/>
      <c r="E12" t="s">
        <v>100</v>
      </c>
    </row>
    <row r="13" spans="1:5" x14ac:dyDescent="0.25">
      <c r="A13" s="6">
        <v>34</v>
      </c>
      <c r="B13" s="6"/>
      <c r="C13" s="10">
        <v>43</v>
      </c>
      <c r="D13" s="2"/>
      <c r="E13" t="s">
        <v>101</v>
      </c>
    </row>
    <row r="14" spans="1:5" x14ac:dyDescent="0.25">
      <c r="A14" s="6">
        <v>35</v>
      </c>
      <c r="B14" s="6">
        <v>59</v>
      </c>
      <c r="C14" s="6"/>
      <c r="D14" s="2"/>
      <c r="E14" t="s">
        <v>102</v>
      </c>
    </row>
    <row r="15" spans="1:5" x14ac:dyDescent="0.25">
      <c r="A15" s="6">
        <v>36</v>
      </c>
      <c r="B15" s="6"/>
      <c r="C15" s="6">
        <v>190</v>
      </c>
      <c r="D15" s="2"/>
      <c r="E15" t="s">
        <v>103</v>
      </c>
    </row>
    <row r="16" spans="1:5" x14ac:dyDescent="0.25">
      <c r="A16" s="6">
        <v>37</v>
      </c>
      <c r="B16" s="6">
        <v>245</v>
      </c>
      <c r="C16" s="6"/>
      <c r="D16" s="2"/>
      <c r="E16" t="s">
        <v>134</v>
      </c>
    </row>
    <row r="17" spans="1:6" x14ac:dyDescent="0.25">
      <c r="A17" s="6">
        <v>38</v>
      </c>
      <c r="B17" s="6">
        <v>183</v>
      </c>
      <c r="C17" s="6"/>
      <c r="D17" s="2"/>
      <c r="E17" t="s">
        <v>105</v>
      </c>
    </row>
    <row r="18" spans="1:6" x14ac:dyDescent="0.25">
      <c r="A18" s="6">
        <v>39</v>
      </c>
      <c r="B18" s="6"/>
      <c r="C18" s="35">
        <v>10228</v>
      </c>
      <c r="D18" s="2"/>
      <c r="E18" t="s">
        <v>106</v>
      </c>
      <c r="F18" t="s">
        <v>108</v>
      </c>
    </row>
    <row r="19" spans="1:6" x14ac:dyDescent="0.25">
      <c r="A19" s="6">
        <v>40</v>
      </c>
      <c r="B19" s="6"/>
      <c r="C19" s="35">
        <v>10619</v>
      </c>
      <c r="D19" s="2"/>
      <c r="E19" t="s">
        <v>107</v>
      </c>
      <c r="F19" t="s">
        <v>108</v>
      </c>
    </row>
    <row r="20" spans="1:6" x14ac:dyDescent="0.25">
      <c r="A20" s="6">
        <v>41</v>
      </c>
      <c r="B20" s="6">
        <v>179</v>
      </c>
      <c r="C20" s="6"/>
      <c r="D20" s="2"/>
      <c r="E20" t="s">
        <v>109</v>
      </c>
    </row>
    <row r="21" spans="1:6" x14ac:dyDescent="0.25">
      <c r="A21" s="6">
        <v>42</v>
      </c>
      <c r="B21" s="6"/>
      <c r="C21" s="35">
        <v>10290</v>
      </c>
      <c r="D21" s="2"/>
      <c r="E21" t="s">
        <v>110</v>
      </c>
      <c r="F21" t="s">
        <v>108</v>
      </c>
    </row>
    <row r="22" spans="1:6" x14ac:dyDescent="0.25">
      <c r="A22" s="6">
        <v>43</v>
      </c>
      <c r="B22" s="6">
        <v>105920110</v>
      </c>
      <c r="C22" s="6"/>
      <c r="D22" s="2"/>
      <c r="E22" t="s">
        <v>112</v>
      </c>
    </row>
    <row r="23" spans="1:6" x14ac:dyDescent="0.25">
      <c r="A23" s="8">
        <v>44</v>
      </c>
      <c r="B23" s="6"/>
      <c r="C23" s="35">
        <v>10664</v>
      </c>
      <c r="D23" s="2"/>
      <c r="E23" t="s">
        <v>111</v>
      </c>
      <c r="F23" t="s">
        <v>108</v>
      </c>
    </row>
    <row r="24" spans="1:6" x14ac:dyDescent="0.25">
      <c r="A24" s="6">
        <v>45</v>
      </c>
      <c r="B24" s="6">
        <v>214</v>
      </c>
      <c r="C24" s="6"/>
      <c r="D24" s="2"/>
      <c r="E24" t="s">
        <v>113</v>
      </c>
    </row>
    <row r="25" spans="1:6" x14ac:dyDescent="0.25">
      <c r="A25" s="6">
        <v>46</v>
      </c>
      <c r="B25" s="6">
        <v>191</v>
      </c>
      <c r="C25" s="6">
        <v>201</v>
      </c>
      <c r="D25" s="2"/>
      <c r="E25" t="s">
        <v>114</v>
      </c>
    </row>
    <row r="26" spans="1:6" x14ac:dyDescent="0.25">
      <c r="A26" s="6">
        <v>47</v>
      </c>
      <c r="B26" s="35">
        <v>196</v>
      </c>
      <c r="C26" s="6">
        <v>193</v>
      </c>
      <c r="D26" s="2"/>
      <c r="E26" t="s">
        <v>115</v>
      </c>
      <c r="F26" t="s">
        <v>116</v>
      </c>
    </row>
    <row r="27" spans="1:6" x14ac:dyDescent="0.25">
      <c r="A27" s="6">
        <v>48</v>
      </c>
      <c r="B27" s="6"/>
      <c r="C27" s="6">
        <v>369</v>
      </c>
      <c r="D27" s="2"/>
      <c r="E27" t="s">
        <v>117</v>
      </c>
    </row>
    <row r="28" spans="1:6" x14ac:dyDescent="0.25">
      <c r="A28" s="6">
        <v>49</v>
      </c>
      <c r="B28" s="35">
        <v>500</v>
      </c>
      <c r="C28" s="6"/>
      <c r="D28" s="2"/>
      <c r="E28" t="s">
        <v>118</v>
      </c>
      <c r="F28" t="s">
        <v>120</v>
      </c>
    </row>
    <row r="29" spans="1:6" x14ac:dyDescent="0.25">
      <c r="A29" s="6">
        <v>50</v>
      </c>
      <c r="B29" s="6">
        <v>384</v>
      </c>
      <c r="C29" s="6"/>
      <c r="D29" s="2"/>
      <c r="E29" t="s">
        <v>119</v>
      </c>
    </row>
    <row r="30" spans="1:6" x14ac:dyDescent="0.25">
      <c r="A30" s="6">
        <v>51</v>
      </c>
      <c r="B30" s="6"/>
      <c r="C30" s="6">
        <v>380</v>
      </c>
      <c r="D30" s="2"/>
      <c r="E30" t="s">
        <v>121</v>
      </c>
    </row>
    <row r="31" spans="1:6" x14ac:dyDescent="0.25">
      <c r="A31" s="6">
        <v>52</v>
      </c>
      <c r="B31" s="11"/>
      <c r="C31" s="6">
        <v>401</v>
      </c>
      <c r="D31" s="2"/>
      <c r="E31" t="s">
        <v>122</v>
      </c>
    </row>
    <row r="32" spans="1:6" x14ac:dyDescent="0.25">
      <c r="A32" s="6">
        <v>53</v>
      </c>
      <c r="B32" s="6"/>
      <c r="C32" s="6">
        <v>392</v>
      </c>
      <c r="D32" s="2"/>
      <c r="E32" t="s">
        <v>123</v>
      </c>
    </row>
    <row r="33" spans="1:6" x14ac:dyDescent="0.25">
      <c r="A33" s="6">
        <v>54</v>
      </c>
      <c r="B33" s="6">
        <v>398</v>
      </c>
      <c r="C33" s="6"/>
      <c r="D33" s="2"/>
      <c r="E33" t="s">
        <v>124</v>
      </c>
    </row>
    <row r="34" spans="1:6" x14ac:dyDescent="0.25">
      <c r="A34" s="6">
        <v>55</v>
      </c>
      <c r="B34" s="10">
        <v>304</v>
      </c>
      <c r="C34" s="6">
        <v>61</v>
      </c>
      <c r="D34" s="2"/>
      <c r="E34" t="s">
        <v>125</v>
      </c>
    </row>
    <row r="35" spans="1:6" x14ac:dyDescent="0.25">
      <c r="A35" s="6">
        <v>56</v>
      </c>
      <c r="B35" s="10">
        <v>262</v>
      </c>
      <c r="C35" s="10">
        <v>20040</v>
      </c>
      <c r="D35" s="2"/>
      <c r="E35" t="s">
        <v>126</v>
      </c>
    </row>
    <row r="36" spans="1:6" x14ac:dyDescent="0.25">
      <c r="A36" s="6">
        <v>57</v>
      </c>
      <c r="B36" s="10">
        <v>459</v>
      </c>
      <c r="C36" s="6">
        <v>466</v>
      </c>
      <c r="D36" s="2"/>
      <c r="E36" t="s">
        <v>127</v>
      </c>
    </row>
    <row r="37" spans="1:6" x14ac:dyDescent="0.25">
      <c r="A37" s="6">
        <v>58</v>
      </c>
      <c r="B37" s="10">
        <v>28240364</v>
      </c>
      <c r="C37" s="6">
        <v>453</v>
      </c>
      <c r="D37" s="2"/>
      <c r="E37" t="s">
        <v>128</v>
      </c>
    </row>
    <row r="38" spans="1:6" x14ac:dyDescent="0.25">
      <c r="A38" s="6">
        <v>59</v>
      </c>
      <c r="B38" s="6">
        <v>28280066</v>
      </c>
      <c r="C38" s="6">
        <v>28280063</v>
      </c>
      <c r="D38" s="2"/>
      <c r="E38" t="s">
        <v>129</v>
      </c>
    </row>
    <row r="39" spans="1:6" x14ac:dyDescent="0.25">
      <c r="A39" s="6">
        <v>60</v>
      </c>
      <c r="B39" s="6">
        <v>105920001</v>
      </c>
      <c r="C39" s="6">
        <v>28280070</v>
      </c>
      <c r="D39" s="2"/>
      <c r="E39" t="s">
        <v>130</v>
      </c>
    </row>
    <row r="40" spans="1:6" x14ac:dyDescent="0.25">
      <c r="A40" s="6">
        <v>61</v>
      </c>
      <c r="B40" s="10">
        <v>371</v>
      </c>
      <c r="C40" s="10"/>
      <c r="D40" s="2"/>
      <c r="E40" t="s">
        <v>131</v>
      </c>
    </row>
    <row r="41" spans="1:6" x14ac:dyDescent="0.25">
      <c r="A41" s="6">
        <v>62</v>
      </c>
      <c r="B41" s="10">
        <v>424</v>
      </c>
      <c r="C41" s="10"/>
      <c r="D41" s="2"/>
      <c r="E41" t="s">
        <v>133</v>
      </c>
    </row>
    <row r="42" spans="1:6" x14ac:dyDescent="0.25">
      <c r="A42" s="6">
        <v>63</v>
      </c>
      <c r="B42" s="10"/>
      <c r="C42" s="35">
        <v>434</v>
      </c>
      <c r="D42" s="2"/>
      <c r="E42" t="s">
        <v>104</v>
      </c>
      <c r="F42" t="s">
        <v>135</v>
      </c>
    </row>
    <row r="43" spans="1:6" x14ac:dyDescent="0.25">
      <c r="A43" s="6">
        <v>64</v>
      </c>
      <c r="B43" s="10"/>
      <c r="C43" s="10">
        <v>42</v>
      </c>
      <c r="D43" s="2"/>
      <c r="E43" t="s">
        <v>132</v>
      </c>
    </row>
    <row r="44" spans="1:6" x14ac:dyDescent="0.25">
      <c r="A44" s="20">
        <v>66</v>
      </c>
      <c r="B44" s="10">
        <v>460</v>
      </c>
      <c r="C44" s="10">
        <v>460</v>
      </c>
      <c r="D44" s="2"/>
      <c r="E44" t="s">
        <v>136</v>
      </c>
    </row>
    <row r="45" spans="1:6" x14ac:dyDescent="0.25">
      <c r="A45" s="20">
        <v>67</v>
      </c>
      <c r="B45">
        <v>31</v>
      </c>
      <c r="C45">
        <v>31</v>
      </c>
      <c r="D45" s="2"/>
      <c r="E45" t="s">
        <v>138</v>
      </c>
    </row>
    <row r="46" spans="1:6" x14ac:dyDescent="0.25">
      <c r="A46" s="20">
        <v>68</v>
      </c>
      <c r="B46">
        <v>28280069</v>
      </c>
      <c r="C46">
        <v>28280069</v>
      </c>
      <c r="D46" s="2"/>
      <c r="E46" t="s">
        <v>139</v>
      </c>
    </row>
    <row r="47" spans="1:6" x14ac:dyDescent="0.25">
      <c r="A47" s="20">
        <v>69</v>
      </c>
      <c r="B47">
        <v>447</v>
      </c>
      <c r="C47">
        <v>447</v>
      </c>
      <c r="D47" s="2"/>
      <c r="E47" t="s">
        <v>137</v>
      </c>
    </row>
    <row r="48" spans="1:6" x14ac:dyDescent="0.25">
      <c r="A48" s="20">
        <v>70</v>
      </c>
      <c r="B48">
        <v>523</v>
      </c>
      <c r="C48">
        <v>523</v>
      </c>
      <c r="E48" t="s">
        <v>208</v>
      </c>
    </row>
    <row r="49" spans="1:5" x14ac:dyDescent="0.25">
      <c r="A49" s="20">
        <v>71</v>
      </c>
      <c r="B49">
        <v>522</v>
      </c>
      <c r="C49">
        <v>522</v>
      </c>
      <c r="E49" t="s">
        <v>209</v>
      </c>
    </row>
    <row r="50" spans="1:5" x14ac:dyDescent="0.25">
      <c r="A50" s="20">
        <v>72</v>
      </c>
      <c r="C50">
        <v>42</v>
      </c>
      <c r="E50" t="s">
        <v>210</v>
      </c>
    </row>
  </sheetData>
  <autoFilter ref="A1:F47" xr:uid="{F0B666BD-3525-444B-ADD9-CDB8662D42CA}"/>
  <conditionalFormatting sqref="B2:C39">
    <cfRule type="cellIs" dxfId="23" priority="7" operator="equal">
      <formula>0</formula>
    </cfRule>
  </conditionalFormatting>
  <conditionalFormatting sqref="B40:C40">
    <cfRule type="cellIs" dxfId="22" priority="6" operator="equal">
      <formula>0</formula>
    </cfRule>
  </conditionalFormatting>
  <conditionalFormatting sqref="B41:C41">
    <cfRule type="cellIs" dxfId="21" priority="5" operator="equal">
      <formula>0</formula>
    </cfRule>
  </conditionalFormatting>
  <conditionalFormatting sqref="B42:C42">
    <cfRule type="cellIs" dxfId="20" priority="4" operator="equal">
      <formula>0</formula>
    </cfRule>
  </conditionalFormatting>
  <conditionalFormatting sqref="B43:C43">
    <cfRule type="cellIs" dxfId="19" priority="3" operator="equal">
      <formula>0</formula>
    </cfRule>
  </conditionalFormatting>
  <conditionalFormatting sqref="B44:C44">
    <cfRule type="cellIs" dxfId="18" priority="2" operator="equal">
      <formula>0</formula>
    </cfRule>
  </conditionalFormatting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>
    <tabColor rgb="FFFFFF00"/>
  </sheetPr>
  <dimension ref="A1:G69"/>
  <sheetViews>
    <sheetView zoomScaleNormal="100" workbookViewId="0">
      <pane ySplit="1" topLeftCell="A2" activePane="bottomLeft" state="frozen"/>
      <selection pane="bottomLeft" activeCell="B15" sqref="B15"/>
    </sheetView>
  </sheetViews>
  <sheetFormatPr defaultRowHeight="15" x14ac:dyDescent="0.25"/>
  <cols>
    <col min="1" max="1" width="11.7109375" bestFit="1" customWidth="1"/>
    <col min="2" max="2" width="16.28515625" bestFit="1" customWidth="1"/>
    <col min="3" max="3" width="15" bestFit="1" customWidth="1"/>
    <col min="5" max="5" width="22.5703125" bestFit="1" customWidth="1"/>
  </cols>
  <sheetData>
    <row r="1" spans="1:7" x14ac:dyDescent="0.25">
      <c r="A1" t="s">
        <v>0</v>
      </c>
      <c r="B1" s="3" t="s">
        <v>1</v>
      </c>
      <c r="C1" t="s">
        <v>2</v>
      </c>
    </row>
    <row r="2" spans="1:7" x14ac:dyDescent="0.25">
      <c r="A2" s="6">
        <v>2</v>
      </c>
      <c r="B2" s="11">
        <v>129</v>
      </c>
      <c r="C2" s="11">
        <v>236</v>
      </c>
      <c r="D2" s="31"/>
      <c r="E2" t="s">
        <v>140</v>
      </c>
    </row>
    <row r="3" spans="1:7" hidden="1" x14ac:dyDescent="0.25">
      <c r="A3" s="6">
        <v>4</v>
      </c>
      <c r="B3" s="11"/>
      <c r="C3" s="11"/>
      <c r="D3" s="31"/>
      <c r="E3" s="7" t="s">
        <v>141</v>
      </c>
      <c r="F3" s="7"/>
      <c r="G3" s="7"/>
    </row>
    <row r="4" spans="1:7" x14ac:dyDescent="0.25">
      <c r="A4" s="6">
        <v>8</v>
      </c>
      <c r="B4" s="11">
        <v>169</v>
      </c>
      <c r="C4" s="11">
        <v>168</v>
      </c>
      <c r="D4" s="31"/>
      <c r="E4" s="7" t="s">
        <v>142</v>
      </c>
      <c r="F4" s="7"/>
      <c r="G4" s="7"/>
    </row>
    <row r="5" spans="1:7" x14ac:dyDescent="0.25">
      <c r="A5" s="6">
        <v>10</v>
      </c>
      <c r="B5" s="11">
        <v>485</v>
      </c>
      <c r="C5" s="11">
        <v>492</v>
      </c>
      <c r="D5" s="31"/>
      <c r="E5" s="7" t="s">
        <v>143</v>
      </c>
      <c r="F5" s="7"/>
      <c r="G5" s="7"/>
    </row>
    <row r="6" spans="1:7" x14ac:dyDescent="0.25">
      <c r="A6" s="6">
        <v>11</v>
      </c>
      <c r="B6" s="11">
        <v>84</v>
      </c>
      <c r="C6" s="11">
        <v>85</v>
      </c>
      <c r="D6" s="31"/>
      <c r="E6" s="7" t="s">
        <v>144</v>
      </c>
      <c r="F6" s="7"/>
      <c r="G6" s="7"/>
    </row>
    <row r="7" spans="1:7" x14ac:dyDescent="0.25">
      <c r="A7" s="6">
        <v>16</v>
      </c>
      <c r="B7" s="11">
        <v>48</v>
      </c>
      <c r="C7" s="11">
        <v>287</v>
      </c>
      <c r="D7" s="31"/>
      <c r="E7" s="7" t="s">
        <v>145</v>
      </c>
      <c r="F7" s="7"/>
      <c r="G7" s="7"/>
    </row>
    <row r="8" spans="1:7" x14ac:dyDescent="0.25">
      <c r="A8" s="6">
        <v>17</v>
      </c>
      <c r="B8" s="11">
        <v>133</v>
      </c>
      <c r="C8" s="11">
        <v>28280129</v>
      </c>
      <c r="D8" s="31"/>
      <c r="E8" s="7" t="s">
        <v>146</v>
      </c>
      <c r="F8" s="7"/>
      <c r="G8" s="7"/>
    </row>
    <row r="9" spans="1:7" x14ac:dyDescent="0.25">
      <c r="A9" s="6">
        <v>18</v>
      </c>
      <c r="B9" s="11">
        <v>78</v>
      </c>
      <c r="C9" s="11">
        <v>28280096</v>
      </c>
      <c r="D9" s="31"/>
      <c r="E9" s="7" t="s">
        <v>147</v>
      </c>
      <c r="F9" s="7"/>
      <c r="G9" s="7"/>
    </row>
    <row r="10" spans="1:7" x14ac:dyDescent="0.25">
      <c r="A10" s="6">
        <v>20</v>
      </c>
      <c r="B10" s="11">
        <v>136</v>
      </c>
      <c r="C10" s="11">
        <v>145</v>
      </c>
      <c r="D10" s="31"/>
      <c r="E10" s="7" t="s">
        <v>148</v>
      </c>
      <c r="F10" s="7"/>
      <c r="G10" s="7"/>
    </row>
    <row r="11" spans="1:7" x14ac:dyDescent="0.25">
      <c r="A11" s="6">
        <v>21</v>
      </c>
      <c r="B11" s="11">
        <v>92</v>
      </c>
      <c r="C11" s="11">
        <v>1</v>
      </c>
      <c r="D11" s="31"/>
      <c r="E11" s="7" t="s">
        <v>149</v>
      </c>
      <c r="F11" s="7"/>
      <c r="G11" s="7"/>
    </row>
    <row r="12" spans="1:7" x14ac:dyDescent="0.25">
      <c r="A12" s="6">
        <v>22</v>
      </c>
      <c r="B12" s="11">
        <v>29</v>
      </c>
      <c r="C12" s="11">
        <v>7</v>
      </c>
      <c r="D12" s="31"/>
      <c r="E12" s="7" t="s">
        <v>150</v>
      </c>
      <c r="F12" s="7"/>
      <c r="G12" s="7"/>
    </row>
    <row r="13" spans="1:7" x14ac:dyDescent="0.25">
      <c r="A13" s="6">
        <v>23</v>
      </c>
      <c r="B13" s="11">
        <v>81</v>
      </c>
      <c r="C13" s="11">
        <v>87</v>
      </c>
      <c r="D13" s="31"/>
      <c r="E13" s="7" t="s">
        <v>151</v>
      </c>
      <c r="F13" s="7"/>
      <c r="G13" s="7"/>
    </row>
    <row r="14" spans="1:7" x14ac:dyDescent="0.25">
      <c r="A14" s="6">
        <v>25</v>
      </c>
      <c r="B14" s="11">
        <v>480</v>
      </c>
      <c r="C14" s="11">
        <v>478</v>
      </c>
      <c r="D14" s="31"/>
      <c r="E14" s="7" t="s">
        <v>152</v>
      </c>
      <c r="F14" s="7"/>
      <c r="G14" s="7"/>
    </row>
    <row r="15" spans="1:7" x14ac:dyDescent="0.25">
      <c r="A15" s="6">
        <v>26</v>
      </c>
      <c r="B15" s="11">
        <v>147</v>
      </c>
      <c r="C15" s="11">
        <v>162</v>
      </c>
      <c r="D15" s="31"/>
      <c r="E15" s="7" t="s">
        <v>153</v>
      </c>
      <c r="F15" s="7"/>
      <c r="G15" s="7"/>
    </row>
    <row r="16" spans="1:7" x14ac:dyDescent="0.25">
      <c r="A16" s="6">
        <v>27</v>
      </c>
      <c r="B16" s="11">
        <v>91</v>
      </c>
      <c r="C16" s="11">
        <v>27</v>
      </c>
      <c r="D16" s="31"/>
      <c r="E16" s="7" t="s">
        <v>154</v>
      </c>
      <c r="F16" s="7"/>
      <c r="G16" s="7"/>
    </row>
    <row r="17" spans="1:7" hidden="1" x14ac:dyDescent="0.25">
      <c r="A17" s="6">
        <v>34</v>
      </c>
      <c r="B17" s="11"/>
      <c r="C17" s="11">
        <v>262</v>
      </c>
      <c r="D17" s="31"/>
      <c r="E17" s="7" t="s">
        <v>155</v>
      </c>
      <c r="F17" s="7"/>
      <c r="G17" s="7"/>
    </row>
    <row r="18" spans="1:7" x14ac:dyDescent="0.25">
      <c r="A18" s="6">
        <v>38</v>
      </c>
      <c r="B18" s="11">
        <v>205</v>
      </c>
      <c r="C18" s="11">
        <v>206</v>
      </c>
      <c r="D18" s="31"/>
      <c r="E18" s="7" t="s">
        <v>156</v>
      </c>
      <c r="F18" s="7"/>
      <c r="G18" s="7"/>
    </row>
    <row r="19" spans="1:7" x14ac:dyDescent="0.25">
      <c r="A19" s="11">
        <v>39</v>
      </c>
      <c r="B19" s="11">
        <v>26</v>
      </c>
      <c r="C19" s="11">
        <v>21070001</v>
      </c>
      <c r="D19" s="31"/>
      <c r="E19" s="7" t="s">
        <v>158</v>
      </c>
      <c r="F19" s="7"/>
      <c r="G19" s="7"/>
    </row>
    <row r="20" spans="1:7" x14ac:dyDescent="0.25">
      <c r="A20" s="6">
        <v>40</v>
      </c>
      <c r="B20" s="11">
        <v>204</v>
      </c>
      <c r="C20" s="11">
        <v>207</v>
      </c>
      <c r="D20" s="31"/>
      <c r="E20" s="7" t="s">
        <v>157</v>
      </c>
      <c r="F20" s="7"/>
      <c r="G20" s="7"/>
    </row>
    <row r="21" spans="1:7" x14ac:dyDescent="0.25">
      <c r="A21" s="6">
        <v>41</v>
      </c>
      <c r="B21" s="11">
        <v>288</v>
      </c>
      <c r="C21" s="11">
        <v>290</v>
      </c>
      <c r="D21" s="31"/>
      <c r="E21" s="7" t="s">
        <v>160</v>
      </c>
      <c r="F21" s="7"/>
      <c r="G21" s="7"/>
    </row>
    <row r="22" spans="1:7" x14ac:dyDescent="0.25">
      <c r="A22" s="6">
        <v>42</v>
      </c>
      <c r="B22" s="11">
        <v>20057</v>
      </c>
      <c r="C22" s="11">
        <v>20015</v>
      </c>
      <c r="D22" s="31"/>
      <c r="E22" s="7" t="s">
        <v>159</v>
      </c>
      <c r="F22" s="7"/>
      <c r="G22" s="7"/>
    </row>
    <row r="23" spans="1:7" x14ac:dyDescent="0.25">
      <c r="A23" s="6">
        <v>43</v>
      </c>
      <c r="B23" s="11">
        <v>56</v>
      </c>
      <c r="C23" s="11">
        <v>513</v>
      </c>
      <c r="D23" s="31"/>
      <c r="E23" s="7" t="s">
        <v>161</v>
      </c>
      <c r="F23" s="7"/>
      <c r="G23" s="7"/>
    </row>
    <row r="24" spans="1:7" x14ac:dyDescent="0.25">
      <c r="A24" s="6">
        <v>44</v>
      </c>
      <c r="B24" s="11">
        <v>20017</v>
      </c>
      <c r="C24" s="11">
        <v>20019</v>
      </c>
      <c r="D24" s="31"/>
      <c r="E24" s="7" t="s">
        <v>162</v>
      </c>
      <c r="F24" s="7"/>
      <c r="G24" s="7"/>
    </row>
    <row r="25" spans="1:7" x14ac:dyDescent="0.25">
      <c r="A25" s="6">
        <v>46</v>
      </c>
      <c r="B25" s="11">
        <v>488</v>
      </c>
      <c r="C25" s="11">
        <v>487</v>
      </c>
      <c r="D25" s="31"/>
      <c r="E25" s="7" t="s">
        <v>163</v>
      </c>
      <c r="F25" s="7"/>
      <c r="G25" s="7"/>
    </row>
    <row r="26" spans="1:7" x14ac:dyDescent="0.25">
      <c r="A26" s="6">
        <v>47</v>
      </c>
      <c r="B26" s="11">
        <v>128</v>
      </c>
      <c r="C26" s="11">
        <v>221</v>
      </c>
      <c r="D26" s="31"/>
      <c r="E26" s="7" t="s">
        <v>164</v>
      </c>
      <c r="F26" s="7"/>
      <c r="G26" s="7"/>
    </row>
    <row r="27" spans="1:7" x14ac:dyDescent="0.25">
      <c r="A27" s="6">
        <v>49</v>
      </c>
      <c r="B27" s="11">
        <v>135</v>
      </c>
      <c r="C27" s="11">
        <v>295</v>
      </c>
      <c r="D27" s="31"/>
      <c r="E27" s="7" t="s">
        <v>165</v>
      </c>
      <c r="F27" s="7"/>
      <c r="G27" s="7"/>
    </row>
    <row r="28" spans="1:7" x14ac:dyDescent="0.25">
      <c r="A28" s="6">
        <v>50</v>
      </c>
      <c r="B28" s="11">
        <v>95</v>
      </c>
      <c r="C28" s="11">
        <v>226</v>
      </c>
      <c r="D28" s="31"/>
      <c r="E28" s="7" t="s">
        <v>166</v>
      </c>
      <c r="F28" s="7"/>
      <c r="G28" s="7"/>
    </row>
    <row r="29" spans="1:7" x14ac:dyDescent="0.25">
      <c r="A29" s="6">
        <v>51</v>
      </c>
      <c r="B29" s="11">
        <v>23</v>
      </c>
      <c r="C29" s="11">
        <v>83</v>
      </c>
      <c r="D29" s="31"/>
      <c r="E29" s="7" t="s">
        <v>167</v>
      </c>
      <c r="F29" s="7"/>
      <c r="G29" s="7"/>
    </row>
    <row r="30" spans="1:7" x14ac:dyDescent="0.25">
      <c r="A30" s="6">
        <v>52</v>
      </c>
      <c r="B30" s="11">
        <v>474</v>
      </c>
      <c r="C30" s="11">
        <v>475</v>
      </c>
      <c r="D30" s="31"/>
      <c r="E30" s="7" t="s">
        <v>168</v>
      </c>
      <c r="F30" s="7"/>
      <c r="G30" s="7"/>
    </row>
    <row r="31" spans="1:7" x14ac:dyDescent="0.25">
      <c r="A31" s="6">
        <v>53</v>
      </c>
      <c r="B31" s="11">
        <v>473</v>
      </c>
      <c r="C31" s="11">
        <v>105920472</v>
      </c>
      <c r="D31" s="31"/>
      <c r="E31" s="7" t="s">
        <v>169</v>
      </c>
      <c r="F31" s="7"/>
      <c r="G31" s="7"/>
    </row>
    <row r="32" spans="1:7" hidden="1" x14ac:dyDescent="0.25">
      <c r="A32" s="6">
        <v>54</v>
      </c>
      <c r="B32" s="11"/>
      <c r="C32" s="11">
        <v>183</v>
      </c>
      <c r="D32" s="31"/>
      <c r="E32" s="7" t="s">
        <v>170</v>
      </c>
      <c r="F32" s="7"/>
      <c r="G32" s="7"/>
    </row>
    <row r="33" spans="1:7" hidden="1" x14ac:dyDescent="0.25">
      <c r="A33" s="11">
        <v>55</v>
      </c>
      <c r="B33" s="11"/>
      <c r="C33" s="11">
        <v>191</v>
      </c>
      <c r="D33" s="31"/>
      <c r="E33" s="7" t="s">
        <v>171</v>
      </c>
      <c r="F33" s="7"/>
      <c r="G33" s="7"/>
    </row>
    <row r="34" spans="1:7" x14ac:dyDescent="0.25">
      <c r="A34" s="11">
        <v>56</v>
      </c>
      <c r="B34" s="11">
        <v>193</v>
      </c>
      <c r="C34" s="6"/>
      <c r="D34" s="31"/>
      <c r="E34" s="7" t="s">
        <v>172</v>
      </c>
      <c r="F34" s="7"/>
      <c r="G34" s="7"/>
    </row>
    <row r="35" spans="1:7" x14ac:dyDescent="0.25">
      <c r="A35" s="6">
        <v>57</v>
      </c>
      <c r="B35" s="35">
        <v>10290</v>
      </c>
      <c r="C35" s="11"/>
      <c r="D35" s="31"/>
      <c r="E35" s="7" t="s">
        <v>173</v>
      </c>
      <c r="F35" s="36" t="s">
        <v>174</v>
      </c>
      <c r="G35" s="7"/>
    </row>
    <row r="36" spans="1:7" hidden="1" x14ac:dyDescent="0.25">
      <c r="A36" s="6">
        <v>58</v>
      </c>
      <c r="B36" s="11"/>
      <c r="C36" s="11">
        <v>214</v>
      </c>
      <c r="D36" s="31"/>
      <c r="E36" s="7" t="s">
        <v>175</v>
      </c>
      <c r="F36" s="7"/>
      <c r="G36" s="7"/>
    </row>
    <row r="37" spans="1:7" x14ac:dyDescent="0.25">
      <c r="A37" s="6">
        <v>59</v>
      </c>
      <c r="B37" s="35">
        <v>10619</v>
      </c>
      <c r="C37" s="11"/>
      <c r="D37" s="31"/>
      <c r="E37" s="7" t="s">
        <v>176</v>
      </c>
      <c r="F37" s="36" t="s">
        <v>174</v>
      </c>
      <c r="G37" s="7"/>
    </row>
    <row r="38" spans="1:7" hidden="1" x14ac:dyDescent="0.25">
      <c r="A38" s="6">
        <v>60</v>
      </c>
      <c r="B38" s="11"/>
      <c r="C38" s="11">
        <v>179</v>
      </c>
      <c r="D38" s="31"/>
      <c r="E38" s="7" t="s">
        <v>177</v>
      </c>
      <c r="F38" s="7"/>
      <c r="G38" s="7"/>
    </row>
    <row r="39" spans="1:7" x14ac:dyDescent="0.25">
      <c r="A39" s="6">
        <v>61</v>
      </c>
      <c r="B39" s="35">
        <v>10664</v>
      </c>
      <c r="C39" s="11"/>
      <c r="D39" s="31"/>
      <c r="E39" s="7" t="s">
        <v>178</v>
      </c>
      <c r="F39" s="36" t="s">
        <v>174</v>
      </c>
      <c r="G39" s="7"/>
    </row>
    <row r="40" spans="1:7" hidden="1" x14ac:dyDescent="0.25">
      <c r="A40" s="6">
        <v>62</v>
      </c>
      <c r="B40" s="11"/>
      <c r="C40" s="11">
        <v>105920110</v>
      </c>
      <c r="D40" s="31"/>
      <c r="E40" s="7" t="s">
        <v>179</v>
      </c>
      <c r="F40" s="7"/>
      <c r="G40" s="7"/>
    </row>
    <row r="41" spans="1:7" hidden="1" x14ac:dyDescent="0.25">
      <c r="A41" s="11">
        <v>63</v>
      </c>
      <c r="B41" s="11"/>
      <c r="C41" s="11">
        <v>196</v>
      </c>
      <c r="D41" s="31"/>
      <c r="E41" s="7" t="s">
        <v>180</v>
      </c>
      <c r="F41" s="7"/>
      <c r="G41" s="7"/>
    </row>
    <row r="42" spans="1:7" x14ac:dyDescent="0.25">
      <c r="A42" s="11">
        <v>64</v>
      </c>
      <c r="B42" s="11">
        <v>201</v>
      </c>
      <c r="C42" s="11"/>
      <c r="D42" s="31"/>
      <c r="E42" s="7" t="s">
        <v>181</v>
      </c>
      <c r="F42" s="7"/>
      <c r="G42" s="7"/>
    </row>
    <row r="43" spans="1:7" x14ac:dyDescent="0.25">
      <c r="A43" s="6">
        <v>65</v>
      </c>
      <c r="B43" s="35">
        <v>10228</v>
      </c>
      <c r="C43" s="11"/>
      <c r="D43" s="31"/>
      <c r="E43" s="7" t="s">
        <v>182</v>
      </c>
      <c r="F43" s="36" t="s">
        <v>174</v>
      </c>
      <c r="G43" s="7"/>
    </row>
    <row r="44" spans="1:7" x14ac:dyDescent="0.25">
      <c r="A44" s="6">
        <v>66</v>
      </c>
      <c r="B44" s="11">
        <v>369</v>
      </c>
      <c r="C44" s="11"/>
      <c r="D44" s="31"/>
      <c r="E44" s="7" t="s">
        <v>117</v>
      </c>
      <c r="F44" s="7"/>
      <c r="G44" s="7"/>
    </row>
    <row r="45" spans="1:7" hidden="1" x14ac:dyDescent="0.25">
      <c r="A45" s="6">
        <v>67</v>
      </c>
      <c r="B45" s="11"/>
      <c r="C45" s="35">
        <v>500</v>
      </c>
      <c r="D45" s="31"/>
      <c r="E45" s="7" t="s">
        <v>118</v>
      </c>
      <c r="F45" s="36" t="s">
        <v>174</v>
      </c>
      <c r="G45" s="7"/>
    </row>
    <row r="46" spans="1:7" x14ac:dyDescent="0.25">
      <c r="A46" s="6">
        <v>68</v>
      </c>
      <c r="B46" s="11">
        <v>401</v>
      </c>
      <c r="C46" s="11"/>
      <c r="D46" s="31"/>
      <c r="E46" s="7" t="s">
        <v>122</v>
      </c>
      <c r="F46" s="7"/>
      <c r="G46" s="7"/>
    </row>
    <row r="47" spans="1:7" hidden="1" x14ac:dyDescent="0.25">
      <c r="A47" s="6">
        <v>69</v>
      </c>
      <c r="B47" s="11"/>
      <c r="C47" s="11">
        <v>398</v>
      </c>
      <c r="D47" s="31"/>
      <c r="E47" s="7" t="s">
        <v>124</v>
      </c>
      <c r="F47" s="7"/>
      <c r="G47" s="7"/>
    </row>
    <row r="48" spans="1:7" x14ac:dyDescent="0.25">
      <c r="A48" s="6">
        <v>70</v>
      </c>
      <c r="B48" s="11">
        <v>380</v>
      </c>
      <c r="C48" s="11"/>
      <c r="D48" s="31"/>
      <c r="E48" s="7" t="s">
        <v>121</v>
      </c>
      <c r="F48" s="7"/>
      <c r="G48" s="7"/>
    </row>
    <row r="49" spans="1:7" x14ac:dyDescent="0.25">
      <c r="A49" s="6">
        <v>71</v>
      </c>
      <c r="B49" s="11">
        <v>392</v>
      </c>
      <c r="C49" s="11"/>
      <c r="D49" s="31"/>
      <c r="E49" s="7" t="s">
        <v>123</v>
      </c>
      <c r="F49" s="7"/>
      <c r="G49" s="7"/>
    </row>
    <row r="50" spans="1:7" hidden="1" x14ac:dyDescent="0.25">
      <c r="A50" s="6">
        <v>72</v>
      </c>
      <c r="B50" s="11"/>
      <c r="C50" s="11">
        <v>384</v>
      </c>
      <c r="D50" s="31"/>
      <c r="E50" s="7" t="s">
        <v>119</v>
      </c>
      <c r="F50" s="7"/>
      <c r="G50" s="7"/>
    </row>
    <row r="51" spans="1:7" x14ac:dyDescent="0.25">
      <c r="A51" s="6">
        <v>73</v>
      </c>
      <c r="B51" s="11">
        <v>28280063</v>
      </c>
      <c r="C51" s="11"/>
      <c r="D51" s="31"/>
      <c r="E51" s="7" t="s">
        <v>183</v>
      </c>
      <c r="F51" s="7"/>
      <c r="G51" s="7"/>
    </row>
    <row r="52" spans="1:7" hidden="1" x14ac:dyDescent="0.25">
      <c r="A52" s="6">
        <v>74</v>
      </c>
      <c r="B52" s="11"/>
      <c r="C52" s="11">
        <v>105920001</v>
      </c>
      <c r="D52" s="31"/>
      <c r="E52" s="7" t="s">
        <v>184</v>
      </c>
      <c r="F52" s="7"/>
      <c r="G52" s="7"/>
    </row>
    <row r="53" spans="1:7" x14ac:dyDescent="0.25">
      <c r="A53" s="6">
        <v>75</v>
      </c>
      <c r="B53" s="11">
        <v>28280070</v>
      </c>
      <c r="C53" s="11"/>
      <c r="D53" s="31"/>
      <c r="E53" s="7" t="s">
        <v>185</v>
      </c>
      <c r="F53" s="7"/>
      <c r="G53" s="7"/>
    </row>
    <row r="54" spans="1:7" hidden="1" x14ac:dyDescent="0.25">
      <c r="A54" s="6">
        <v>76</v>
      </c>
      <c r="B54" s="11"/>
      <c r="C54" s="11">
        <v>28280066</v>
      </c>
      <c r="D54" s="31"/>
      <c r="E54" s="7" t="s">
        <v>186</v>
      </c>
      <c r="F54" s="7"/>
      <c r="G54" s="7"/>
    </row>
    <row r="55" spans="1:7" x14ac:dyDescent="0.25">
      <c r="A55" s="6">
        <v>77</v>
      </c>
      <c r="B55" s="11">
        <v>61</v>
      </c>
      <c r="C55" s="11"/>
      <c r="D55" s="31"/>
      <c r="E55" s="7" t="s">
        <v>187</v>
      </c>
      <c r="F55" s="7"/>
      <c r="G55" s="7"/>
    </row>
    <row r="56" spans="1:7" x14ac:dyDescent="0.25">
      <c r="A56" s="6">
        <v>78</v>
      </c>
      <c r="B56" s="11">
        <v>20040</v>
      </c>
      <c r="C56" s="11"/>
      <c r="D56" s="31"/>
      <c r="E56" s="7" t="s">
        <v>188</v>
      </c>
      <c r="F56" s="7"/>
      <c r="G56" s="7"/>
    </row>
    <row r="57" spans="1:7" hidden="1" x14ac:dyDescent="0.25">
      <c r="A57" s="6">
        <v>79</v>
      </c>
      <c r="B57" s="11"/>
      <c r="C57" s="11">
        <v>304</v>
      </c>
      <c r="D57" s="31"/>
      <c r="E57" s="7" t="s">
        <v>189</v>
      </c>
      <c r="F57" s="7"/>
      <c r="G57" s="7"/>
    </row>
    <row r="58" spans="1:7" x14ac:dyDescent="0.25">
      <c r="A58" s="6">
        <v>80</v>
      </c>
      <c r="B58" s="11">
        <v>466</v>
      </c>
      <c r="C58" s="11"/>
      <c r="D58" s="31"/>
      <c r="E58" s="7" t="s">
        <v>190</v>
      </c>
      <c r="F58" s="7"/>
      <c r="G58" s="7"/>
    </row>
    <row r="59" spans="1:7" hidden="1" x14ac:dyDescent="0.25">
      <c r="A59" s="6">
        <v>81</v>
      </c>
      <c r="B59" s="11"/>
      <c r="C59" s="11">
        <v>28240364</v>
      </c>
      <c r="D59" s="31"/>
      <c r="E59" s="7" t="s">
        <v>191</v>
      </c>
      <c r="F59" s="7"/>
      <c r="G59" s="7"/>
    </row>
    <row r="60" spans="1:7" hidden="1" x14ac:dyDescent="0.25">
      <c r="A60" s="6">
        <v>82</v>
      </c>
      <c r="B60" s="11"/>
      <c r="C60" s="11">
        <v>459</v>
      </c>
      <c r="D60" s="31"/>
      <c r="E60" s="7" t="s">
        <v>192</v>
      </c>
      <c r="F60" s="7"/>
      <c r="G60" s="7"/>
    </row>
    <row r="61" spans="1:7" x14ac:dyDescent="0.25">
      <c r="A61" s="6">
        <v>83</v>
      </c>
      <c r="B61" s="11">
        <v>453</v>
      </c>
      <c r="C61" s="11"/>
      <c r="D61" s="31"/>
      <c r="E61" s="7" t="s">
        <v>193</v>
      </c>
      <c r="F61" s="7"/>
      <c r="G61" s="7"/>
    </row>
    <row r="62" spans="1:7" x14ac:dyDescent="0.25">
      <c r="A62" s="6">
        <v>84</v>
      </c>
      <c r="B62" s="11">
        <v>348</v>
      </c>
      <c r="C62" s="11">
        <v>313</v>
      </c>
      <c r="D62" s="31"/>
      <c r="E62" s="7" t="s">
        <v>194</v>
      </c>
    </row>
    <row r="63" spans="1:7" x14ac:dyDescent="0.25">
      <c r="A63" s="6">
        <v>85</v>
      </c>
      <c r="B63" s="11">
        <v>125</v>
      </c>
      <c r="C63" s="11">
        <v>131</v>
      </c>
      <c r="D63" s="31"/>
      <c r="E63" s="7" t="s">
        <v>195</v>
      </c>
    </row>
    <row r="64" spans="1:7" x14ac:dyDescent="0.25">
      <c r="A64" s="6">
        <v>86</v>
      </c>
      <c r="B64" s="11">
        <v>349</v>
      </c>
      <c r="C64" s="11">
        <v>46</v>
      </c>
      <c r="D64" s="31"/>
      <c r="E64" s="7" t="s">
        <v>195</v>
      </c>
    </row>
    <row r="65" spans="1:5" x14ac:dyDescent="0.25">
      <c r="A65" s="6">
        <v>87</v>
      </c>
      <c r="B65" s="11">
        <v>256</v>
      </c>
      <c r="C65" s="11">
        <v>311</v>
      </c>
      <c r="D65" s="31"/>
      <c r="E65" s="7" t="s">
        <v>194</v>
      </c>
    </row>
    <row r="66" spans="1:5" x14ac:dyDescent="0.25">
      <c r="A66" s="6">
        <v>88</v>
      </c>
      <c r="B66" s="11">
        <v>235</v>
      </c>
      <c r="C66" s="11">
        <v>355</v>
      </c>
      <c r="D66" s="31"/>
      <c r="E66" s="7" t="s">
        <v>196</v>
      </c>
    </row>
    <row r="67" spans="1:5" x14ac:dyDescent="0.25">
      <c r="A67" s="6">
        <v>89</v>
      </c>
      <c r="B67" s="11">
        <v>355</v>
      </c>
      <c r="C67" s="11">
        <v>235</v>
      </c>
      <c r="D67" s="31"/>
      <c r="E67" s="7" t="s">
        <v>196</v>
      </c>
    </row>
    <row r="68" spans="1:5" x14ac:dyDescent="0.25">
      <c r="A68" s="6">
        <v>90</v>
      </c>
      <c r="B68">
        <v>431</v>
      </c>
      <c r="C68">
        <v>432</v>
      </c>
      <c r="D68" s="31"/>
      <c r="E68" s="7" t="s">
        <v>197</v>
      </c>
    </row>
    <row r="69" spans="1:5" x14ac:dyDescent="0.25">
      <c r="A69" s="6">
        <v>91</v>
      </c>
      <c r="B69">
        <v>257</v>
      </c>
      <c r="C69">
        <v>430</v>
      </c>
      <c r="D69" s="31"/>
      <c r="E69" s="7" t="s">
        <v>198</v>
      </c>
    </row>
  </sheetData>
  <autoFilter ref="A1:G69" xr:uid="{36B405D9-1FAB-4A53-AD47-E1CA92E16BC3}">
    <filterColumn colId="1">
      <customFilters>
        <customFilter operator="notEqual" val=" "/>
      </customFilters>
    </filterColumn>
  </autoFilter>
  <conditionalFormatting sqref="B2:C61">
    <cfRule type="cellIs" dxfId="17" priority="7" operator="equal">
      <formula>0</formula>
    </cfRule>
  </conditionalFormatting>
  <conditionalFormatting sqref="B62:C62">
    <cfRule type="cellIs" dxfId="16" priority="6" operator="equal">
      <formula>0</formula>
    </cfRule>
  </conditionalFormatting>
  <conditionalFormatting sqref="B63:C63">
    <cfRule type="cellIs" dxfId="15" priority="5" operator="equal">
      <formula>0</formula>
    </cfRule>
  </conditionalFormatting>
  <conditionalFormatting sqref="B64:C64">
    <cfRule type="cellIs" dxfId="14" priority="4" operator="equal">
      <formula>0</formula>
    </cfRule>
  </conditionalFormatting>
  <conditionalFormatting sqref="B65:C65">
    <cfRule type="cellIs" dxfId="13" priority="3" operator="equal">
      <formula>0</formula>
    </cfRule>
  </conditionalFormatting>
  <conditionalFormatting sqref="B66:C66">
    <cfRule type="cellIs" dxfId="12" priority="2" operator="equal">
      <formula>0</formula>
    </cfRule>
  </conditionalFormatting>
  <conditionalFormatting sqref="B67:C67">
    <cfRule type="cellIs" dxfId="11" priority="1" operator="equal">
      <formula>0</formula>
    </cfRule>
  </conditionalFormatting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0B1AE-646C-49C9-9AF6-04D874CD059F}">
  <sheetPr codeName="Sheet19">
    <tabColor rgb="FFFFC000"/>
  </sheetPr>
  <dimension ref="A1:F83"/>
  <sheetViews>
    <sheetView workbookViewId="0">
      <selection activeCell="F37" sqref="F37"/>
    </sheetView>
  </sheetViews>
  <sheetFormatPr defaultRowHeight="15" x14ac:dyDescent="0.25"/>
  <cols>
    <col min="1" max="1" width="14.28515625" customWidth="1"/>
    <col min="2" max="5" width="12.42578125" bestFit="1" customWidth="1"/>
    <col min="6" max="6" width="36.42578125" customWidth="1"/>
  </cols>
  <sheetData>
    <row r="1" spans="1:6" x14ac:dyDescent="0.25">
      <c r="A1" t="s">
        <v>199</v>
      </c>
      <c r="B1" t="s">
        <v>200</v>
      </c>
      <c r="C1" t="s">
        <v>201</v>
      </c>
      <c r="D1" t="s">
        <v>202</v>
      </c>
      <c r="E1" t="s">
        <v>203</v>
      </c>
      <c r="F1" s="20" t="s">
        <v>204</v>
      </c>
    </row>
    <row r="2" spans="1:6" x14ac:dyDescent="0.25">
      <c r="A2" s="37">
        <v>105920028</v>
      </c>
      <c r="B2">
        <v>111</v>
      </c>
      <c r="C2">
        <v>79</v>
      </c>
      <c r="D2">
        <v>130</v>
      </c>
      <c r="E2">
        <v>88</v>
      </c>
      <c r="F2" t="str">
        <f>A2&amp;"-"&amp;B2&amp;","&amp;C2&amp;","&amp;D2&amp;","&amp;E2</f>
        <v>105920028-111,79,130,88</v>
      </c>
    </row>
    <row r="3" spans="1:6" x14ac:dyDescent="0.25">
      <c r="A3" s="37">
        <v>105920065</v>
      </c>
      <c r="B3">
        <v>111</v>
      </c>
      <c r="C3">
        <v>79</v>
      </c>
      <c r="D3">
        <v>130</v>
      </c>
      <c r="E3">
        <v>88</v>
      </c>
      <c r="F3" t="str">
        <f t="shared" ref="F3:F66" si="0">A3&amp;"-"&amp;B3&amp;","&amp;C3&amp;","&amp;D3&amp;","&amp;E3</f>
        <v>105920065-111,79,130,88</v>
      </c>
    </row>
    <row r="4" spans="1:6" x14ac:dyDescent="0.25">
      <c r="A4" s="37">
        <v>105920026</v>
      </c>
      <c r="B4">
        <v>111</v>
      </c>
      <c r="C4">
        <v>79</v>
      </c>
      <c r="D4">
        <v>130</v>
      </c>
      <c r="E4">
        <v>88</v>
      </c>
      <c r="F4" t="str">
        <f t="shared" si="0"/>
        <v>105920026-111,79,130,88</v>
      </c>
    </row>
    <row r="5" spans="1:6" x14ac:dyDescent="0.25">
      <c r="A5" s="37">
        <v>246</v>
      </c>
      <c r="B5">
        <v>111</v>
      </c>
      <c r="C5">
        <v>79</v>
      </c>
      <c r="D5">
        <v>130</v>
      </c>
      <c r="E5">
        <v>88</v>
      </c>
      <c r="F5" t="str">
        <f t="shared" si="0"/>
        <v>246-111,79,130,88</v>
      </c>
    </row>
    <row r="6" spans="1:6" x14ac:dyDescent="0.25">
      <c r="A6" s="37">
        <v>210</v>
      </c>
      <c r="B6">
        <v>111</v>
      </c>
      <c r="C6">
        <v>79</v>
      </c>
      <c r="D6">
        <v>130</v>
      </c>
      <c r="E6">
        <v>88</v>
      </c>
      <c r="F6" t="str">
        <f t="shared" si="0"/>
        <v>210-111,79,130,88</v>
      </c>
    </row>
    <row r="7" spans="1:6" x14ac:dyDescent="0.25">
      <c r="A7" s="37">
        <v>24</v>
      </c>
      <c r="B7">
        <v>111</v>
      </c>
      <c r="C7">
        <v>79</v>
      </c>
      <c r="D7">
        <v>130</v>
      </c>
      <c r="E7">
        <v>88</v>
      </c>
      <c r="F7" t="str">
        <f t="shared" si="0"/>
        <v>24-111,79,130,88</v>
      </c>
    </row>
    <row r="8" spans="1:6" x14ac:dyDescent="0.25">
      <c r="A8" s="37">
        <v>65</v>
      </c>
      <c r="B8">
        <v>111</v>
      </c>
      <c r="C8">
        <v>79</v>
      </c>
      <c r="D8">
        <v>130</v>
      </c>
      <c r="E8">
        <v>88</v>
      </c>
      <c r="F8" t="str">
        <f t="shared" si="0"/>
        <v>65-111,79,130,88</v>
      </c>
    </row>
    <row r="9" spans="1:6" x14ac:dyDescent="0.25">
      <c r="A9" s="37">
        <v>59</v>
      </c>
      <c r="B9">
        <v>111</v>
      </c>
      <c r="C9">
        <v>79</v>
      </c>
      <c r="D9">
        <v>130</v>
      </c>
      <c r="E9">
        <v>88</v>
      </c>
      <c r="F9" t="str">
        <f t="shared" si="0"/>
        <v>59-111,79,130,88</v>
      </c>
    </row>
    <row r="10" spans="1:6" x14ac:dyDescent="0.25">
      <c r="A10" s="37">
        <v>245</v>
      </c>
      <c r="B10">
        <v>111</v>
      </c>
      <c r="C10">
        <v>79</v>
      </c>
      <c r="D10">
        <v>130</v>
      </c>
      <c r="E10">
        <v>88</v>
      </c>
      <c r="F10" t="str">
        <f t="shared" si="0"/>
        <v>245-111,79,130,88</v>
      </c>
    </row>
    <row r="11" spans="1:6" x14ac:dyDescent="0.25">
      <c r="A11" s="37">
        <v>183</v>
      </c>
      <c r="B11">
        <v>111</v>
      </c>
      <c r="C11">
        <v>79</v>
      </c>
      <c r="D11">
        <v>130</v>
      </c>
      <c r="E11">
        <v>88</v>
      </c>
      <c r="F11" t="str">
        <f t="shared" si="0"/>
        <v>183-111,79,130,88</v>
      </c>
    </row>
    <row r="12" spans="1:6" x14ac:dyDescent="0.25">
      <c r="A12" s="37">
        <v>179</v>
      </c>
      <c r="B12">
        <v>111</v>
      </c>
      <c r="C12">
        <v>79</v>
      </c>
      <c r="D12">
        <v>130</v>
      </c>
      <c r="E12">
        <v>88</v>
      </c>
      <c r="F12" t="str">
        <f t="shared" si="0"/>
        <v>179-111,79,130,88</v>
      </c>
    </row>
    <row r="13" spans="1:6" x14ac:dyDescent="0.25">
      <c r="A13" s="37">
        <v>105920110</v>
      </c>
      <c r="B13">
        <v>111</v>
      </c>
      <c r="C13">
        <v>79</v>
      </c>
      <c r="D13">
        <v>130</v>
      </c>
      <c r="E13">
        <v>88</v>
      </c>
      <c r="F13" t="str">
        <f t="shared" si="0"/>
        <v>105920110-111,79,130,88</v>
      </c>
    </row>
    <row r="14" spans="1:6" x14ac:dyDescent="0.25">
      <c r="A14" s="37">
        <v>214</v>
      </c>
      <c r="B14">
        <v>111</v>
      </c>
      <c r="C14">
        <v>79</v>
      </c>
      <c r="D14">
        <v>130</v>
      </c>
      <c r="E14">
        <v>88</v>
      </c>
      <c r="F14" t="str">
        <f t="shared" si="0"/>
        <v>214-111,79,130,88</v>
      </c>
    </row>
    <row r="15" spans="1:6" x14ac:dyDescent="0.25">
      <c r="A15" s="37">
        <v>191</v>
      </c>
      <c r="B15">
        <v>111</v>
      </c>
      <c r="C15">
        <v>79</v>
      </c>
      <c r="D15">
        <v>130</v>
      </c>
      <c r="E15">
        <v>88</v>
      </c>
      <c r="F15" t="str">
        <f t="shared" si="0"/>
        <v>191-111,79,130,88</v>
      </c>
    </row>
    <row r="16" spans="1:6" x14ac:dyDescent="0.25">
      <c r="A16" s="37">
        <v>196</v>
      </c>
      <c r="B16">
        <v>111</v>
      </c>
      <c r="C16">
        <v>79</v>
      </c>
      <c r="D16">
        <v>130</v>
      </c>
      <c r="E16">
        <v>88</v>
      </c>
      <c r="F16" t="str">
        <f t="shared" si="0"/>
        <v>196-111,79,130,88</v>
      </c>
    </row>
    <row r="17" spans="1:6" x14ac:dyDescent="0.25">
      <c r="A17" s="37">
        <v>500</v>
      </c>
      <c r="B17">
        <v>111</v>
      </c>
      <c r="C17">
        <v>79</v>
      </c>
      <c r="D17">
        <v>130</v>
      </c>
      <c r="E17">
        <v>88</v>
      </c>
      <c r="F17" t="str">
        <f t="shared" si="0"/>
        <v>500-111,79,130,88</v>
      </c>
    </row>
    <row r="18" spans="1:6" x14ac:dyDescent="0.25">
      <c r="A18" s="37">
        <v>384</v>
      </c>
      <c r="B18">
        <v>111</v>
      </c>
      <c r="C18">
        <v>79</v>
      </c>
      <c r="D18">
        <v>130</v>
      </c>
      <c r="E18">
        <v>88</v>
      </c>
      <c r="F18" t="str">
        <f t="shared" si="0"/>
        <v>384-111,79,130,88</v>
      </c>
    </row>
    <row r="19" spans="1:6" x14ac:dyDescent="0.25">
      <c r="A19" s="37">
        <v>398</v>
      </c>
      <c r="B19">
        <v>111</v>
      </c>
      <c r="C19">
        <v>79</v>
      </c>
      <c r="D19">
        <v>130</v>
      </c>
      <c r="E19">
        <v>88</v>
      </c>
      <c r="F19" t="str">
        <f t="shared" si="0"/>
        <v>398-111,79,130,88</v>
      </c>
    </row>
    <row r="20" spans="1:6" x14ac:dyDescent="0.25">
      <c r="A20" s="37">
        <v>304</v>
      </c>
      <c r="B20">
        <v>111</v>
      </c>
      <c r="C20">
        <v>79</v>
      </c>
      <c r="D20">
        <v>130</v>
      </c>
      <c r="E20">
        <v>88</v>
      </c>
      <c r="F20" t="str">
        <f t="shared" si="0"/>
        <v>304-111,79,130,88</v>
      </c>
    </row>
    <row r="21" spans="1:6" x14ac:dyDescent="0.25">
      <c r="A21" s="37">
        <v>262</v>
      </c>
      <c r="B21">
        <v>111</v>
      </c>
      <c r="C21">
        <v>79</v>
      </c>
      <c r="D21">
        <v>130</v>
      </c>
      <c r="E21">
        <v>88</v>
      </c>
      <c r="F21" t="str">
        <f t="shared" si="0"/>
        <v>262-111,79,130,88</v>
      </c>
    </row>
    <row r="22" spans="1:6" x14ac:dyDescent="0.25">
      <c r="A22" s="37">
        <v>459</v>
      </c>
      <c r="B22">
        <v>111</v>
      </c>
      <c r="C22">
        <v>79</v>
      </c>
      <c r="D22">
        <v>130</v>
      </c>
      <c r="E22">
        <v>88</v>
      </c>
      <c r="F22" t="str">
        <f t="shared" si="0"/>
        <v>459-111,79,130,88</v>
      </c>
    </row>
    <row r="23" spans="1:6" x14ac:dyDescent="0.25">
      <c r="A23" s="37">
        <v>28240364</v>
      </c>
      <c r="B23">
        <v>111</v>
      </c>
      <c r="C23">
        <v>79</v>
      </c>
      <c r="D23">
        <v>130</v>
      </c>
      <c r="E23">
        <v>88</v>
      </c>
      <c r="F23" t="str">
        <f t="shared" si="0"/>
        <v>28240364-111,79,130,88</v>
      </c>
    </row>
    <row r="24" spans="1:6" x14ac:dyDescent="0.25">
      <c r="A24" s="37">
        <v>28280066</v>
      </c>
      <c r="B24">
        <v>111</v>
      </c>
      <c r="C24">
        <v>79</v>
      </c>
      <c r="D24">
        <v>130</v>
      </c>
      <c r="E24">
        <v>88</v>
      </c>
      <c r="F24" t="str">
        <f t="shared" si="0"/>
        <v>28280066-111,79,130,88</v>
      </c>
    </row>
    <row r="25" spans="1:6" x14ac:dyDescent="0.25">
      <c r="A25" s="37">
        <v>105920001</v>
      </c>
      <c r="B25">
        <v>111</v>
      </c>
      <c r="C25">
        <v>79</v>
      </c>
      <c r="D25">
        <v>130</v>
      </c>
      <c r="E25">
        <v>88</v>
      </c>
      <c r="F25" t="str">
        <f t="shared" si="0"/>
        <v>105920001-111,79,130,88</v>
      </c>
    </row>
    <row r="26" spans="1:6" x14ac:dyDescent="0.25">
      <c r="A26" s="37">
        <v>371</v>
      </c>
      <c r="B26">
        <v>111</v>
      </c>
      <c r="C26">
        <v>79</v>
      </c>
      <c r="D26">
        <v>130</v>
      </c>
      <c r="E26">
        <v>88</v>
      </c>
      <c r="F26" t="str">
        <f t="shared" si="0"/>
        <v>371-111,79,130,88</v>
      </c>
    </row>
    <row r="27" spans="1:6" x14ac:dyDescent="0.25">
      <c r="A27" s="37">
        <v>424</v>
      </c>
      <c r="B27">
        <v>111</v>
      </c>
      <c r="C27">
        <v>79</v>
      </c>
      <c r="D27">
        <v>130</v>
      </c>
      <c r="E27">
        <v>88</v>
      </c>
      <c r="F27" t="str">
        <f t="shared" si="0"/>
        <v>424-111,79,130,88</v>
      </c>
    </row>
    <row r="28" spans="1:6" x14ac:dyDescent="0.25">
      <c r="A28" s="37">
        <v>460</v>
      </c>
      <c r="B28">
        <v>111</v>
      </c>
      <c r="C28">
        <v>79</v>
      </c>
      <c r="D28">
        <v>130</v>
      </c>
      <c r="E28">
        <v>88</v>
      </c>
      <c r="F28" t="str">
        <f t="shared" si="0"/>
        <v>460-111,79,130,88</v>
      </c>
    </row>
    <row r="29" spans="1:6" x14ac:dyDescent="0.25">
      <c r="A29" s="37">
        <v>31</v>
      </c>
      <c r="B29">
        <v>111</v>
      </c>
      <c r="C29">
        <v>79</v>
      </c>
      <c r="D29">
        <v>130</v>
      </c>
      <c r="E29">
        <v>88</v>
      </c>
      <c r="F29" t="str">
        <f t="shared" si="0"/>
        <v>31-111,79,130,88</v>
      </c>
    </row>
    <row r="30" spans="1:6" x14ac:dyDescent="0.25">
      <c r="A30" s="37">
        <v>28280069</v>
      </c>
      <c r="B30">
        <v>111</v>
      </c>
      <c r="C30">
        <v>79</v>
      </c>
      <c r="D30">
        <v>130</v>
      </c>
      <c r="E30">
        <v>88</v>
      </c>
      <c r="F30" t="str">
        <f t="shared" si="0"/>
        <v>28280069-111,79,130,88</v>
      </c>
    </row>
    <row r="31" spans="1:6" x14ac:dyDescent="0.25">
      <c r="A31" s="37">
        <v>447</v>
      </c>
      <c r="B31">
        <v>111</v>
      </c>
      <c r="C31">
        <v>79</v>
      </c>
      <c r="D31">
        <v>130</v>
      </c>
      <c r="E31">
        <v>88</v>
      </c>
      <c r="F31" t="str">
        <f t="shared" si="0"/>
        <v>447-111,79,130,88</v>
      </c>
    </row>
    <row r="32" spans="1:6" x14ac:dyDescent="0.25">
      <c r="A32" s="38">
        <v>129</v>
      </c>
      <c r="B32">
        <v>111</v>
      </c>
      <c r="C32">
        <v>79</v>
      </c>
      <c r="D32">
        <v>130</v>
      </c>
      <c r="E32">
        <v>88</v>
      </c>
      <c r="F32" t="str">
        <f t="shared" si="0"/>
        <v>129-111,79,130,88</v>
      </c>
    </row>
    <row r="33" spans="1:6" x14ac:dyDescent="0.25">
      <c r="A33" s="38">
        <v>169</v>
      </c>
      <c r="B33">
        <v>111</v>
      </c>
      <c r="C33">
        <v>79</v>
      </c>
      <c r="D33">
        <v>130</v>
      </c>
      <c r="E33">
        <v>88</v>
      </c>
      <c r="F33" t="str">
        <f t="shared" si="0"/>
        <v>169-111,79,130,88</v>
      </c>
    </row>
    <row r="34" spans="1:6" x14ac:dyDescent="0.25">
      <c r="A34" s="38">
        <v>485</v>
      </c>
      <c r="B34">
        <v>111</v>
      </c>
      <c r="C34">
        <v>79</v>
      </c>
      <c r="D34">
        <v>130</v>
      </c>
      <c r="E34">
        <v>88</v>
      </c>
      <c r="F34" t="str">
        <f t="shared" si="0"/>
        <v>485-111,79,130,88</v>
      </c>
    </row>
    <row r="35" spans="1:6" x14ac:dyDescent="0.25">
      <c r="A35" s="38">
        <v>84</v>
      </c>
      <c r="B35">
        <v>111</v>
      </c>
      <c r="C35">
        <v>79</v>
      </c>
      <c r="D35">
        <v>130</v>
      </c>
      <c r="E35">
        <v>88</v>
      </c>
      <c r="F35" t="str">
        <f t="shared" si="0"/>
        <v>84-111,79,130,88</v>
      </c>
    </row>
    <row r="36" spans="1:6" x14ac:dyDescent="0.25">
      <c r="A36" s="38">
        <v>48</v>
      </c>
      <c r="B36">
        <v>111</v>
      </c>
      <c r="C36">
        <v>79</v>
      </c>
      <c r="D36">
        <v>130</v>
      </c>
      <c r="E36">
        <v>88</v>
      </c>
      <c r="F36" t="str">
        <f t="shared" si="0"/>
        <v>48-111,79,130,88</v>
      </c>
    </row>
    <row r="37" spans="1:6" x14ac:dyDescent="0.25">
      <c r="A37" s="38">
        <v>133</v>
      </c>
      <c r="B37">
        <v>111</v>
      </c>
      <c r="C37">
        <v>79</v>
      </c>
      <c r="D37">
        <v>130</v>
      </c>
      <c r="E37">
        <v>88</v>
      </c>
      <c r="F37" t="str">
        <f t="shared" si="0"/>
        <v>133-111,79,130,88</v>
      </c>
    </row>
    <row r="38" spans="1:6" x14ac:dyDescent="0.25">
      <c r="A38" s="38">
        <v>78</v>
      </c>
      <c r="B38">
        <v>111</v>
      </c>
      <c r="C38">
        <v>79</v>
      </c>
      <c r="D38">
        <v>130</v>
      </c>
      <c r="E38">
        <v>88</v>
      </c>
      <c r="F38" t="str">
        <f t="shared" si="0"/>
        <v>78-111,79,130,88</v>
      </c>
    </row>
    <row r="39" spans="1:6" x14ac:dyDescent="0.25">
      <c r="A39" s="38">
        <v>136</v>
      </c>
      <c r="B39">
        <v>111</v>
      </c>
      <c r="C39">
        <v>79</v>
      </c>
      <c r="D39">
        <v>130</v>
      </c>
      <c r="E39">
        <v>88</v>
      </c>
      <c r="F39" t="str">
        <f t="shared" si="0"/>
        <v>136-111,79,130,88</v>
      </c>
    </row>
    <row r="40" spans="1:6" x14ac:dyDescent="0.25">
      <c r="A40" s="38">
        <v>92</v>
      </c>
      <c r="B40">
        <v>111</v>
      </c>
      <c r="C40">
        <v>79</v>
      </c>
      <c r="D40">
        <v>130</v>
      </c>
      <c r="E40">
        <v>88</v>
      </c>
      <c r="F40" t="str">
        <f t="shared" si="0"/>
        <v>92-111,79,130,88</v>
      </c>
    </row>
    <row r="41" spans="1:6" x14ac:dyDescent="0.25">
      <c r="A41" s="38">
        <v>29</v>
      </c>
      <c r="B41">
        <v>111</v>
      </c>
      <c r="C41">
        <v>79</v>
      </c>
      <c r="D41">
        <v>130</v>
      </c>
      <c r="E41">
        <v>88</v>
      </c>
      <c r="F41" t="str">
        <f t="shared" si="0"/>
        <v>29-111,79,130,88</v>
      </c>
    </row>
    <row r="42" spans="1:6" x14ac:dyDescent="0.25">
      <c r="A42" s="38">
        <v>81</v>
      </c>
      <c r="B42">
        <v>111</v>
      </c>
      <c r="C42">
        <v>79</v>
      </c>
      <c r="D42">
        <v>130</v>
      </c>
      <c r="E42">
        <v>88</v>
      </c>
      <c r="F42" t="str">
        <f t="shared" si="0"/>
        <v>81-111,79,130,88</v>
      </c>
    </row>
    <row r="43" spans="1:6" x14ac:dyDescent="0.25">
      <c r="A43" s="38">
        <v>480</v>
      </c>
      <c r="B43">
        <v>111</v>
      </c>
      <c r="C43">
        <v>79</v>
      </c>
      <c r="D43">
        <v>130</v>
      </c>
      <c r="E43">
        <v>88</v>
      </c>
      <c r="F43" t="str">
        <f t="shared" si="0"/>
        <v>480-111,79,130,88</v>
      </c>
    </row>
    <row r="44" spans="1:6" x14ac:dyDescent="0.25">
      <c r="A44" s="38">
        <v>147</v>
      </c>
      <c r="B44">
        <v>111</v>
      </c>
      <c r="C44">
        <v>79</v>
      </c>
      <c r="D44">
        <v>130</v>
      </c>
      <c r="E44">
        <v>88</v>
      </c>
      <c r="F44" t="str">
        <f t="shared" si="0"/>
        <v>147-111,79,130,88</v>
      </c>
    </row>
    <row r="45" spans="1:6" x14ac:dyDescent="0.25">
      <c r="A45" s="38">
        <v>91</v>
      </c>
      <c r="B45">
        <v>111</v>
      </c>
      <c r="C45">
        <v>79</v>
      </c>
      <c r="D45">
        <v>130</v>
      </c>
      <c r="E45">
        <v>88</v>
      </c>
      <c r="F45" t="str">
        <f t="shared" si="0"/>
        <v>91-111,79,130,88</v>
      </c>
    </row>
    <row r="46" spans="1:6" x14ac:dyDescent="0.25">
      <c r="A46" s="38">
        <v>205</v>
      </c>
      <c r="B46">
        <v>111</v>
      </c>
      <c r="C46">
        <v>79</v>
      </c>
      <c r="D46">
        <v>130</v>
      </c>
      <c r="E46">
        <v>88</v>
      </c>
      <c r="F46" t="str">
        <f t="shared" si="0"/>
        <v>205-111,79,130,88</v>
      </c>
    </row>
    <row r="47" spans="1:6" x14ac:dyDescent="0.25">
      <c r="A47" s="38">
        <v>26</v>
      </c>
      <c r="B47">
        <v>111</v>
      </c>
      <c r="C47">
        <v>79</v>
      </c>
      <c r="D47">
        <v>130</v>
      </c>
      <c r="E47">
        <v>88</v>
      </c>
      <c r="F47" t="str">
        <f t="shared" si="0"/>
        <v>26-111,79,130,88</v>
      </c>
    </row>
    <row r="48" spans="1:6" x14ac:dyDescent="0.25">
      <c r="A48" s="38">
        <v>204</v>
      </c>
      <c r="B48">
        <v>111</v>
      </c>
      <c r="C48">
        <v>79</v>
      </c>
      <c r="D48">
        <v>130</v>
      </c>
      <c r="E48">
        <v>88</v>
      </c>
      <c r="F48" t="str">
        <f t="shared" si="0"/>
        <v>204-111,79,130,88</v>
      </c>
    </row>
    <row r="49" spans="1:6" x14ac:dyDescent="0.25">
      <c r="A49" s="38">
        <v>288</v>
      </c>
      <c r="B49">
        <v>111</v>
      </c>
      <c r="C49">
        <v>79</v>
      </c>
      <c r="D49">
        <v>130</v>
      </c>
      <c r="E49">
        <v>88</v>
      </c>
      <c r="F49" t="str">
        <f t="shared" si="0"/>
        <v>288-111,79,130,88</v>
      </c>
    </row>
    <row r="50" spans="1:6" x14ac:dyDescent="0.25">
      <c r="A50" s="38">
        <v>20057</v>
      </c>
      <c r="B50">
        <v>111</v>
      </c>
      <c r="C50">
        <v>79</v>
      </c>
      <c r="D50">
        <v>130</v>
      </c>
      <c r="E50">
        <v>88</v>
      </c>
      <c r="F50" t="str">
        <f t="shared" si="0"/>
        <v>20057-111,79,130,88</v>
      </c>
    </row>
    <row r="51" spans="1:6" x14ac:dyDescent="0.25">
      <c r="A51" s="38">
        <v>56</v>
      </c>
      <c r="B51">
        <v>111</v>
      </c>
      <c r="C51">
        <v>79</v>
      </c>
      <c r="D51">
        <v>130</v>
      </c>
      <c r="E51">
        <v>88</v>
      </c>
      <c r="F51" t="str">
        <f t="shared" si="0"/>
        <v>56-111,79,130,88</v>
      </c>
    </row>
    <row r="52" spans="1:6" x14ac:dyDescent="0.25">
      <c r="A52" s="38">
        <v>20017</v>
      </c>
      <c r="B52">
        <v>111</v>
      </c>
      <c r="C52">
        <v>79</v>
      </c>
      <c r="D52">
        <v>130</v>
      </c>
      <c r="E52">
        <v>88</v>
      </c>
      <c r="F52" t="str">
        <f t="shared" si="0"/>
        <v>20017-111,79,130,88</v>
      </c>
    </row>
    <row r="53" spans="1:6" x14ac:dyDescent="0.25">
      <c r="A53" s="38">
        <v>488</v>
      </c>
      <c r="B53">
        <v>111</v>
      </c>
      <c r="C53">
        <v>79</v>
      </c>
      <c r="D53">
        <v>130</v>
      </c>
      <c r="E53">
        <v>88</v>
      </c>
      <c r="F53" t="str">
        <f t="shared" si="0"/>
        <v>488-111,79,130,88</v>
      </c>
    </row>
    <row r="54" spans="1:6" x14ac:dyDescent="0.25">
      <c r="A54" s="38">
        <v>128</v>
      </c>
      <c r="B54">
        <v>111</v>
      </c>
      <c r="C54">
        <v>79</v>
      </c>
      <c r="D54">
        <v>130</v>
      </c>
      <c r="E54">
        <v>88</v>
      </c>
      <c r="F54" t="str">
        <f t="shared" si="0"/>
        <v>128-111,79,130,88</v>
      </c>
    </row>
    <row r="55" spans="1:6" x14ac:dyDescent="0.25">
      <c r="A55" s="38">
        <v>135</v>
      </c>
      <c r="B55">
        <v>111</v>
      </c>
      <c r="C55">
        <v>79</v>
      </c>
      <c r="D55">
        <v>130</v>
      </c>
      <c r="E55">
        <v>88</v>
      </c>
      <c r="F55" t="str">
        <f t="shared" si="0"/>
        <v>135-111,79,130,88</v>
      </c>
    </row>
    <row r="56" spans="1:6" x14ac:dyDescent="0.25">
      <c r="A56" s="38">
        <v>95</v>
      </c>
      <c r="B56">
        <v>111</v>
      </c>
      <c r="C56">
        <v>79</v>
      </c>
      <c r="D56">
        <v>130</v>
      </c>
      <c r="E56">
        <v>88</v>
      </c>
      <c r="F56" t="str">
        <f t="shared" si="0"/>
        <v>95-111,79,130,88</v>
      </c>
    </row>
    <row r="57" spans="1:6" x14ac:dyDescent="0.25">
      <c r="A57" s="38">
        <v>23</v>
      </c>
      <c r="B57">
        <v>111</v>
      </c>
      <c r="C57">
        <v>79</v>
      </c>
      <c r="D57">
        <v>130</v>
      </c>
      <c r="E57">
        <v>88</v>
      </c>
      <c r="F57" t="str">
        <f t="shared" si="0"/>
        <v>23-111,79,130,88</v>
      </c>
    </row>
    <row r="58" spans="1:6" x14ac:dyDescent="0.25">
      <c r="A58" s="38">
        <v>474</v>
      </c>
      <c r="B58">
        <v>111</v>
      </c>
      <c r="C58">
        <v>79</v>
      </c>
      <c r="D58">
        <v>130</v>
      </c>
      <c r="E58">
        <v>88</v>
      </c>
      <c r="F58" t="str">
        <f t="shared" si="0"/>
        <v>474-111,79,130,88</v>
      </c>
    </row>
    <row r="59" spans="1:6" x14ac:dyDescent="0.25">
      <c r="A59" s="38">
        <v>473</v>
      </c>
      <c r="B59">
        <v>111</v>
      </c>
      <c r="C59">
        <v>79</v>
      </c>
      <c r="D59">
        <v>130</v>
      </c>
      <c r="E59">
        <v>88</v>
      </c>
      <c r="F59" t="str">
        <f t="shared" si="0"/>
        <v>473-111,79,130,88</v>
      </c>
    </row>
    <row r="60" spans="1:6" x14ac:dyDescent="0.25">
      <c r="A60" s="38">
        <v>193</v>
      </c>
      <c r="B60">
        <v>111</v>
      </c>
      <c r="C60">
        <v>79</v>
      </c>
      <c r="D60">
        <v>130</v>
      </c>
      <c r="E60">
        <v>88</v>
      </c>
      <c r="F60" t="str">
        <f t="shared" si="0"/>
        <v>193-111,79,130,88</v>
      </c>
    </row>
    <row r="61" spans="1:6" x14ac:dyDescent="0.25">
      <c r="A61" s="38">
        <v>10290</v>
      </c>
      <c r="B61">
        <v>111</v>
      </c>
      <c r="C61">
        <v>79</v>
      </c>
      <c r="D61">
        <v>130</v>
      </c>
      <c r="E61">
        <v>88</v>
      </c>
      <c r="F61" t="str">
        <f t="shared" si="0"/>
        <v>10290-111,79,130,88</v>
      </c>
    </row>
    <row r="62" spans="1:6" x14ac:dyDescent="0.25">
      <c r="A62" s="38">
        <v>10619</v>
      </c>
      <c r="B62">
        <v>111</v>
      </c>
      <c r="C62">
        <v>79</v>
      </c>
      <c r="D62">
        <v>130</v>
      </c>
      <c r="E62">
        <v>88</v>
      </c>
      <c r="F62" t="str">
        <f t="shared" si="0"/>
        <v>10619-111,79,130,88</v>
      </c>
    </row>
    <row r="63" spans="1:6" x14ac:dyDescent="0.25">
      <c r="A63" s="38">
        <v>10664</v>
      </c>
      <c r="B63">
        <v>111</v>
      </c>
      <c r="C63">
        <v>79</v>
      </c>
      <c r="D63">
        <v>130</v>
      </c>
      <c r="E63">
        <v>88</v>
      </c>
      <c r="F63" t="str">
        <f t="shared" si="0"/>
        <v>10664-111,79,130,88</v>
      </c>
    </row>
    <row r="64" spans="1:6" x14ac:dyDescent="0.25">
      <c r="A64" s="38">
        <v>201</v>
      </c>
      <c r="B64">
        <v>111</v>
      </c>
      <c r="C64">
        <v>79</v>
      </c>
      <c r="D64">
        <v>130</v>
      </c>
      <c r="E64">
        <v>88</v>
      </c>
      <c r="F64" t="str">
        <f t="shared" si="0"/>
        <v>201-111,79,130,88</v>
      </c>
    </row>
    <row r="65" spans="1:6" x14ac:dyDescent="0.25">
      <c r="A65" s="38">
        <v>10228</v>
      </c>
      <c r="B65">
        <v>111</v>
      </c>
      <c r="C65">
        <v>79</v>
      </c>
      <c r="D65">
        <v>130</v>
      </c>
      <c r="E65">
        <v>88</v>
      </c>
      <c r="F65" t="str">
        <f t="shared" si="0"/>
        <v>10228-111,79,130,88</v>
      </c>
    </row>
    <row r="66" spans="1:6" x14ac:dyDescent="0.25">
      <c r="A66" s="38">
        <v>369</v>
      </c>
      <c r="B66">
        <v>111</v>
      </c>
      <c r="C66">
        <v>79</v>
      </c>
      <c r="D66">
        <v>130</v>
      </c>
      <c r="E66">
        <v>88</v>
      </c>
      <c r="F66" t="str">
        <f t="shared" si="0"/>
        <v>369-111,79,130,88</v>
      </c>
    </row>
    <row r="67" spans="1:6" x14ac:dyDescent="0.25">
      <c r="A67" s="38">
        <v>401</v>
      </c>
      <c r="B67">
        <v>111</v>
      </c>
      <c r="C67">
        <v>79</v>
      </c>
      <c r="D67">
        <v>130</v>
      </c>
      <c r="E67">
        <v>88</v>
      </c>
      <c r="F67" t="str">
        <f t="shared" ref="F67:F77" si="1">A67&amp;"-"&amp;B67&amp;","&amp;C67&amp;","&amp;D67&amp;","&amp;E67</f>
        <v>401-111,79,130,88</v>
      </c>
    </row>
    <row r="68" spans="1:6" x14ac:dyDescent="0.25">
      <c r="A68" s="38">
        <v>380</v>
      </c>
      <c r="B68">
        <v>111</v>
      </c>
      <c r="C68">
        <v>79</v>
      </c>
      <c r="D68">
        <v>130</v>
      </c>
      <c r="E68">
        <v>88</v>
      </c>
      <c r="F68" t="str">
        <f t="shared" si="1"/>
        <v>380-111,79,130,88</v>
      </c>
    </row>
    <row r="69" spans="1:6" x14ac:dyDescent="0.25">
      <c r="A69" s="38">
        <v>392</v>
      </c>
      <c r="B69">
        <v>111</v>
      </c>
      <c r="C69">
        <v>79</v>
      </c>
      <c r="D69">
        <v>130</v>
      </c>
      <c r="E69">
        <v>88</v>
      </c>
      <c r="F69" t="str">
        <f t="shared" si="1"/>
        <v>392-111,79,130,88</v>
      </c>
    </row>
    <row r="70" spans="1:6" x14ac:dyDescent="0.25">
      <c r="A70" s="38">
        <v>28280063</v>
      </c>
      <c r="B70">
        <v>111</v>
      </c>
      <c r="C70">
        <v>79</v>
      </c>
      <c r="D70">
        <v>130</v>
      </c>
      <c r="E70">
        <v>88</v>
      </c>
      <c r="F70" t="str">
        <f t="shared" si="1"/>
        <v>28280063-111,79,130,88</v>
      </c>
    </row>
    <row r="71" spans="1:6" x14ac:dyDescent="0.25">
      <c r="A71" s="38">
        <v>28280070</v>
      </c>
      <c r="B71">
        <v>111</v>
      </c>
      <c r="C71">
        <v>79</v>
      </c>
      <c r="D71">
        <v>130</v>
      </c>
      <c r="E71">
        <v>88</v>
      </c>
      <c r="F71" t="str">
        <f t="shared" si="1"/>
        <v>28280070-111,79,130,88</v>
      </c>
    </row>
    <row r="72" spans="1:6" x14ac:dyDescent="0.25">
      <c r="A72" s="38">
        <v>61</v>
      </c>
      <c r="B72">
        <v>111</v>
      </c>
      <c r="C72">
        <v>79</v>
      </c>
      <c r="D72">
        <v>130</v>
      </c>
      <c r="E72">
        <v>88</v>
      </c>
      <c r="F72" t="str">
        <f t="shared" si="1"/>
        <v>61-111,79,130,88</v>
      </c>
    </row>
    <row r="73" spans="1:6" x14ac:dyDescent="0.25">
      <c r="A73" s="38">
        <v>20040</v>
      </c>
      <c r="B73">
        <v>111</v>
      </c>
      <c r="C73">
        <v>79</v>
      </c>
      <c r="D73">
        <v>130</v>
      </c>
      <c r="E73">
        <v>88</v>
      </c>
      <c r="F73" t="str">
        <f t="shared" si="1"/>
        <v>20040-111,79,130,88</v>
      </c>
    </row>
    <row r="74" spans="1:6" x14ac:dyDescent="0.25">
      <c r="A74" s="38">
        <v>466</v>
      </c>
      <c r="B74">
        <v>111</v>
      </c>
      <c r="C74">
        <v>79</v>
      </c>
      <c r="D74">
        <v>130</v>
      </c>
      <c r="E74">
        <v>88</v>
      </c>
      <c r="F74" t="str">
        <f t="shared" si="1"/>
        <v>466-111,79,130,88</v>
      </c>
    </row>
    <row r="75" spans="1:6" x14ac:dyDescent="0.25">
      <c r="A75" s="38">
        <v>453</v>
      </c>
      <c r="B75">
        <v>111</v>
      </c>
      <c r="C75">
        <v>79</v>
      </c>
      <c r="D75">
        <v>130</v>
      </c>
      <c r="E75">
        <v>88</v>
      </c>
      <c r="F75" t="str">
        <f t="shared" si="1"/>
        <v>453-111,79,130,88</v>
      </c>
    </row>
    <row r="76" spans="1:6" x14ac:dyDescent="0.25">
      <c r="A76" s="38">
        <v>348</v>
      </c>
      <c r="B76">
        <v>111</v>
      </c>
      <c r="C76">
        <v>79</v>
      </c>
      <c r="D76">
        <v>130</v>
      </c>
      <c r="E76">
        <v>88</v>
      </c>
      <c r="F76" t="str">
        <f t="shared" si="1"/>
        <v>348-111,79,130,88</v>
      </c>
    </row>
    <row r="77" spans="1:6" x14ac:dyDescent="0.25">
      <c r="A77" s="38">
        <v>125</v>
      </c>
      <c r="B77">
        <v>111</v>
      </c>
      <c r="C77">
        <v>79</v>
      </c>
      <c r="D77">
        <v>130</v>
      </c>
      <c r="E77">
        <v>88</v>
      </c>
      <c r="F77" t="str">
        <f t="shared" si="1"/>
        <v>125-111,79,130,88</v>
      </c>
    </row>
    <row r="78" spans="1:6" x14ac:dyDescent="0.25">
      <c r="A78" s="38">
        <v>349</v>
      </c>
      <c r="B78">
        <v>111</v>
      </c>
      <c r="C78">
        <v>79</v>
      </c>
      <c r="D78">
        <v>130</v>
      </c>
      <c r="E78">
        <v>88</v>
      </c>
      <c r="F78" t="str">
        <f t="shared" ref="F78:F83" si="2">A78&amp;"-"&amp;B78&amp;","&amp;C78&amp;","&amp;D78&amp;","&amp;E78</f>
        <v>349-111,79,130,88</v>
      </c>
    </row>
    <row r="79" spans="1:6" x14ac:dyDescent="0.25">
      <c r="A79" s="38">
        <v>256</v>
      </c>
      <c r="B79">
        <v>111</v>
      </c>
      <c r="C79">
        <v>79</v>
      </c>
      <c r="D79">
        <v>130</v>
      </c>
      <c r="E79">
        <v>88</v>
      </c>
      <c r="F79" t="str">
        <f t="shared" si="2"/>
        <v>256-111,79,130,88</v>
      </c>
    </row>
    <row r="80" spans="1:6" x14ac:dyDescent="0.25">
      <c r="A80" s="38">
        <v>235</v>
      </c>
      <c r="B80">
        <v>111</v>
      </c>
      <c r="C80">
        <v>79</v>
      </c>
      <c r="D80">
        <v>130</v>
      </c>
      <c r="E80">
        <v>88</v>
      </c>
      <c r="F80" t="str">
        <f t="shared" si="2"/>
        <v>235-111,79,130,88</v>
      </c>
    </row>
    <row r="81" spans="1:6" x14ac:dyDescent="0.25">
      <c r="A81" s="38">
        <v>355</v>
      </c>
      <c r="B81">
        <v>111</v>
      </c>
      <c r="C81">
        <v>79</v>
      </c>
      <c r="D81">
        <v>130</v>
      </c>
      <c r="E81">
        <v>88</v>
      </c>
      <c r="F81" t="str">
        <f t="shared" si="2"/>
        <v>355-111,79,130,88</v>
      </c>
    </row>
    <row r="82" spans="1:6" x14ac:dyDescent="0.25">
      <c r="A82" s="38">
        <v>431</v>
      </c>
      <c r="B82">
        <v>111</v>
      </c>
      <c r="C82">
        <v>79</v>
      </c>
      <c r="D82">
        <v>130</v>
      </c>
      <c r="E82">
        <v>88</v>
      </c>
      <c r="F82" t="str">
        <f t="shared" si="2"/>
        <v>431-111,79,130,88</v>
      </c>
    </row>
    <row r="83" spans="1:6" x14ac:dyDescent="0.25">
      <c r="A83" s="38">
        <v>257</v>
      </c>
      <c r="B83">
        <v>111</v>
      </c>
      <c r="C83">
        <v>79</v>
      </c>
      <c r="D83">
        <v>130</v>
      </c>
      <c r="E83">
        <v>88</v>
      </c>
      <c r="F83" t="str">
        <f t="shared" si="2"/>
        <v>257-111,79,130,88</v>
      </c>
    </row>
  </sheetData>
  <conditionalFormatting sqref="A2:A25">
    <cfRule type="cellIs" dxfId="10" priority="11" operator="equal">
      <formula>0</formula>
    </cfRule>
  </conditionalFormatting>
  <conditionalFormatting sqref="A26">
    <cfRule type="cellIs" dxfId="9" priority="10" operator="equal">
      <formula>0</formula>
    </cfRule>
  </conditionalFormatting>
  <conditionalFormatting sqref="A27">
    <cfRule type="cellIs" dxfId="8" priority="9" operator="equal">
      <formula>0</formula>
    </cfRule>
  </conditionalFormatting>
  <conditionalFormatting sqref="A28">
    <cfRule type="cellIs" dxfId="7" priority="8" operator="equal">
      <formula>0</formula>
    </cfRule>
  </conditionalFormatting>
  <conditionalFormatting sqref="A32:A75">
    <cfRule type="cellIs" dxfId="6" priority="7" operator="equal">
      <formula>0</formula>
    </cfRule>
  </conditionalFormatting>
  <conditionalFormatting sqref="A76">
    <cfRule type="cellIs" dxfId="5" priority="6" operator="equal">
      <formula>0</formula>
    </cfRule>
  </conditionalFormatting>
  <conditionalFormatting sqref="A77">
    <cfRule type="cellIs" dxfId="4" priority="5" operator="equal">
      <formula>0</formula>
    </cfRule>
  </conditionalFormatting>
  <conditionalFormatting sqref="A78">
    <cfRule type="cellIs" dxfId="3" priority="4" operator="equal">
      <formula>0</formula>
    </cfRule>
  </conditionalFormatting>
  <conditionalFormatting sqref="A79">
    <cfRule type="cellIs" dxfId="2" priority="3" operator="equal">
      <formula>0</formula>
    </cfRule>
  </conditionalFormatting>
  <conditionalFormatting sqref="A80">
    <cfRule type="cellIs" dxfId="1" priority="2" operator="equal">
      <formula>0</formula>
    </cfRule>
  </conditionalFormatting>
  <conditionalFormatting sqref="A81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AY51"/>
  <sheetViews>
    <sheetView zoomScale="55" zoomScaleNormal="55" workbookViewId="0">
      <selection activeCell="AE40" sqref="AE40"/>
    </sheetView>
  </sheetViews>
  <sheetFormatPr defaultRowHeight="15" x14ac:dyDescent="0.25"/>
  <sheetData>
    <row r="1" spans="1:5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spans="1:51" x14ac:dyDescent="0.25">
      <c r="A2" s="2"/>
      <c r="B2" s="2"/>
      <c r="C2" s="2">
        <v>12</v>
      </c>
      <c r="D2" s="2">
        <v>13</v>
      </c>
      <c r="E2" s="2">
        <v>14</v>
      </c>
      <c r="F2" s="2">
        <v>15</v>
      </c>
      <c r="G2" s="2">
        <v>24</v>
      </c>
      <c r="H2" s="2">
        <v>28</v>
      </c>
      <c r="I2" s="2">
        <v>29</v>
      </c>
      <c r="J2" s="2">
        <v>30</v>
      </c>
      <c r="K2" s="2">
        <v>31</v>
      </c>
      <c r="L2" s="2">
        <v>32</v>
      </c>
      <c r="M2" s="2">
        <v>33</v>
      </c>
      <c r="N2" s="2">
        <v>34</v>
      </c>
      <c r="O2" s="2">
        <v>35</v>
      </c>
      <c r="P2" s="2">
        <v>36</v>
      </c>
      <c r="Q2" s="2">
        <v>37</v>
      </c>
      <c r="R2" s="2">
        <v>38</v>
      </c>
      <c r="S2" s="2">
        <v>39</v>
      </c>
      <c r="T2" s="2">
        <v>40</v>
      </c>
      <c r="U2" s="2">
        <v>41</v>
      </c>
      <c r="V2" s="2">
        <v>42</v>
      </c>
      <c r="W2" s="2">
        <v>43</v>
      </c>
      <c r="X2" s="2">
        <v>44</v>
      </c>
      <c r="Y2" s="2">
        <v>45</v>
      </c>
      <c r="Z2" s="2">
        <v>46</v>
      </c>
      <c r="AA2" s="2">
        <v>47</v>
      </c>
      <c r="AB2" s="2">
        <v>48</v>
      </c>
      <c r="AC2" s="2">
        <v>49</v>
      </c>
      <c r="AD2" s="2">
        <v>50</v>
      </c>
      <c r="AE2" s="2">
        <v>51</v>
      </c>
      <c r="AF2" s="2">
        <v>52</v>
      </c>
      <c r="AG2" s="2">
        <v>53</v>
      </c>
      <c r="AH2" s="2">
        <v>54</v>
      </c>
      <c r="AI2" s="2">
        <v>55</v>
      </c>
      <c r="AJ2" s="2">
        <v>56</v>
      </c>
      <c r="AK2" s="2">
        <v>57</v>
      </c>
      <c r="AL2" s="2">
        <v>58</v>
      </c>
      <c r="AM2" s="2">
        <v>59</v>
      </c>
      <c r="AN2" s="2">
        <v>60</v>
      </c>
      <c r="AO2" s="2">
        <v>61</v>
      </c>
      <c r="AP2" s="2">
        <v>62</v>
      </c>
      <c r="AQ2" s="2">
        <v>63</v>
      </c>
      <c r="AR2" s="2">
        <v>64</v>
      </c>
      <c r="AS2" s="20">
        <v>66</v>
      </c>
      <c r="AT2" s="20">
        <v>67</v>
      </c>
      <c r="AU2" s="20">
        <v>68</v>
      </c>
      <c r="AV2" s="20">
        <v>69</v>
      </c>
      <c r="AW2" s="20">
        <v>70</v>
      </c>
      <c r="AX2" s="20">
        <v>71</v>
      </c>
      <c r="AY2" s="20">
        <v>72</v>
      </c>
    </row>
    <row r="3" spans="1:51" x14ac:dyDescent="0.25">
      <c r="A3" s="2"/>
      <c r="B3" s="2">
        <v>12</v>
      </c>
      <c r="C3">
        <v>0</v>
      </c>
      <c r="D3">
        <v>0</v>
      </c>
      <c r="E3">
        <v>0</v>
      </c>
      <c r="F3">
        <v>0</v>
      </c>
      <c r="G3">
        <v>0.16384499999999999</v>
      </c>
      <c r="H3">
        <v>5.4489650000000003</v>
      </c>
      <c r="I3">
        <v>0</v>
      </c>
      <c r="J3">
        <v>0</v>
      </c>
      <c r="K3">
        <v>5.7029999999999997E-3</v>
      </c>
      <c r="L3">
        <v>0</v>
      </c>
      <c r="M3">
        <v>3.1386999999999998E-2</v>
      </c>
      <c r="N3">
        <v>154.49371300000001</v>
      </c>
      <c r="O3">
        <v>0</v>
      </c>
      <c r="P3">
        <v>0</v>
      </c>
      <c r="Q3">
        <v>0</v>
      </c>
      <c r="R3">
        <v>0</v>
      </c>
      <c r="S3">
        <v>25.159351000000001</v>
      </c>
      <c r="T3">
        <v>622.73648300000002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4.8200000000000001E-4</v>
      </c>
      <c r="AF3">
        <v>0</v>
      </c>
      <c r="AG3">
        <v>0</v>
      </c>
      <c r="AH3">
        <v>0</v>
      </c>
      <c r="AI3">
        <v>0</v>
      </c>
      <c r="AJ3">
        <v>0</v>
      </c>
      <c r="AK3">
        <v>11.852857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</row>
    <row r="4" spans="1:51" x14ac:dyDescent="0.25">
      <c r="A4" s="2"/>
      <c r="B4" s="2">
        <v>13</v>
      </c>
      <c r="C4">
        <v>0</v>
      </c>
      <c r="D4">
        <v>0</v>
      </c>
      <c r="E4">
        <v>100.01555399999999</v>
      </c>
      <c r="F4">
        <v>0</v>
      </c>
      <c r="G4">
        <v>839.62167199999999</v>
      </c>
      <c r="H4" s="29">
        <v>4387.9160449999999</v>
      </c>
      <c r="I4">
        <v>0</v>
      </c>
      <c r="J4">
        <v>0</v>
      </c>
      <c r="K4">
        <v>41.836120000000001</v>
      </c>
      <c r="L4">
        <v>0</v>
      </c>
      <c r="M4">
        <v>108.935329</v>
      </c>
      <c r="N4" s="29">
        <v>1096.6979920000001</v>
      </c>
      <c r="O4">
        <v>0</v>
      </c>
      <c r="P4">
        <v>0</v>
      </c>
      <c r="Q4">
        <v>0</v>
      </c>
      <c r="R4">
        <v>0</v>
      </c>
      <c r="S4">
        <v>149.06109699999999</v>
      </c>
      <c r="T4">
        <v>261.10074400000002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264.11020100000002</v>
      </c>
      <c r="AC4">
        <v>0</v>
      </c>
      <c r="AD4">
        <v>0</v>
      </c>
      <c r="AE4">
        <v>4.181127</v>
      </c>
      <c r="AF4">
        <v>0</v>
      </c>
      <c r="AG4">
        <v>0</v>
      </c>
      <c r="AH4">
        <v>0</v>
      </c>
      <c r="AI4">
        <v>0</v>
      </c>
      <c r="AJ4">
        <v>0</v>
      </c>
      <c r="AK4">
        <v>524.33211800000004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21.104008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</row>
    <row r="5" spans="1:51" x14ac:dyDescent="0.25">
      <c r="A5" s="2"/>
      <c r="B5" s="2">
        <v>14</v>
      </c>
      <c r="C5">
        <v>0</v>
      </c>
      <c r="D5">
        <v>0</v>
      </c>
      <c r="E5">
        <v>0</v>
      </c>
      <c r="F5">
        <v>110.03598700000001</v>
      </c>
      <c r="G5">
        <v>50.624927</v>
      </c>
      <c r="H5">
        <v>70.690916999999999</v>
      </c>
      <c r="I5">
        <v>0</v>
      </c>
      <c r="J5">
        <v>0</v>
      </c>
      <c r="K5">
        <v>1.1350279999999999</v>
      </c>
      <c r="L5">
        <v>0</v>
      </c>
      <c r="M5">
        <v>0.57265299999999997</v>
      </c>
      <c r="N5">
        <v>130.02765199999999</v>
      </c>
      <c r="O5">
        <v>0</v>
      </c>
      <c r="P5">
        <v>0</v>
      </c>
      <c r="Q5">
        <v>0</v>
      </c>
      <c r="R5">
        <v>0</v>
      </c>
      <c r="S5">
        <v>572.61981900000001</v>
      </c>
      <c r="T5">
        <v>33.503476999999997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5.5542000000000001E-2</v>
      </c>
      <c r="AF5">
        <v>0</v>
      </c>
      <c r="AG5">
        <v>0</v>
      </c>
      <c r="AH5">
        <v>0</v>
      </c>
      <c r="AI5">
        <v>0</v>
      </c>
      <c r="AJ5">
        <v>0</v>
      </c>
      <c r="AK5">
        <v>50.636159999999997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</row>
    <row r="6" spans="1:51" x14ac:dyDescent="0.25">
      <c r="A6" s="2"/>
      <c r="B6" s="2">
        <v>15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</row>
    <row r="7" spans="1:51" x14ac:dyDescent="0.25">
      <c r="A7" s="2"/>
      <c r="B7" s="2">
        <v>24</v>
      </c>
      <c r="C7">
        <v>27.976216000000001</v>
      </c>
      <c r="D7">
        <v>0</v>
      </c>
      <c r="E7">
        <v>88.583483000000001</v>
      </c>
      <c r="F7">
        <v>1184.7052779999999</v>
      </c>
      <c r="G7">
        <v>0</v>
      </c>
      <c r="H7">
        <v>6.5210720000000002</v>
      </c>
      <c r="I7">
        <v>0</v>
      </c>
      <c r="J7">
        <v>0</v>
      </c>
      <c r="K7">
        <v>0</v>
      </c>
      <c r="L7">
        <v>0</v>
      </c>
      <c r="M7">
        <v>0</v>
      </c>
      <c r="N7">
        <v>121.76491799999999</v>
      </c>
      <c r="O7">
        <v>0</v>
      </c>
      <c r="P7">
        <v>28.584205999999998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18.128727999999999</v>
      </c>
      <c r="AA7">
        <v>0</v>
      </c>
      <c r="AB7">
        <v>55.576365000000003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123.785466</v>
      </c>
      <c r="AL7">
        <v>0</v>
      </c>
      <c r="AM7">
        <v>3.3199990000000001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72.152710999999996</v>
      </c>
      <c r="AU7">
        <v>0</v>
      </c>
      <c r="AV7">
        <v>0</v>
      </c>
      <c r="AW7">
        <v>0</v>
      </c>
      <c r="AX7">
        <v>540.00340400000005</v>
      </c>
      <c r="AY7">
        <v>0</v>
      </c>
    </row>
    <row r="8" spans="1:51" x14ac:dyDescent="0.25">
      <c r="A8" s="2"/>
      <c r="B8" s="2">
        <v>28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</row>
    <row r="9" spans="1:51" x14ac:dyDescent="0.25">
      <c r="A9" s="2"/>
      <c r="B9" s="2">
        <v>29</v>
      </c>
      <c r="C9">
        <v>140.03563700000001</v>
      </c>
      <c r="D9">
        <v>0</v>
      </c>
      <c r="E9">
        <v>56.581629</v>
      </c>
      <c r="F9" s="29">
        <v>2678.2353389999998</v>
      </c>
      <c r="G9">
        <v>1.1136999999999999E-2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 s="2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1410.178555</v>
      </c>
      <c r="W9">
        <v>0</v>
      </c>
      <c r="X9">
        <v>1590.2013489999999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203.55356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899.21205899999995</v>
      </c>
      <c r="AT9">
        <v>0</v>
      </c>
      <c r="AU9">
        <v>0</v>
      </c>
      <c r="AV9">
        <v>187.905474</v>
      </c>
      <c r="AW9">
        <v>0</v>
      </c>
      <c r="AX9">
        <v>412.39952699999998</v>
      </c>
      <c r="AY9">
        <v>0</v>
      </c>
    </row>
    <row r="10" spans="1:51" x14ac:dyDescent="0.25">
      <c r="A10" s="2"/>
      <c r="B10" s="2">
        <v>30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459.63504799999998</v>
      </c>
      <c r="N10" s="29">
        <v>2602.4629960000002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1198.8241310000001</v>
      </c>
      <c r="AG10">
        <v>319.81948899999998</v>
      </c>
      <c r="AH10">
        <v>0</v>
      </c>
      <c r="AI10">
        <v>0</v>
      </c>
      <c r="AJ10">
        <v>169.825909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78.684471000000002</v>
      </c>
      <c r="AR10">
        <v>21.978145999999999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</row>
    <row r="11" spans="1:51" x14ac:dyDescent="0.25">
      <c r="A11" s="2"/>
      <c r="B11" s="2">
        <v>31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</row>
    <row r="12" spans="1:51" x14ac:dyDescent="0.25">
      <c r="A12" s="2"/>
      <c r="B12" s="2">
        <v>32</v>
      </c>
      <c r="C12">
        <v>27.473403999999999</v>
      </c>
      <c r="D12">
        <v>0</v>
      </c>
      <c r="E12">
        <v>14.079155</v>
      </c>
      <c r="F12">
        <v>372.86512699999997</v>
      </c>
      <c r="G12">
        <v>0.15898599999999999</v>
      </c>
      <c r="H12">
        <v>577.21093199999996</v>
      </c>
      <c r="I12">
        <v>0</v>
      </c>
      <c r="J12">
        <v>0</v>
      </c>
      <c r="K12" s="29">
        <v>809.90152399999999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9.9734859999999994</v>
      </c>
      <c r="T12">
        <v>10.001010000000001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21.612524000000001</v>
      </c>
      <c r="AC12">
        <v>0</v>
      </c>
      <c r="AD12">
        <v>0</v>
      </c>
      <c r="AE12">
        <v>28.567550000000001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47.487155999999999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340.15706</v>
      </c>
      <c r="AV12">
        <v>0</v>
      </c>
      <c r="AW12">
        <v>0</v>
      </c>
      <c r="AX12">
        <v>0</v>
      </c>
      <c r="AY12">
        <v>0</v>
      </c>
    </row>
    <row r="13" spans="1:51" x14ac:dyDescent="0.25">
      <c r="A13" s="2"/>
      <c r="B13" s="2">
        <v>33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</row>
    <row r="14" spans="1:51" x14ac:dyDescent="0.25">
      <c r="A14" s="2"/>
      <c r="B14" s="2">
        <v>34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</row>
    <row r="15" spans="1:51" x14ac:dyDescent="0.25">
      <c r="A15" s="2"/>
      <c r="B15" s="2">
        <v>35</v>
      </c>
      <c r="C15">
        <v>129.67823999999999</v>
      </c>
      <c r="D15">
        <v>0</v>
      </c>
      <c r="E15">
        <v>25.252956000000001</v>
      </c>
      <c r="F15" s="29">
        <v>1543.3362340000001</v>
      </c>
      <c r="G15">
        <v>346.89741600000002</v>
      </c>
      <c r="H15">
        <v>1280.4867810000001</v>
      </c>
      <c r="I15">
        <v>0</v>
      </c>
      <c r="J15">
        <v>0</v>
      </c>
      <c r="K15" s="29">
        <v>960.83500200000003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596.33201299999996</v>
      </c>
      <c r="AC15">
        <v>0</v>
      </c>
      <c r="AD15">
        <v>0</v>
      </c>
      <c r="AE15">
        <v>785.52555600000005</v>
      </c>
      <c r="AF15">
        <v>0</v>
      </c>
      <c r="AG15">
        <v>0</v>
      </c>
      <c r="AH15">
        <v>0</v>
      </c>
      <c r="AI15">
        <v>1370.768544</v>
      </c>
      <c r="AJ15">
        <v>0</v>
      </c>
      <c r="AK15">
        <v>0</v>
      </c>
      <c r="AL15">
        <v>154.45878300000001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941.98896200000001</v>
      </c>
      <c r="AV15">
        <v>0</v>
      </c>
      <c r="AW15">
        <v>0</v>
      </c>
      <c r="AX15">
        <v>0</v>
      </c>
      <c r="AY15">
        <v>0</v>
      </c>
    </row>
    <row r="16" spans="1:51" x14ac:dyDescent="0.25">
      <c r="A16" s="2"/>
      <c r="B16" s="2">
        <v>36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</row>
    <row r="17" spans="1:51" x14ac:dyDescent="0.25">
      <c r="A17" s="2"/>
      <c r="B17" s="2">
        <v>37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546.19583699999998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960.17001700000003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499.52752400000003</v>
      </c>
      <c r="AO17">
        <v>0</v>
      </c>
      <c r="AP17">
        <v>0</v>
      </c>
      <c r="AQ17">
        <v>1231.967922</v>
      </c>
      <c r="AR17">
        <v>0</v>
      </c>
      <c r="AS17">
        <v>0</v>
      </c>
      <c r="AT17">
        <v>71.678691000000001</v>
      </c>
      <c r="AU17">
        <v>0</v>
      </c>
      <c r="AV17">
        <v>0</v>
      </c>
      <c r="AW17">
        <v>0</v>
      </c>
      <c r="AX17">
        <v>0</v>
      </c>
      <c r="AY17">
        <v>0</v>
      </c>
    </row>
    <row r="18" spans="1:51" x14ac:dyDescent="0.25">
      <c r="A18" s="2"/>
      <c r="B18" s="2">
        <v>38</v>
      </c>
      <c r="C18">
        <v>0</v>
      </c>
      <c r="D18">
        <v>0</v>
      </c>
      <c r="E18">
        <v>0</v>
      </c>
      <c r="F18">
        <v>0</v>
      </c>
      <c r="G18">
        <v>0</v>
      </c>
      <c r="H18" s="29">
        <v>619.77747099999999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</row>
    <row r="19" spans="1:51" x14ac:dyDescent="0.25">
      <c r="A19" s="2"/>
      <c r="B19" s="2">
        <v>39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</row>
    <row r="20" spans="1:51" x14ac:dyDescent="0.25">
      <c r="A20" s="2"/>
      <c r="B20" s="2">
        <v>40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</row>
    <row r="21" spans="1:51" x14ac:dyDescent="0.25">
      <c r="A21" s="2"/>
      <c r="B21" s="2">
        <v>41</v>
      </c>
      <c r="C21">
        <v>0</v>
      </c>
      <c r="D21">
        <v>0</v>
      </c>
      <c r="E21">
        <v>0</v>
      </c>
      <c r="F21">
        <v>0</v>
      </c>
      <c r="G21">
        <v>0</v>
      </c>
      <c r="H21" s="29">
        <v>619.51174900000001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</row>
    <row r="22" spans="1:51" x14ac:dyDescent="0.25">
      <c r="A22" s="2"/>
      <c r="B22" s="2">
        <v>42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</row>
    <row r="23" spans="1:51" x14ac:dyDescent="0.25">
      <c r="A23" s="2"/>
      <c r="B23" s="2">
        <v>43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77.846621999999996</v>
      </c>
      <c r="N23">
        <v>297.30256800000001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134.14144899999999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17.360014</v>
      </c>
      <c r="AS23">
        <v>112.011563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</row>
    <row r="24" spans="1:51" x14ac:dyDescent="0.25">
      <c r="A24" s="2"/>
      <c r="B24" s="2">
        <v>44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</row>
    <row r="25" spans="1:51" x14ac:dyDescent="0.25">
      <c r="A25" s="2"/>
      <c r="B25" s="2">
        <v>45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52.565612000000002</v>
      </c>
      <c r="N25">
        <v>196.39657099999999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306.32268099999999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39.642977000000002</v>
      </c>
      <c r="AS25">
        <v>73.554232999999996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</row>
    <row r="26" spans="1:51" x14ac:dyDescent="0.25">
      <c r="A26" s="2"/>
      <c r="B26" s="2">
        <v>46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159.89585199999999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</row>
    <row r="27" spans="1:51" x14ac:dyDescent="0.25">
      <c r="A27" s="2"/>
      <c r="B27" s="2">
        <v>47</v>
      </c>
      <c r="C27">
        <v>0</v>
      </c>
      <c r="D27">
        <v>0</v>
      </c>
      <c r="E27">
        <v>0</v>
      </c>
      <c r="F27">
        <v>0</v>
      </c>
      <c r="G27">
        <v>5.1905080000000003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50.845618000000002</v>
      </c>
      <c r="AO27">
        <v>0</v>
      </c>
      <c r="AP27">
        <v>0</v>
      </c>
      <c r="AQ27">
        <v>91.558920999999998</v>
      </c>
      <c r="AR27">
        <v>0</v>
      </c>
      <c r="AS27">
        <v>0</v>
      </c>
      <c r="AT27">
        <v>192.33905300000001</v>
      </c>
      <c r="AU27">
        <v>0</v>
      </c>
      <c r="AV27">
        <v>0</v>
      </c>
      <c r="AW27">
        <v>0</v>
      </c>
      <c r="AX27">
        <v>0</v>
      </c>
      <c r="AY27">
        <v>0</v>
      </c>
    </row>
    <row r="28" spans="1:51" x14ac:dyDescent="0.25">
      <c r="A28" s="2"/>
      <c r="B28" s="2">
        <v>48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</row>
    <row r="29" spans="1:51" x14ac:dyDescent="0.25">
      <c r="A29" s="2"/>
      <c r="B29" s="2">
        <v>49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69.906678999999997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</row>
    <row r="30" spans="1:51" x14ac:dyDescent="0.25">
      <c r="A30" s="2"/>
      <c r="B30" s="2">
        <v>50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509.32008999999999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</row>
    <row r="31" spans="1:51" x14ac:dyDescent="0.25">
      <c r="A31" s="2"/>
      <c r="B31" s="2">
        <v>51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</row>
    <row r="32" spans="1:51" x14ac:dyDescent="0.25">
      <c r="A32" s="2"/>
      <c r="B32" s="2">
        <v>52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</row>
    <row r="33" spans="1:51" x14ac:dyDescent="0.25">
      <c r="A33" s="2"/>
      <c r="B33" s="2">
        <v>53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</row>
    <row r="34" spans="1:51" x14ac:dyDescent="0.25">
      <c r="A34" s="2"/>
      <c r="B34" s="2">
        <v>54</v>
      </c>
      <c r="C34">
        <v>6.4725330000000003</v>
      </c>
      <c r="D34">
        <v>0</v>
      </c>
      <c r="E34">
        <v>0.76850200000000002</v>
      </c>
      <c r="F34">
        <v>643.74144999999999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4.8820000000000001E-3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1.256E-2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1.6260000000000001E-3</v>
      </c>
      <c r="AS34">
        <v>0</v>
      </c>
      <c r="AT34">
        <v>1.7069000000000001E-2</v>
      </c>
      <c r="AU34">
        <v>0</v>
      </c>
      <c r="AV34">
        <v>0</v>
      </c>
      <c r="AW34">
        <v>0</v>
      </c>
      <c r="AX34">
        <v>0</v>
      </c>
      <c r="AY34">
        <v>0</v>
      </c>
    </row>
    <row r="35" spans="1:51" x14ac:dyDescent="0.25">
      <c r="A35" s="2"/>
      <c r="B35" s="2">
        <v>55</v>
      </c>
      <c r="C35">
        <v>0.44823400000000002</v>
      </c>
      <c r="D35">
        <v>0</v>
      </c>
      <c r="E35">
        <v>0.20873800000000001</v>
      </c>
      <c r="F35">
        <v>8.674868</v>
      </c>
      <c r="G35">
        <v>1.5562100000000001</v>
      </c>
      <c r="H35">
        <v>79.767227000000005</v>
      </c>
      <c r="I35">
        <v>0</v>
      </c>
      <c r="J35">
        <v>0</v>
      </c>
      <c r="K35">
        <v>40.382117000000001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2.280157</v>
      </c>
      <c r="T35">
        <v>27.849025999999999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117.633419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0.26312000000000002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</row>
    <row r="36" spans="1:51" x14ac:dyDescent="0.25">
      <c r="A36" s="2"/>
      <c r="B36" s="2">
        <v>56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90.000570999999994</v>
      </c>
    </row>
    <row r="37" spans="1:51" x14ac:dyDescent="0.25">
      <c r="A37" s="2"/>
      <c r="B37" s="2">
        <v>57</v>
      </c>
      <c r="C37">
        <v>0</v>
      </c>
      <c r="D37">
        <v>0</v>
      </c>
      <c r="E37">
        <v>0</v>
      </c>
      <c r="F37">
        <v>0</v>
      </c>
      <c r="G37">
        <v>0</v>
      </c>
      <c r="H37">
        <v>41.408344999999997</v>
      </c>
      <c r="I37">
        <v>0</v>
      </c>
      <c r="J37">
        <v>0</v>
      </c>
      <c r="K37">
        <v>5.6867190000000001</v>
      </c>
      <c r="L37">
        <v>0</v>
      </c>
      <c r="M37">
        <v>65.770396000000005</v>
      </c>
      <c r="N37">
        <v>187.72068300000001</v>
      </c>
      <c r="O37">
        <v>0</v>
      </c>
      <c r="P37">
        <v>0</v>
      </c>
      <c r="Q37">
        <v>0</v>
      </c>
      <c r="R37">
        <v>0</v>
      </c>
      <c r="S37">
        <v>124.68037099999999</v>
      </c>
      <c r="T37">
        <v>1.7502850000000001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1.078114</v>
      </c>
      <c r="AC37">
        <v>0</v>
      </c>
      <c r="AD37">
        <v>0</v>
      </c>
      <c r="AE37">
        <v>1.3189519999999999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</row>
    <row r="38" spans="1:51" x14ac:dyDescent="0.25">
      <c r="A38" s="2"/>
      <c r="B38" s="2">
        <v>58</v>
      </c>
      <c r="C38">
        <v>54.280279999999998</v>
      </c>
      <c r="D38">
        <v>0</v>
      </c>
      <c r="E38">
        <v>31.446966</v>
      </c>
      <c r="F38">
        <v>714.75748399999998</v>
      </c>
      <c r="G38">
        <v>157.15039400000001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43.393887999999997</v>
      </c>
      <c r="AY38">
        <v>0</v>
      </c>
    </row>
    <row r="39" spans="1:51" x14ac:dyDescent="0.25">
      <c r="A39" s="2"/>
      <c r="B39" s="2">
        <v>59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65.443835000000007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44.439762999999999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</row>
    <row r="40" spans="1:51" x14ac:dyDescent="0.25">
      <c r="A40" s="2"/>
      <c r="B40" s="2">
        <v>60</v>
      </c>
      <c r="C40">
        <v>0</v>
      </c>
      <c r="D40">
        <v>0</v>
      </c>
      <c r="E40">
        <v>0</v>
      </c>
      <c r="F40">
        <v>0</v>
      </c>
      <c r="G40">
        <v>0.116981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418.99467499999997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</row>
    <row r="41" spans="1:51" x14ac:dyDescent="0.25">
      <c r="A41" s="2"/>
      <c r="B41" s="2">
        <v>61</v>
      </c>
      <c r="C41">
        <v>0.32413799999999998</v>
      </c>
      <c r="D41">
        <v>0</v>
      </c>
      <c r="E41">
        <v>6.6919000000000006E-2</v>
      </c>
      <c r="F41">
        <v>3.4114140000000002</v>
      </c>
      <c r="G41">
        <v>1.6541E-2</v>
      </c>
      <c r="H41">
        <v>10.065951999999999</v>
      </c>
      <c r="I41">
        <v>0</v>
      </c>
      <c r="J41">
        <v>0</v>
      </c>
      <c r="K41">
        <v>13.360682000000001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2.308014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0.34605900000000001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</row>
    <row r="42" spans="1:51" x14ac:dyDescent="0.25">
      <c r="A42" s="2"/>
      <c r="B42" s="2">
        <v>62</v>
      </c>
      <c r="C42">
        <v>0</v>
      </c>
      <c r="D42">
        <v>0</v>
      </c>
      <c r="E42">
        <v>0</v>
      </c>
      <c r="F42">
        <v>0</v>
      </c>
      <c r="G42">
        <v>450.021298</v>
      </c>
      <c r="H42">
        <v>145.57104799999999</v>
      </c>
      <c r="I42">
        <v>0</v>
      </c>
      <c r="J42">
        <v>0</v>
      </c>
      <c r="K42">
        <v>69.547926000000004</v>
      </c>
      <c r="L42">
        <v>0</v>
      </c>
      <c r="M42">
        <v>0</v>
      </c>
      <c r="N42">
        <v>124.004323</v>
      </c>
      <c r="O42">
        <v>0</v>
      </c>
      <c r="P42">
        <v>602.95323800000006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309.09899200000001</v>
      </c>
      <c r="AA42">
        <v>0</v>
      </c>
      <c r="AB42">
        <v>0</v>
      </c>
      <c r="AC42">
        <v>0</v>
      </c>
      <c r="AD42">
        <v>0</v>
      </c>
      <c r="AE42">
        <v>8.6224469999999993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476.57666399999999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84.515725000000003</v>
      </c>
      <c r="AU42">
        <v>0</v>
      </c>
      <c r="AV42">
        <v>0</v>
      </c>
      <c r="AW42">
        <v>999.70374800000002</v>
      </c>
      <c r="AX42">
        <v>0</v>
      </c>
      <c r="AY42">
        <v>0</v>
      </c>
    </row>
    <row r="43" spans="1:51" x14ac:dyDescent="0.25">
      <c r="A43" s="2"/>
      <c r="B43" s="2">
        <v>63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</row>
    <row r="44" spans="1:51" x14ac:dyDescent="0.25">
      <c r="A44" s="2"/>
      <c r="B44" s="2">
        <v>64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</row>
    <row r="45" spans="1:51" x14ac:dyDescent="0.25">
      <c r="A45" s="2"/>
      <c r="B45" s="20">
        <v>66</v>
      </c>
      <c r="C45">
        <v>153.15748600000001</v>
      </c>
      <c r="D45">
        <v>0</v>
      </c>
      <c r="E45">
        <v>132.921685</v>
      </c>
      <c r="F45">
        <v>177.93420499999999</v>
      </c>
      <c r="G45">
        <v>183.20551900000001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283.54833400000001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173.27615900000001</v>
      </c>
      <c r="AY45">
        <v>0</v>
      </c>
    </row>
    <row r="46" spans="1:51" x14ac:dyDescent="0.25">
      <c r="B46" s="20">
        <v>67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419.95374099999998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</row>
    <row r="47" spans="1:51" x14ac:dyDescent="0.25">
      <c r="B47" s="20">
        <v>68</v>
      </c>
      <c r="C47">
        <v>0</v>
      </c>
      <c r="D47">
        <v>0</v>
      </c>
      <c r="E47">
        <v>0</v>
      </c>
      <c r="F47">
        <v>0</v>
      </c>
      <c r="G47">
        <v>56.581314999999996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924.31752900000004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78.967481000000006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222.81081699999999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</row>
    <row r="48" spans="1:51" x14ac:dyDescent="0.25">
      <c r="B48" s="20">
        <v>69</v>
      </c>
      <c r="C48">
        <v>0</v>
      </c>
      <c r="D48">
        <v>0</v>
      </c>
      <c r="E48">
        <v>0</v>
      </c>
      <c r="F48">
        <v>0</v>
      </c>
      <c r="G48">
        <v>38.047161000000003</v>
      </c>
      <c r="H48">
        <v>0</v>
      </c>
      <c r="I48">
        <v>0</v>
      </c>
      <c r="J48">
        <v>0</v>
      </c>
      <c r="K48">
        <v>0</v>
      </c>
      <c r="L48">
        <v>0</v>
      </c>
      <c r="M48">
        <v>5.2082000000000003E-2</v>
      </c>
      <c r="N48">
        <v>0.13886599999999999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0.16641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149.82541399999999</v>
      </c>
      <c r="AR48">
        <v>0</v>
      </c>
      <c r="AS48">
        <v>5.7947030000000002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</row>
    <row r="49" spans="2:51" x14ac:dyDescent="0.25">
      <c r="B49" s="20">
        <v>70</v>
      </c>
      <c r="C49">
        <v>0</v>
      </c>
      <c r="D49">
        <v>0</v>
      </c>
      <c r="E49">
        <v>0</v>
      </c>
      <c r="F49">
        <v>0</v>
      </c>
      <c r="G49">
        <v>0</v>
      </c>
      <c r="H49">
        <v>78.561625000000006</v>
      </c>
      <c r="I49">
        <v>0</v>
      </c>
      <c r="J49">
        <v>0</v>
      </c>
      <c r="K49">
        <v>10.789078</v>
      </c>
      <c r="L49">
        <v>0</v>
      </c>
      <c r="M49">
        <v>124.782314</v>
      </c>
      <c r="N49">
        <v>356.15144199999997</v>
      </c>
      <c r="O49">
        <v>0</v>
      </c>
      <c r="P49">
        <v>0</v>
      </c>
      <c r="Q49">
        <v>0</v>
      </c>
      <c r="R49">
        <v>0</v>
      </c>
      <c r="S49">
        <v>236.548755</v>
      </c>
      <c r="T49">
        <v>3.3207119999999999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2.045442</v>
      </c>
      <c r="AC49">
        <v>0</v>
      </c>
      <c r="AD49">
        <v>0</v>
      </c>
      <c r="AE49">
        <v>2.5023719999999998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174.735726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2:51" x14ac:dyDescent="0.25">
      <c r="B50" s="20">
        <v>71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1170.0074239999999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</row>
    <row r="51" spans="2:51" x14ac:dyDescent="0.25">
      <c r="B51" s="20">
        <v>72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70C0"/>
  </sheetPr>
  <dimension ref="A1:AY51"/>
  <sheetViews>
    <sheetView zoomScale="55" zoomScaleNormal="55" workbookViewId="0">
      <pane xSplit="2" ySplit="2" topLeftCell="C3" activePane="bottomRight" state="frozen"/>
      <selection activeCell="AS3" sqref="AS3"/>
      <selection pane="topRight" activeCell="AS3" sqref="AS3"/>
      <selection pane="bottomLeft" activeCell="AS3" sqref="AS3"/>
      <selection pane="bottomRight" sqref="A1:AY51"/>
    </sheetView>
  </sheetViews>
  <sheetFormatPr defaultRowHeight="15" x14ac:dyDescent="0.25"/>
  <cols>
    <col min="1" max="1" width="9.85546875" bestFit="1" customWidth="1"/>
    <col min="3" max="3" width="9.85546875" bestFit="1" customWidth="1"/>
  </cols>
  <sheetData>
    <row r="1" spans="1:51" x14ac:dyDescent="0.25">
      <c r="A1" s="4">
        <v>3</v>
      </c>
      <c r="B1" s="4"/>
      <c r="C1" s="4">
        <f>IF(VLOOKUP(C2,Freeway_Zone_Link_Mapping!$A:$C,3,FALSE)&lt;&gt;"",VLOOKUP(C2,Freeway_Zone_Link_Mapping!$A:$C,3,FALSE),"")</f>
        <v>105920061</v>
      </c>
      <c r="D1" s="4" t="str">
        <f>IF(VLOOKUP(D2,Freeway_Zone_Link_Mapping!$A:$C,3,FALSE)&lt;&gt;"",VLOOKUP(D2,Freeway_Zone_Link_Mapping!$A:$C,3,FALSE),"")</f>
        <v/>
      </c>
      <c r="E1" s="4">
        <f>IF(VLOOKUP(E2,Freeway_Zone_Link_Mapping!$A:$C,3,FALSE)&lt;&gt;"",VLOOKUP(E2,Freeway_Zone_Link_Mapping!$A:$C,3,FALSE),"")</f>
        <v>105920056</v>
      </c>
      <c r="F1" s="4">
        <f>IF(VLOOKUP(F2,Freeway_Zone_Link_Mapping!$A:$C,3,FALSE)&lt;&gt;"",VLOOKUP(F2,Freeway_Zone_Link_Mapping!$A:$C,3,FALSE),"")</f>
        <v>308</v>
      </c>
      <c r="G1" s="4">
        <f>IF(VLOOKUP(G2,Freeway_Zone_Link_Mapping!$A:$C,3,FALSE)&lt;&gt;"",VLOOKUP(G2,Freeway_Zone_Link_Mapping!$A:$C,3,FALSE),"")</f>
        <v>389</v>
      </c>
      <c r="H1" s="4">
        <f>IF(VLOOKUP(H2,Freeway_Zone_Link_Mapping!$A:$C,3,FALSE)&lt;&gt;"",VLOOKUP(H2,Freeway_Zone_Link_Mapping!$A:$C,3,FALSE),"")</f>
        <v>189</v>
      </c>
      <c r="I1" s="4" t="str">
        <f>IF(VLOOKUP(I2,Freeway_Zone_Link_Mapping!$A:$C,3,FALSE)&lt;&gt;"",VLOOKUP(I2,Freeway_Zone_Link_Mapping!$A:$C,3,FALSE),"")</f>
        <v/>
      </c>
      <c r="J1" s="4" t="str">
        <f>IF(VLOOKUP(J2,Freeway_Zone_Link_Mapping!$A:$C,3,FALSE)&lt;&gt;"",VLOOKUP(J2,Freeway_Zone_Link_Mapping!$A:$C,3,FALSE),"")</f>
        <v/>
      </c>
      <c r="K1" s="4">
        <f>IF(VLOOKUP(K2,Freeway_Zone_Link_Mapping!$A:$C,3,FALSE)&lt;&gt;"",VLOOKUP(K2,Freeway_Zone_Link_Mapping!$A:$C,3,FALSE),"")</f>
        <v>321</v>
      </c>
      <c r="L1" s="4" t="str">
        <f>IF(VLOOKUP(L2,Freeway_Zone_Link_Mapping!$A:$C,3,FALSE)&lt;&gt;"",VLOOKUP(L2,Freeway_Zone_Link_Mapping!$A:$C,3,FALSE),"")</f>
        <v/>
      </c>
      <c r="M1" s="4">
        <f>IF(VLOOKUP(M2,Freeway_Zone_Link_Mapping!$A:$C,3,FALSE)&lt;&gt;"",VLOOKUP(M2,Freeway_Zone_Link_Mapping!$A:$C,3,FALSE),"")</f>
        <v>323</v>
      </c>
      <c r="N1" s="4">
        <f>IF(VLOOKUP(N2,Freeway_Zone_Link_Mapping!$A:$C,3,FALSE)&lt;&gt;"",VLOOKUP(N2,Freeway_Zone_Link_Mapping!$A:$C,3,FALSE),"")</f>
        <v>43</v>
      </c>
      <c r="O1" s="4" t="str">
        <f>IF(VLOOKUP(O2,Freeway_Zone_Link_Mapping!$A:$C,3,FALSE)&lt;&gt;"",VLOOKUP(O2,Freeway_Zone_Link_Mapping!$A:$C,3,FALSE),"")</f>
        <v/>
      </c>
      <c r="P1" s="4">
        <f>IF(VLOOKUP(P2,Freeway_Zone_Link_Mapping!$A:$C,3,FALSE)&lt;&gt;"",VLOOKUP(P2,Freeway_Zone_Link_Mapping!$A:$C,3,FALSE),"")</f>
        <v>190</v>
      </c>
      <c r="Q1" s="4" t="str">
        <f>IF(VLOOKUP(Q2,Freeway_Zone_Link_Mapping!$A:$C,3,FALSE)&lt;&gt;"",VLOOKUP(Q2,Freeway_Zone_Link_Mapping!$A:$C,3,FALSE),"")</f>
        <v/>
      </c>
      <c r="R1" s="4" t="str">
        <f>IF(VLOOKUP(R2,Freeway_Zone_Link_Mapping!$A:$C,3,FALSE)&lt;&gt;"",VLOOKUP(R2,Freeway_Zone_Link_Mapping!$A:$C,3,FALSE),"")</f>
        <v/>
      </c>
      <c r="S1" s="4">
        <f>IF(VLOOKUP(S2,Freeway_Zone_Link_Mapping!$A:$C,3,FALSE)&lt;&gt;"",VLOOKUP(S2,Freeway_Zone_Link_Mapping!$A:$C,3,FALSE),"")</f>
        <v>10228</v>
      </c>
      <c r="T1" s="4">
        <f>IF(VLOOKUP(T2,Freeway_Zone_Link_Mapping!$A:$C,3,FALSE)&lt;&gt;"",VLOOKUP(T2,Freeway_Zone_Link_Mapping!$A:$C,3,FALSE),"")</f>
        <v>10619</v>
      </c>
      <c r="U1" s="4" t="str">
        <f>IF(VLOOKUP(U2,Freeway_Zone_Link_Mapping!$A:$C,3,FALSE)&lt;&gt;"",VLOOKUP(U2,Freeway_Zone_Link_Mapping!$A:$C,3,FALSE),"")</f>
        <v/>
      </c>
      <c r="V1" s="4">
        <f>IF(VLOOKUP(V2,Freeway_Zone_Link_Mapping!$A:$C,3,FALSE)&lt;&gt;"",VLOOKUP(V2,Freeway_Zone_Link_Mapping!$A:$C,3,FALSE),"")</f>
        <v>10290</v>
      </c>
      <c r="W1" s="4" t="str">
        <f>IF(VLOOKUP(W2,Freeway_Zone_Link_Mapping!$A:$C,3,FALSE)&lt;&gt;"",VLOOKUP(W2,Freeway_Zone_Link_Mapping!$A:$C,3,FALSE),"")</f>
        <v/>
      </c>
      <c r="X1" s="4">
        <f>IF(VLOOKUP(X2,Freeway_Zone_Link_Mapping!$A:$C,3,FALSE)&lt;&gt;"",VLOOKUP(X2,Freeway_Zone_Link_Mapping!$A:$C,3,FALSE),"")</f>
        <v>10664</v>
      </c>
      <c r="Y1" s="4" t="str">
        <f>IF(VLOOKUP(Y2,Freeway_Zone_Link_Mapping!$A:$C,3,FALSE)&lt;&gt;"",VLOOKUP(Y2,Freeway_Zone_Link_Mapping!$A:$C,3,FALSE),"")</f>
        <v/>
      </c>
      <c r="Z1" s="4">
        <f>IF(VLOOKUP(Z2,Freeway_Zone_Link_Mapping!$A:$C,3,FALSE)&lt;&gt;"",VLOOKUP(Z2,Freeway_Zone_Link_Mapping!$A:$C,3,FALSE),"")</f>
        <v>201</v>
      </c>
      <c r="AA1" s="4">
        <f>IF(VLOOKUP(AA2,Freeway_Zone_Link_Mapping!$A:$C,3,FALSE)&lt;&gt;"",VLOOKUP(AA2,Freeway_Zone_Link_Mapping!$A:$C,3,FALSE),"")</f>
        <v>193</v>
      </c>
      <c r="AB1" s="4">
        <f>IF(VLOOKUP(AB2,Freeway_Zone_Link_Mapping!$A:$C,3,FALSE)&lt;&gt;"",VLOOKUP(AB2,Freeway_Zone_Link_Mapping!$A:$C,3,FALSE),"")</f>
        <v>369</v>
      </c>
      <c r="AC1" s="4" t="str">
        <f>IF(VLOOKUP(AC2,Freeway_Zone_Link_Mapping!$A:$C,3,FALSE)&lt;&gt;"",VLOOKUP(AC2,Freeway_Zone_Link_Mapping!$A:$C,3,FALSE),"")</f>
        <v/>
      </c>
      <c r="AD1" s="4" t="str">
        <f>IF(VLOOKUP(AD2,Freeway_Zone_Link_Mapping!$A:$C,3,FALSE)&lt;&gt;"",VLOOKUP(AD2,Freeway_Zone_Link_Mapping!$A:$C,3,FALSE),"")</f>
        <v/>
      </c>
      <c r="AE1" s="4">
        <f>IF(VLOOKUP(AE2,Freeway_Zone_Link_Mapping!$A:$C,3,FALSE)&lt;&gt;"",VLOOKUP(AE2,Freeway_Zone_Link_Mapping!$A:$C,3,FALSE),"")</f>
        <v>380</v>
      </c>
      <c r="AF1" s="4">
        <f>IF(VLOOKUP(AF2,Freeway_Zone_Link_Mapping!$A:$C,3,FALSE)&lt;&gt;"",VLOOKUP(AF2,Freeway_Zone_Link_Mapping!$A:$C,3,FALSE),"")</f>
        <v>401</v>
      </c>
      <c r="AG1" s="4">
        <f>IF(VLOOKUP(AG2,Freeway_Zone_Link_Mapping!$A:$C,3,FALSE)&lt;&gt;"",VLOOKUP(AG2,Freeway_Zone_Link_Mapping!$A:$C,3,FALSE),"")</f>
        <v>392</v>
      </c>
      <c r="AH1" s="4" t="str">
        <f>IF(VLOOKUP(AH2,Freeway_Zone_Link_Mapping!$A:$C,3,FALSE)&lt;&gt;"",VLOOKUP(AH2,Freeway_Zone_Link_Mapping!$A:$C,3,FALSE),"")</f>
        <v/>
      </c>
      <c r="AI1" s="4">
        <f>IF(VLOOKUP(AI2,Freeway_Zone_Link_Mapping!$A:$C,3,FALSE)&lt;&gt;"",VLOOKUP(AI2,Freeway_Zone_Link_Mapping!$A:$C,3,FALSE),"")</f>
        <v>61</v>
      </c>
      <c r="AJ1" s="4">
        <f>IF(VLOOKUP(AJ2,Freeway_Zone_Link_Mapping!$A:$C,3,FALSE)&lt;&gt;"",VLOOKUP(AJ2,Freeway_Zone_Link_Mapping!$A:$C,3,FALSE),"")</f>
        <v>20040</v>
      </c>
      <c r="AK1" s="4">
        <f>IF(VLOOKUP(AK2,Freeway_Zone_Link_Mapping!$A:$C,3,FALSE)&lt;&gt;"",VLOOKUP(AK2,Freeway_Zone_Link_Mapping!$A:$C,3,FALSE),"")</f>
        <v>466</v>
      </c>
      <c r="AL1" s="4">
        <f>IF(VLOOKUP(AL2,Freeway_Zone_Link_Mapping!$A:$C,3,FALSE)&lt;&gt;"",VLOOKUP(AL2,Freeway_Zone_Link_Mapping!$A:$C,3,FALSE),"")</f>
        <v>453</v>
      </c>
      <c r="AM1" s="4">
        <f>IF(VLOOKUP(AM2,Freeway_Zone_Link_Mapping!$A:$C,3,FALSE)&lt;&gt;"",VLOOKUP(AM2,Freeway_Zone_Link_Mapping!$A:$C,3,FALSE),"")</f>
        <v>28280063</v>
      </c>
      <c r="AN1" s="4">
        <f>IF(VLOOKUP(AN2,Freeway_Zone_Link_Mapping!$A:$C,3,FALSE)&lt;&gt;"",VLOOKUP(AN2,Freeway_Zone_Link_Mapping!$A:$C,3,FALSE),"")</f>
        <v>28280070</v>
      </c>
      <c r="AO1" s="4" t="str">
        <f>IF(VLOOKUP(AO2,Freeway_Zone_Link_Mapping!$A:$C,3,FALSE)&lt;&gt;"",VLOOKUP(AO2,Freeway_Zone_Link_Mapping!$A:$C,3,FALSE),"")</f>
        <v/>
      </c>
      <c r="AP1" s="4" t="str">
        <f>IF(VLOOKUP(AP2,Freeway_Zone_Link_Mapping!$A:$C,3,FALSE)&lt;&gt;"",VLOOKUP(AP2,Freeway_Zone_Link_Mapping!$A:$C,3,FALSE),"")</f>
        <v/>
      </c>
      <c r="AQ1" s="4">
        <f>IF(VLOOKUP(AQ2,Freeway_Zone_Link_Mapping!$A:$C,3,FALSE)&lt;&gt;"",VLOOKUP(AQ2,Freeway_Zone_Link_Mapping!$A:$C,3,FALSE),"")</f>
        <v>434</v>
      </c>
      <c r="AR1" s="4">
        <f>IF(VLOOKUP(AR2,Freeway_Zone_Link_Mapping!$A:$C,3,FALSE)&lt;&gt;"",VLOOKUP(AR2,Freeway_Zone_Link_Mapping!$A:$C,3,FALSE),"")</f>
        <v>42</v>
      </c>
      <c r="AS1" s="4">
        <f>IF(VLOOKUP(AS2,Freeway_Zone_Link_Mapping!$A:$C,3,FALSE)&lt;&gt;"",VLOOKUP(AS2,Freeway_Zone_Link_Mapping!$A:$C,3,FALSE),"")</f>
        <v>460</v>
      </c>
      <c r="AT1" s="4">
        <f>IF(VLOOKUP(AT2,Freeway_Zone_Link_Mapping!$A:$C,3,FALSE)&lt;&gt;"",VLOOKUP(AT2,Freeway_Zone_Link_Mapping!$A:$C,3,FALSE),"")</f>
        <v>31</v>
      </c>
      <c r="AU1" s="4">
        <f>IF(VLOOKUP(AU2,Freeway_Zone_Link_Mapping!$A:$C,3,FALSE)&lt;&gt;"",VLOOKUP(AU2,Freeway_Zone_Link_Mapping!$A:$C,3,FALSE),"")</f>
        <v>28280069</v>
      </c>
      <c r="AV1" s="4">
        <f>IF(VLOOKUP(AV2,Freeway_Zone_Link_Mapping!$A:$C,3,FALSE)&lt;&gt;"",VLOOKUP(AV2,Freeway_Zone_Link_Mapping!$A:$C,3,FALSE),"")</f>
        <v>447</v>
      </c>
      <c r="AW1" s="4">
        <f>IF(VLOOKUP(AW2,Freeway_Zone_Link_Mapping!$A:$C,3,FALSE)&lt;&gt;"",VLOOKUP(AW2,Freeway_Zone_Link_Mapping!$A:$C,3,FALSE),"")</f>
        <v>523</v>
      </c>
      <c r="AX1" s="4">
        <f>IF(VLOOKUP(AX2,Freeway_Zone_Link_Mapping!$A:$C,3,FALSE)&lt;&gt;"",VLOOKUP(AX2,Freeway_Zone_Link_Mapping!$A:$C,3,FALSE),"")</f>
        <v>522</v>
      </c>
      <c r="AY1" s="4">
        <f>IF(VLOOKUP(AY2,Freeway_Zone_Link_Mapping!$A:$C,3,FALSE)&lt;&gt;"",VLOOKUP(AY2,Freeway_Zone_Link_Mapping!$A:$C,3,FALSE),"")</f>
        <v>42</v>
      </c>
    </row>
    <row r="2" spans="1:51" x14ac:dyDescent="0.25">
      <c r="A2" s="4"/>
      <c r="B2" s="4"/>
      <c r="C2" s="4">
        <v>12</v>
      </c>
      <c r="D2" s="4">
        <v>13</v>
      </c>
      <c r="E2" s="4">
        <v>14</v>
      </c>
      <c r="F2" s="4">
        <v>15</v>
      </c>
      <c r="G2" s="4">
        <v>24</v>
      </c>
      <c r="H2" s="4">
        <v>28</v>
      </c>
      <c r="I2" s="4">
        <v>29</v>
      </c>
      <c r="J2" s="4">
        <v>30</v>
      </c>
      <c r="K2" s="4">
        <v>31</v>
      </c>
      <c r="L2" s="4">
        <v>32</v>
      </c>
      <c r="M2" s="4">
        <v>33</v>
      </c>
      <c r="N2" s="4">
        <v>34</v>
      </c>
      <c r="O2" s="4">
        <v>35</v>
      </c>
      <c r="P2" s="4">
        <v>36</v>
      </c>
      <c r="Q2" s="4">
        <v>37</v>
      </c>
      <c r="R2" s="4">
        <v>38</v>
      </c>
      <c r="S2" s="4">
        <v>39</v>
      </c>
      <c r="T2" s="4">
        <v>40</v>
      </c>
      <c r="U2" s="4">
        <v>41</v>
      </c>
      <c r="V2" s="4">
        <v>42</v>
      </c>
      <c r="W2" s="4">
        <v>43</v>
      </c>
      <c r="X2" s="4">
        <v>44</v>
      </c>
      <c r="Y2" s="4">
        <v>45</v>
      </c>
      <c r="Z2" s="4">
        <v>46</v>
      </c>
      <c r="AA2" s="4">
        <v>47</v>
      </c>
      <c r="AB2" s="4">
        <v>48</v>
      </c>
      <c r="AC2" s="4">
        <v>49</v>
      </c>
      <c r="AD2" s="4">
        <v>50</v>
      </c>
      <c r="AE2" s="4">
        <v>51</v>
      </c>
      <c r="AF2" s="4">
        <v>52</v>
      </c>
      <c r="AG2" s="4">
        <v>53</v>
      </c>
      <c r="AH2" s="4">
        <v>54</v>
      </c>
      <c r="AI2" s="4">
        <v>55</v>
      </c>
      <c r="AJ2" s="4">
        <v>56</v>
      </c>
      <c r="AK2" s="4">
        <v>57</v>
      </c>
      <c r="AL2" s="4">
        <v>58</v>
      </c>
      <c r="AM2" s="4">
        <v>59</v>
      </c>
      <c r="AN2" s="4">
        <v>60</v>
      </c>
      <c r="AO2" s="4">
        <v>61</v>
      </c>
      <c r="AP2" s="4">
        <v>62</v>
      </c>
      <c r="AQ2" s="4">
        <v>63</v>
      </c>
      <c r="AR2" s="4">
        <v>64</v>
      </c>
      <c r="AS2" s="20">
        <v>66</v>
      </c>
      <c r="AT2" s="20">
        <v>67</v>
      </c>
      <c r="AU2" s="20">
        <v>68</v>
      </c>
      <c r="AV2" s="20">
        <v>69</v>
      </c>
      <c r="AW2" s="20">
        <v>70</v>
      </c>
      <c r="AX2" s="20">
        <v>71</v>
      </c>
      <c r="AY2" s="20">
        <v>72</v>
      </c>
    </row>
    <row r="3" spans="1:51" x14ac:dyDescent="0.25">
      <c r="A3" s="4">
        <f>IF(VLOOKUP(B3,Freeway_Zone_Link_Mapping!$A:$C,2,FALSE)&lt;&gt;"",VLOOKUP(B3,Freeway_Zone_Link_Mapping!$A:$C,2,FALSE),"")</f>
        <v>105920028</v>
      </c>
      <c r="B3" s="4">
        <v>12</v>
      </c>
      <c r="C3">
        <f>IF(AND(COUNTIF(Control!$D$20:$D$100,$B3)=0,COUNTIF(Control!$D$20:$D$100,C$2)=0),VISUM_Freeway_OD!C3*Control!$B$2,0)</f>
        <v>0</v>
      </c>
      <c r="D3">
        <f>IF(AND(COUNTIF(Control!$D$20:$D$100,$B3)=0,COUNTIF(Control!$D$20:$D$100,D$2)=0),VISUM_Freeway_OD!D3*Control!$B$2,0)</f>
        <v>0</v>
      </c>
      <c r="E3">
        <f>IF(AND(COUNTIF(Control!$D$20:$D$100,$B3)=0,COUNTIF(Control!$D$20:$D$100,E$2)=0),VISUM_Freeway_OD!E3*Control!$B$2,0)</f>
        <v>0</v>
      </c>
      <c r="F3">
        <f>IF(AND(COUNTIF(Control!$D$20:$D$100,$B3)=0,COUNTIF(Control!$D$20:$D$100,F$2)=0),VISUM_Freeway_OD!F3*Control!$B$2,0)</f>
        <v>0</v>
      </c>
      <c r="G3">
        <f>IF(AND(COUNTIF(Control!$D$20:$D$100,$B3)=0,COUNTIF(Control!$D$20:$D$100,G$2)=0),VISUM_Freeway_OD!G3*Control!$B$2,0)</f>
        <v>0</v>
      </c>
      <c r="H3">
        <f>IF(AND(COUNTIF(Control!$D$20:$D$100,$B3)=0,COUNTIF(Control!$D$20:$D$100,H$2)=0),VISUM_Freeway_OD!H3*Control!$B$2,0)</f>
        <v>0.16346895</v>
      </c>
      <c r="I3">
        <f>IF(AND(COUNTIF(Control!$D$20:$D$100,$B3)=0,COUNTIF(Control!$D$20:$D$100,I$2)=0),VISUM_Freeway_OD!I3*Control!$B$2,0)</f>
        <v>0</v>
      </c>
      <c r="J3">
        <f>IF(AND(COUNTIF(Control!$D$20:$D$100,$B3)=0,COUNTIF(Control!$D$20:$D$100,J$2)=0),VISUM_Freeway_OD!J3*Control!$B$2,0)</f>
        <v>0</v>
      </c>
      <c r="K3">
        <f>IF(AND(COUNTIF(Control!$D$20:$D$100,$B3)=0,COUNTIF(Control!$D$20:$D$100,K$2)=0),VISUM_Freeway_OD!K3*Control!$B$2,0)</f>
        <v>1.7108999999999999E-4</v>
      </c>
      <c r="L3">
        <f>IF(AND(COUNTIF(Control!$D$20:$D$100,$B3)=0,COUNTIF(Control!$D$20:$D$100,L$2)=0),VISUM_Freeway_OD!L3*Control!$B$2,0)</f>
        <v>0</v>
      </c>
      <c r="M3">
        <f>IF(AND(COUNTIF(Control!$D$20:$D$100,$B3)=0,COUNTIF(Control!$D$20:$D$100,M$2)=0),VISUM_Freeway_OD!M3*Control!$B$2,0)</f>
        <v>9.4160999999999995E-4</v>
      </c>
      <c r="N3">
        <f>IF(AND(COUNTIF(Control!$D$20:$D$100,$B3)=0,COUNTIF(Control!$D$20:$D$100,N$2)=0),VISUM_Freeway_OD!N3*Control!$B$2,0)</f>
        <v>4.6348113900000003</v>
      </c>
      <c r="O3">
        <f>IF(AND(COUNTIF(Control!$D$20:$D$100,$B3)=0,COUNTIF(Control!$D$20:$D$100,O$2)=0),VISUM_Freeway_OD!O3*Control!$B$2,0)</f>
        <v>0</v>
      </c>
      <c r="P3">
        <f>IF(AND(COUNTIF(Control!$D$20:$D$100,$B3)=0,COUNTIF(Control!$D$20:$D$100,P$2)=0),VISUM_Freeway_OD!P3*Control!$B$2,0)</f>
        <v>0</v>
      </c>
      <c r="Q3">
        <f>IF(AND(COUNTIF(Control!$D$20:$D$100,$B3)=0,COUNTIF(Control!$D$20:$D$100,Q$2)=0),VISUM_Freeway_OD!Q3*Control!$B$2,0)</f>
        <v>0</v>
      </c>
      <c r="R3">
        <f>IF(AND(COUNTIF(Control!$D$20:$D$100,$B3)=0,COUNTIF(Control!$D$20:$D$100,R$2)=0),VISUM_Freeway_OD!R3*Control!$B$2,0)</f>
        <v>0</v>
      </c>
      <c r="S3">
        <f>IF(AND(COUNTIF(Control!$D$20:$D$100,$B3)=0,COUNTIF(Control!$D$20:$D$100,S$2)=0),VISUM_Freeway_OD!S3*Control!$B$2,0)</f>
        <v>0.75478053000000001</v>
      </c>
      <c r="T3">
        <f>IF(AND(COUNTIF(Control!$D$20:$D$100,$B3)=0,COUNTIF(Control!$D$20:$D$100,T$2)=0),VISUM_Freeway_OD!T3*Control!$B$2,0)</f>
        <v>18.682094490000001</v>
      </c>
      <c r="U3">
        <f>IF(AND(COUNTIF(Control!$D$20:$D$100,$B3)=0,COUNTIF(Control!$D$20:$D$100,U$2)=0),VISUM_Freeway_OD!U3*Control!$B$2,0)</f>
        <v>0</v>
      </c>
      <c r="V3">
        <f>IF(AND(COUNTIF(Control!$D$20:$D$100,$B3)=0,COUNTIF(Control!$D$20:$D$100,V$2)=0),VISUM_Freeway_OD!V3*Control!$B$2,0)</f>
        <v>0</v>
      </c>
      <c r="W3">
        <f>IF(AND(COUNTIF(Control!$D$20:$D$100,$B3)=0,COUNTIF(Control!$D$20:$D$100,W$2)=0),VISUM_Freeway_OD!W3*Control!$B$2,0)</f>
        <v>0</v>
      </c>
      <c r="X3">
        <f>IF(AND(COUNTIF(Control!$D$20:$D$100,$B3)=0,COUNTIF(Control!$D$20:$D$100,X$2)=0),VISUM_Freeway_OD!X3*Control!$B$2,0)</f>
        <v>0</v>
      </c>
      <c r="Y3">
        <f>IF(AND(COUNTIF(Control!$D$20:$D$100,$B3)=0,COUNTIF(Control!$D$20:$D$100,Y$2)=0),VISUM_Freeway_OD!Y3*Control!$B$2,0)</f>
        <v>0</v>
      </c>
      <c r="Z3">
        <f>IF(AND(COUNTIF(Control!$D$20:$D$100,$B3)=0,COUNTIF(Control!$D$20:$D$100,Z$2)=0),VISUM_Freeway_OD!Z3*Control!$B$2,0)</f>
        <v>0</v>
      </c>
      <c r="AA3">
        <f>IF(AND(COUNTIF(Control!$D$20:$D$100,$B3)=0,COUNTIF(Control!$D$20:$D$100,AA$2)=0),VISUM_Freeway_OD!AA3*Control!$B$2,0)</f>
        <v>0</v>
      </c>
      <c r="AB3">
        <f>IF(AND(COUNTIF(Control!$D$20:$D$100,$B3)=0,COUNTIF(Control!$D$20:$D$100,AB$2)=0),VISUM_Freeway_OD!AB3*Control!$B$2,0)</f>
        <v>0</v>
      </c>
      <c r="AC3">
        <f>IF(AND(COUNTIF(Control!$D$20:$D$100,$B3)=0,COUNTIF(Control!$D$20:$D$100,AC$2)=0),VISUM_Freeway_OD!AC3*Control!$B$2,0)</f>
        <v>0</v>
      </c>
      <c r="AD3">
        <f>IF(AND(COUNTIF(Control!$D$20:$D$100,$B3)=0,COUNTIF(Control!$D$20:$D$100,AD$2)=0),VISUM_Freeway_OD!AD3*Control!$B$2,0)</f>
        <v>0</v>
      </c>
      <c r="AE3">
        <f>IF(AND(COUNTIF(Control!$D$20:$D$100,$B3)=0,COUNTIF(Control!$D$20:$D$100,AE$2)=0),VISUM_Freeway_OD!AE3*Control!$B$2,0)</f>
        <v>1.446E-5</v>
      </c>
      <c r="AF3">
        <f>IF(AND(COUNTIF(Control!$D$20:$D$100,$B3)=0,COUNTIF(Control!$D$20:$D$100,AF$2)=0),VISUM_Freeway_OD!AF3*Control!$B$2,0)</f>
        <v>0</v>
      </c>
      <c r="AG3">
        <f>IF(AND(COUNTIF(Control!$D$20:$D$100,$B3)=0,COUNTIF(Control!$D$20:$D$100,AG$2)=0),VISUM_Freeway_OD!AG3*Control!$B$2,0)</f>
        <v>0</v>
      </c>
      <c r="AH3">
        <f>IF(AND(COUNTIF(Control!$D$20:$D$100,$B3)=0,COUNTIF(Control!$D$20:$D$100,AH$2)=0),VISUM_Freeway_OD!AH3*Control!$B$2,0)</f>
        <v>0</v>
      </c>
      <c r="AI3">
        <f>IF(AND(COUNTIF(Control!$D$20:$D$100,$B3)=0,COUNTIF(Control!$D$20:$D$100,AI$2)=0),VISUM_Freeway_OD!AI3*Control!$B$2,0)</f>
        <v>0</v>
      </c>
      <c r="AJ3">
        <f>IF(AND(COUNTIF(Control!$D$20:$D$100,$B3)=0,COUNTIF(Control!$D$20:$D$100,AJ$2)=0),VISUM_Freeway_OD!AJ3*Control!$B$2,0)</f>
        <v>0</v>
      </c>
      <c r="AK3">
        <f>IF(AND(COUNTIF(Control!$D$20:$D$100,$B3)=0,COUNTIF(Control!$D$20:$D$100,AK$2)=0),VISUM_Freeway_OD!AK3*Control!$B$2,0)</f>
        <v>0.35558571</v>
      </c>
      <c r="AL3">
        <f>IF(AND(COUNTIF(Control!$D$20:$D$100,$B3)=0,COUNTIF(Control!$D$20:$D$100,AL$2)=0),VISUM_Freeway_OD!AL3*Control!$B$2,0)</f>
        <v>0</v>
      </c>
      <c r="AM3">
        <f>IF(AND(COUNTIF(Control!$D$20:$D$100,$B3)=0,COUNTIF(Control!$D$20:$D$100,AM$2)=0),VISUM_Freeway_OD!AM3*Control!$B$2,0)</f>
        <v>0</v>
      </c>
      <c r="AN3">
        <f>IF(AND(COUNTIF(Control!$D$20:$D$100,$B3)=0,COUNTIF(Control!$D$20:$D$100,AN$2)=0),VISUM_Freeway_OD!AN3*Control!$B$2,0)</f>
        <v>0</v>
      </c>
      <c r="AO3">
        <f>IF(AND(COUNTIF(Control!$D$20:$D$100,$B3)=0,COUNTIF(Control!$D$20:$D$100,AO$2)=0),VISUM_Freeway_OD!AO3*Control!$B$2,0)</f>
        <v>0</v>
      </c>
      <c r="AP3">
        <f>IF(AND(COUNTIF(Control!$D$20:$D$100,$B3)=0,COUNTIF(Control!$D$20:$D$100,AP$2)=0),VISUM_Freeway_OD!AP3*Control!$B$2,0)</f>
        <v>0</v>
      </c>
      <c r="AQ3">
        <f>IF(AND(COUNTIF(Control!$D$20:$D$100,$B3)=0,COUNTIF(Control!$D$20:$D$100,AQ$2)=0),VISUM_Freeway_OD!AQ3*Control!$B$2,0)</f>
        <v>0</v>
      </c>
      <c r="AR3">
        <f>IF(AND(COUNTIF(Control!$D$20:$D$100,$B3)=0,COUNTIF(Control!$D$20:$D$100,AR$2)=0),VISUM_Freeway_OD!AR3*Control!$B$2,0)</f>
        <v>0</v>
      </c>
      <c r="AS3">
        <f>IF(AND(COUNTIF(Control!$D$20:$D$100,$B3)=0,COUNTIF(Control!$D$20:$D$100,AS$2)=0),VISUM_Freeway_OD!AS3*Control!$B$2,0)</f>
        <v>0</v>
      </c>
      <c r="AT3">
        <f>IF(AND(COUNTIF(Control!$D$20:$D$100,$B3)=0,COUNTIF(Control!$D$20:$D$100,AT$2)=0),VISUM_Freeway_OD!AT3*Control!$B$2,0)</f>
        <v>0</v>
      </c>
      <c r="AU3">
        <f>IF(AND(COUNTIF(Control!$D$20:$D$100,$B3)=0,COUNTIF(Control!$D$20:$D$100,AU$2)=0),VISUM_Freeway_OD!AU3*Control!$B$2,0)</f>
        <v>0</v>
      </c>
      <c r="AV3">
        <f>IF(AND(COUNTIF(Control!$D$20:$D$100,$B3)=0,COUNTIF(Control!$D$20:$D$100,AV$2)=0),VISUM_Freeway_OD!AV3*Control!$B$2,0)</f>
        <v>0</v>
      </c>
      <c r="AW3">
        <f>IF(AND(COUNTIF(Control!$D$20:$D$100,$B3)=0,COUNTIF(Control!$D$20:$D$100,AW$2)=0),VISUM_Freeway_OD!AW3*Control!$B$2,0)</f>
        <v>0</v>
      </c>
      <c r="AX3">
        <f>IF(AND(COUNTIF(Control!$D$20:$D$100,$B3)=0,COUNTIF(Control!$D$20:$D$100,AX$2)=0),VISUM_Freeway_OD!AX3*Control!$B$2,0)</f>
        <v>0</v>
      </c>
      <c r="AY3">
        <f>IF(AND(COUNTIF(Control!$D$20:$D$100,$B3)=0,COUNTIF(Control!$D$20:$D$100,AY$2)=0),VISUM_Freeway_OD!AY3*Control!$B$2,0)</f>
        <v>0</v>
      </c>
    </row>
    <row r="4" spans="1:51" x14ac:dyDescent="0.25">
      <c r="A4" s="4">
        <f>IF(VLOOKUP(B4,Freeway_Zone_Link_Mapping!$A:$C,2,FALSE)&lt;&gt;"",VLOOKUP(B4,Freeway_Zone_Link_Mapping!$A:$C,2,FALSE),"")</f>
        <v>105920065</v>
      </c>
      <c r="B4" s="4">
        <v>13</v>
      </c>
      <c r="C4">
        <f>IF(AND(COUNTIF(Control!$D$20:$D$100,$B4)=0,COUNTIF(Control!$D$20:$D$100,C$2)=0),VISUM_Freeway_OD!C4*Control!$B$2,0)</f>
        <v>0</v>
      </c>
      <c r="D4">
        <f>IF(AND(COUNTIF(Control!$D$20:$D$100,$B4)=0,COUNTIF(Control!$D$20:$D$100,D$2)=0),VISUM_Freeway_OD!D4*Control!$B$2,0)</f>
        <v>0</v>
      </c>
      <c r="E4">
        <f>IF(AND(COUNTIF(Control!$D$20:$D$100,$B4)=0,COUNTIF(Control!$D$20:$D$100,E$2)=0),VISUM_Freeway_OD!E4*Control!$B$2,0)</f>
        <v>3.0004666199999996</v>
      </c>
      <c r="F4">
        <f>IF(AND(COUNTIF(Control!$D$20:$D$100,$B4)=0,COUNTIF(Control!$D$20:$D$100,F$2)=0),VISUM_Freeway_OD!F4*Control!$B$2,0)</f>
        <v>0</v>
      </c>
      <c r="G4">
        <f>IF(AND(COUNTIF(Control!$D$20:$D$100,$B4)=0,COUNTIF(Control!$D$20:$D$100,G$2)=0),VISUM_Freeway_OD!G4*Control!$B$2,0)</f>
        <v>0</v>
      </c>
      <c r="H4" s="25">
        <f>IF(AND(COUNTIF(Control!$D$20:$D$100,$B4)=0,COUNTIF(Control!$D$20:$D$100,H$2)=0),VISUM_Freeway_OD!H4*0.11,0)+150</f>
        <v>632.67076494999992</v>
      </c>
      <c r="I4">
        <f>IF(AND(COUNTIF(Control!$D$20:$D$100,$B4)=0,COUNTIF(Control!$D$20:$D$100,I$2)=0),VISUM_Freeway_OD!I4*Control!$B$2,0)</f>
        <v>0</v>
      </c>
      <c r="J4">
        <f>IF(AND(COUNTIF(Control!$D$20:$D$100,$B4)=0,COUNTIF(Control!$D$20:$D$100,J$2)=0),VISUM_Freeway_OD!J4*Control!$B$2,0)</f>
        <v>0</v>
      </c>
      <c r="K4">
        <f>IF(AND(COUNTIF(Control!$D$20:$D$100,$B4)=0,COUNTIF(Control!$D$20:$D$100,K$2)=0),VISUM_Freeway_OD!K4*Control!$B$2,0)</f>
        <v>1.2550836000000001</v>
      </c>
      <c r="L4">
        <f>IF(AND(COUNTIF(Control!$D$20:$D$100,$B4)=0,COUNTIF(Control!$D$20:$D$100,L$2)=0),VISUM_Freeway_OD!L4*Control!$B$2,0)</f>
        <v>0</v>
      </c>
      <c r="M4">
        <f>IF(AND(COUNTIF(Control!$D$20:$D$100,$B4)=0,COUNTIF(Control!$D$20:$D$100,M$2)=0),VISUM_Freeway_OD!M4*Control!$B$2,0)</f>
        <v>3.2680598699999996</v>
      </c>
      <c r="N4" s="25">
        <f>IF(AND(COUNTIF(Control!$D$20:$D$100,$B4)=0,COUNTIF(Control!$D$20:$D$100,N$2)=0),VISUM_Freeway_OD!N4*0.1,0)+50</f>
        <v>159.6697992</v>
      </c>
      <c r="O4">
        <f>IF(AND(COUNTIF(Control!$D$20:$D$100,$B4)=0,COUNTIF(Control!$D$20:$D$100,O$2)=0),VISUM_Freeway_OD!O4*Control!$B$2,0)</f>
        <v>0</v>
      </c>
      <c r="P4">
        <f>IF(AND(COUNTIF(Control!$D$20:$D$100,$B4)=0,COUNTIF(Control!$D$20:$D$100,P$2)=0),VISUM_Freeway_OD!P4*Control!$B$2,0)</f>
        <v>0</v>
      </c>
      <c r="Q4">
        <f>IF(AND(COUNTIF(Control!$D$20:$D$100,$B4)=0,COUNTIF(Control!$D$20:$D$100,Q$2)=0),VISUM_Freeway_OD!Q4*Control!$B$2,0)</f>
        <v>0</v>
      </c>
      <c r="R4">
        <f>IF(AND(COUNTIF(Control!$D$20:$D$100,$B4)=0,COUNTIF(Control!$D$20:$D$100,R$2)=0),VISUM_Freeway_OD!R4*Control!$B$2,0)</f>
        <v>0</v>
      </c>
      <c r="S4">
        <f>IF(AND(COUNTIF(Control!$D$20:$D$100,$B4)=0,COUNTIF(Control!$D$20:$D$100,S$2)=0),VISUM_Freeway_OD!S4*Control!$B$2,0)</f>
        <v>4.4718329099999998</v>
      </c>
      <c r="T4">
        <f>IF(AND(COUNTIF(Control!$D$20:$D$100,$B4)=0,COUNTIF(Control!$D$20:$D$100,T$2)=0),VISUM_Freeway_OD!T4*Control!$B$2,0)</f>
        <v>7.8330223200000004</v>
      </c>
      <c r="U4">
        <f>IF(AND(COUNTIF(Control!$D$20:$D$100,$B4)=0,COUNTIF(Control!$D$20:$D$100,U$2)=0),VISUM_Freeway_OD!U4*Control!$B$2,0)</f>
        <v>0</v>
      </c>
      <c r="V4">
        <f>IF(AND(COUNTIF(Control!$D$20:$D$100,$B4)=0,COUNTIF(Control!$D$20:$D$100,V$2)=0),VISUM_Freeway_OD!V4*Control!$B$2,0)</f>
        <v>0</v>
      </c>
      <c r="W4">
        <f>IF(AND(COUNTIF(Control!$D$20:$D$100,$B4)=0,COUNTIF(Control!$D$20:$D$100,W$2)=0),VISUM_Freeway_OD!W4*Control!$B$2,0)</f>
        <v>0</v>
      </c>
      <c r="X4">
        <f>IF(AND(COUNTIF(Control!$D$20:$D$100,$B4)=0,COUNTIF(Control!$D$20:$D$100,X$2)=0),VISUM_Freeway_OD!X4*Control!$B$2,0)</f>
        <v>0</v>
      </c>
      <c r="Y4">
        <f>IF(AND(COUNTIF(Control!$D$20:$D$100,$B4)=0,COUNTIF(Control!$D$20:$D$100,Y$2)=0),VISUM_Freeway_OD!Y4*Control!$B$2,0)</f>
        <v>0</v>
      </c>
      <c r="Z4">
        <f>IF(AND(COUNTIF(Control!$D$20:$D$100,$B4)=0,COUNTIF(Control!$D$20:$D$100,Z$2)=0),VISUM_Freeway_OD!Z4*Control!$B$2,0)</f>
        <v>0</v>
      </c>
      <c r="AA4">
        <f>IF(AND(COUNTIF(Control!$D$20:$D$100,$B4)=0,COUNTIF(Control!$D$20:$D$100,AA$2)=0),VISUM_Freeway_OD!AA4*Control!$B$2,0)</f>
        <v>0</v>
      </c>
      <c r="AB4">
        <f>IF(AND(COUNTIF(Control!$D$20:$D$100,$B4)=0,COUNTIF(Control!$D$20:$D$100,AB$2)=0),VISUM_Freeway_OD!AB4*Control!$B$2,0)</f>
        <v>7.92330603</v>
      </c>
      <c r="AC4">
        <f>IF(AND(COUNTIF(Control!$D$20:$D$100,$B4)=0,COUNTIF(Control!$D$20:$D$100,AC$2)=0),VISUM_Freeway_OD!AC4*Control!$B$2,0)</f>
        <v>0</v>
      </c>
      <c r="AD4">
        <f>IF(AND(COUNTIF(Control!$D$20:$D$100,$B4)=0,COUNTIF(Control!$D$20:$D$100,AD$2)=0),VISUM_Freeway_OD!AD4*Control!$B$2,0)</f>
        <v>0</v>
      </c>
      <c r="AE4">
        <f>IF(AND(COUNTIF(Control!$D$20:$D$100,$B4)=0,COUNTIF(Control!$D$20:$D$100,AE$2)=0),VISUM_Freeway_OD!AE4*Control!$B$2,0)</f>
        <v>0.12543381000000001</v>
      </c>
      <c r="AF4">
        <f>IF(AND(COUNTIF(Control!$D$20:$D$100,$B4)=0,COUNTIF(Control!$D$20:$D$100,AF$2)=0),VISUM_Freeway_OD!AF4*Control!$B$2,0)</f>
        <v>0</v>
      </c>
      <c r="AG4">
        <f>IF(AND(COUNTIF(Control!$D$20:$D$100,$B4)=0,COUNTIF(Control!$D$20:$D$100,AG$2)=0),VISUM_Freeway_OD!AG4*Control!$B$2,0)</f>
        <v>0</v>
      </c>
      <c r="AH4">
        <f>IF(AND(COUNTIF(Control!$D$20:$D$100,$B4)=0,COUNTIF(Control!$D$20:$D$100,AH$2)=0),VISUM_Freeway_OD!AH4*Control!$B$2,0)</f>
        <v>0</v>
      </c>
      <c r="AI4">
        <f>IF(AND(COUNTIF(Control!$D$20:$D$100,$B4)=0,COUNTIF(Control!$D$20:$D$100,AI$2)=0),VISUM_Freeway_OD!AI4*Control!$B$2,0)</f>
        <v>0</v>
      </c>
      <c r="AJ4">
        <f>IF(AND(COUNTIF(Control!$D$20:$D$100,$B4)=0,COUNTIF(Control!$D$20:$D$100,AJ$2)=0),VISUM_Freeway_OD!AJ4*Control!$B$2,0)</f>
        <v>0</v>
      </c>
      <c r="AK4">
        <f>IF(AND(COUNTIF(Control!$D$20:$D$100,$B4)=0,COUNTIF(Control!$D$20:$D$100,AK$2)=0),VISUM_Freeway_OD!AK4*Control!$B$2,0)</f>
        <v>15.72996354</v>
      </c>
      <c r="AL4">
        <f>IF(AND(COUNTIF(Control!$D$20:$D$100,$B4)=0,COUNTIF(Control!$D$20:$D$100,AL$2)=0),VISUM_Freeway_OD!AL4*Control!$B$2,0)</f>
        <v>0</v>
      </c>
      <c r="AM4">
        <f>IF(AND(COUNTIF(Control!$D$20:$D$100,$B4)=0,COUNTIF(Control!$D$20:$D$100,AM$2)=0),VISUM_Freeway_OD!AM4*Control!$B$2,0)</f>
        <v>0</v>
      </c>
      <c r="AN4">
        <f>IF(AND(COUNTIF(Control!$D$20:$D$100,$B4)=0,COUNTIF(Control!$D$20:$D$100,AN$2)=0),VISUM_Freeway_OD!AN4*Control!$B$2,0)</f>
        <v>0</v>
      </c>
      <c r="AO4">
        <f>IF(AND(COUNTIF(Control!$D$20:$D$100,$B4)=0,COUNTIF(Control!$D$20:$D$100,AO$2)=0),VISUM_Freeway_OD!AO4*Control!$B$2,0)</f>
        <v>0</v>
      </c>
      <c r="AP4">
        <f>IF(AND(COUNTIF(Control!$D$20:$D$100,$B4)=0,COUNTIF(Control!$D$20:$D$100,AP$2)=0),VISUM_Freeway_OD!AP4*Control!$B$2,0)</f>
        <v>0</v>
      </c>
      <c r="AQ4">
        <f>IF(AND(COUNTIF(Control!$D$20:$D$100,$B4)=0,COUNTIF(Control!$D$20:$D$100,AQ$2)=0),VISUM_Freeway_OD!AQ4*Control!$B$2,0)</f>
        <v>0</v>
      </c>
      <c r="AR4">
        <f>IF(AND(COUNTIF(Control!$D$20:$D$100,$B4)=0,COUNTIF(Control!$D$20:$D$100,AR$2)=0),VISUM_Freeway_OD!AR4*Control!$B$2,0)</f>
        <v>0.63312024</v>
      </c>
      <c r="AS4">
        <f>IF(AND(COUNTIF(Control!$D$20:$D$100,$B4)=0,COUNTIF(Control!$D$20:$D$100,AS$2)=0),VISUM_Freeway_OD!AS4*Control!$B$2,0)</f>
        <v>0</v>
      </c>
      <c r="AT4">
        <f>IF(AND(COUNTIF(Control!$D$20:$D$100,$B4)=0,COUNTIF(Control!$D$20:$D$100,AT$2)=0),VISUM_Freeway_OD!AT4*Control!$B$2,0)</f>
        <v>0</v>
      </c>
      <c r="AU4">
        <f>IF(AND(COUNTIF(Control!$D$20:$D$100,$B4)=0,COUNTIF(Control!$D$20:$D$100,AU$2)=0),VISUM_Freeway_OD!AU4*Control!$B$2,0)</f>
        <v>0</v>
      </c>
      <c r="AV4">
        <f>IF(AND(COUNTIF(Control!$D$20:$D$100,$B4)=0,COUNTIF(Control!$D$20:$D$100,AV$2)=0),VISUM_Freeway_OD!AV4*Control!$B$2,0)</f>
        <v>0</v>
      </c>
      <c r="AW4">
        <f>IF(AND(COUNTIF(Control!$D$20:$D$100,$B4)=0,COUNTIF(Control!$D$20:$D$100,AW$2)=0),VISUM_Freeway_OD!AW4*Control!$B$2,0)</f>
        <v>0</v>
      </c>
      <c r="AX4">
        <f>IF(AND(COUNTIF(Control!$D$20:$D$100,$B4)=0,COUNTIF(Control!$D$20:$D$100,AX$2)=0),VISUM_Freeway_OD!AX4*Control!$B$2,0)</f>
        <v>0</v>
      </c>
      <c r="AY4">
        <f>IF(AND(COUNTIF(Control!$D$20:$D$100,$B4)=0,COUNTIF(Control!$D$20:$D$100,AY$2)=0),VISUM_Freeway_OD!AY4*Control!$B$2,0)</f>
        <v>0</v>
      </c>
    </row>
    <row r="5" spans="1:51" x14ac:dyDescent="0.25">
      <c r="A5" s="4">
        <f>IF(VLOOKUP(B5,Freeway_Zone_Link_Mapping!$A:$C,2,FALSE)&lt;&gt;"",VLOOKUP(B5,Freeway_Zone_Link_Mapping!$A:$C,2,FALSE),"")</f>
        <v>105920026</v>
      </c>
      <c r="B5" s="4">
        <v>14</v>
      </c>
      <c r="C5">
        <f>IF(AND(COUNTIF(Control!$D$20:$D$100,$B5)=0,COUNTIF(Control!$D$20:$D$100,C$2)=0),VISUM_Freeway_OD!C5*Control!$B$2,0)</f>
        <v>0</v>
      </c>
      <c r="D5">
        <f>IF(AND(COUNTIF(Control!$D$20:$D$100,$B5)=0,COUNTIF(Control!$D$20:$D$100,D$2)=0),VISUM_Freeway_OD!D5*Control!$B$2,0)</f>
        <v>0</v>
      </c>
      <c r="E5">
        <f>IF(AND(COUNTIF(Control!$D$20:$D$100,$B5)=0,COUNTIF(Control!$D$20:$D$100,E$2)=0),VISUM_Freeway_OD!E5*Control!$B$2,0)</f>
        <v>0</v>
      </c>
      <c r="F5">
        <f>IF(AND(COUNTIF(Control!$D$20:$D$100,$B5)=0,COUNTIF(Control!$D$20:$D$100,F$2)=0),VISUM_Freeway_OD!F5*Control!$B$2,0)</f>
        <v>3.3010796099999999</v>
      </c>
      <c r="G5">
        <f>IF(AND(COUNTIF(Control!$D$20:$D$100,$B5)=0,COUNTIF(Control!$D$20:$D$100,G$2)=0),VISUM_Freeway_OD!G5*Control!$B$2,0)</f>
        <v>0</v>
      </c>
      <c r="H5">
        <f>IF(AND(COUNTIF(Control!$D$20:$D$100,$B5)=0,COUNTIF(Control!$D$20:$D$100,H$2)=0),VISUM_Freeway_OD!H5*Control!$B$2,0)</f>
        <v>2.12072751</v>
      </c>
      <c r="I5">
        <f>IF(AND(COUNTIF(Control!$D$20:$D$100,$B5)=0,COUNTIF(Control!$D$20:$D$100,I$2)=0),VISUM_Freeway_OD!I5*Control!$B$2,0)</f>
        <v>0</v>
      </c>
      <c r="J5">
        <f>IF(AND(COUNTIF(Control!$D$20:$D$100,$B5)=0,COUNTIF(Control!$D$20:$D$100,J$2)=0),VISUM_Freeway_OD!J5*Control!$B$2,0)</f>
        <v>0</v>
      </c>
      <c r="K5">
        <f>IF(AND(COUNTIF(Control!$D$20:$D$100,$B5)=0,COUNTIF(Control!$D$20:$D$100,K$2)=0),VISUM_Freeway_OD!K5*Control!$B$2,0)</f>
        <v>3.4050839999999999E-2</v>
      </c>
      <c r="L5">
        <f>IF(AND(COUNTIF(Control!$D$20:$D$100,$B5)=0,COUNTIF(Control!$D$20:$D$100,L$2)=0),VISUM_Freeway_OD!L5*Control!$B$2,0)</f>
        <v>0</v>
      </c>
      <c r="M5">
        <f>IF(AND(COUNTIF(Control!$D$20:$D$100,$B5)=0,COUNTIF(Control!$D$20:$D$100,M$2)=0),VISUM_Freeway_OD!M5*Control!$B$2,0)</f>
        <v>1.7179589999999998E-2</v>
      </c>
      <c r="N5">
        <f>IF(AND(COUNTIF(Control!$D$20:$D$100,$B5)=0,COUNTIF(Control!$D$20:$D$100,N$2)=0),VISUM_Freeway_OD!N5*Control!$B$2,0)</f>
        <v>3.9008295599999996</v>
      </c>
      <c r="O5">
        <f>IF(AND(COUNTIF(Control!$D$20:$D$100,$B5)=0,COUNTIF(Control!$D$20:$D$100,O$2)=0),VISUM_Freeway_OD!O5*Control!$B$2,0)</f>
        <v>0</v>
      </c>
      <c r="P5">
        <f>IF(AND(COUNTIF(Control!$D$20:$D$100,$B5)=0,COUNTIF(Control!$D$20:$D$100,P$2)=0),VISUM_Freeway_OD!P5*Control!$B$2,0)</f>
        <v>0</v>
      </c>
      <c r="Q5">
        <f>IF(AND(COUNTIF(Control!$D$20:$D$100,$B5)=0,COUNTIF(Control!$D$20:$D$100,Q$2)=0),VISUM_Freeway_OD!Q5*Control!$B$2,0)</f>
        <v>0</v>
      </c>
      <c r="R5">
        <f>IF(AND(COUNTIF(Control!$D$20:$D$100,$B5)=0,COUNTIF(Control!$D$20:$D$100,R$2)=0),VISUM_Freeway_OD!R5*Control!$B$2,0)</f>
        <v>0</v>
      </c>
      <c r="S5">
        <f>IF(AND(COUNTIF(Control!$D$20:$D$100,$B5)=0,COUNTIF(Control!$D$20:$D$100,S$2)=0),VISUM_Freeway_OD!S5*Control!$B$2,0)</f>
        <v>17.178594570000001</v>
      </c>
      <c r="T5">
        <f>IF(AND(COUNTIF(Control!$D$20:$D$100,$B5)=0,COUNTIF(Control!$D$20:$D$100,T$2)=0),VISUM_Freeway_OD!T5*Control!$B$2,0)</f>
        <v>1.0051043099999999</v>
      </c>
      <c r="U5">
        <f>IF(AND(COUNTIF(Control!$D$20:$D$100,$B5)=0,COUNTIF(Control!$D$20:$D$100,U$2)=0),VISUM_Freeway_OD!U5*Control!$B$2,0)</f>
        <v>0</v>
      </c>
      <c r="V5">
        <f>IF(AND(COUNTIF(Control!$D$20:$D$100,$B5)=0,COUNTIF(Control!$D$20:$D$100,V$2)=0),VISUM_Freeway_OD!V5*Control!$B$2,0)</f>
        <v>0</v>
      </c>
      <c r="W5">
        <f>IF(AND(COUNTIF(Control!$D$20:$D$100,$B5)=0,COUNTIF(Control!$D$20:$D$100,W$2)=0),VISUM_Freeway_OD!W5*Control!$B$2,0)</f>
        <v>0</v>
      </c>
      <c r="X5">
        <f>IF(AND(COUNTIF(Control!$D$20:$D$100,$B5)=0,COUNTIF(Control!$D$20:$D$100,X$2)=0),VISUM_Freeway_OD!X5*Control!$B$2,0)</f>
        <v>0</v>
      </c>
      <c r="Y5">
        <f>IF(AND(COUNTIF(Control!$D$20:$D$100,$B5)=0,COUNTIF(Control!$D$20:$D$100,Y$2)=0),VISUM_Freeway_OD!Y5*Control!$B$2,0)</f>
        <v>0</v>
      </c>
      <c r="Z5">
        <f>IF(AND(COUNTIF(Control!$D$20:$D$100,$B5)=0,COUNTIF(Control!$D$20:$D$100,Z$2)=0),VISUM_Freeway_OD!Z5*Control!$B$2,0)</f>
        <v>0</v>
      </c>
      <c r="AA5">
        <f>IF(AND(COUNTIF(Control!$D$20:$D$100,$B5)=0,COUNTIF(Control!$D$20:$D$100,AA$2)=0),VISUM_Freeway_OD!AA5*Control!$B$2,0)</f>
        <v>0</v>
      </c>
      <c r="AB5">
        <f>IF(AND(COUNTIF(Control!$D$20:$D$100,$B5)=0,COUNTIF(Control!$D$20:$D$100,AB$2)=0),VISUM_Freeway_OD!AB5*Control!$B$2,0)</f>
        <v>0</v>
      </c>
      <c r="AC5">
        <f>IF(AND(COUNTIF(Control!$D$20:$D$100,$B5)=0,COUNTIF(Control!$D$20:$D$100,AC$2)=0),VISUM_Freeway_OD!AC5*Control!$B$2,0)</f>
        <v>0</v>
      </c>
      <c r="AD5">
        <f>IF(AND(COUNTIF(Control!$D$20:$D$100,$B5)=0,COUNTIF(Control!$D$20:$D$100,AD$2)=0),VISUM_Freeway_OD!AD5*Control!$B$2,0)</f>
        <v>0</v>
      </c>
      <c r="AE5">
        <f>IF(AND(COUNTIF(Control!$D$20:$D$100,$B5)=0,COUNTIF(Control!$D$20:$D$100,AE$2)=0),VISUM_Freeway_OD!AE5*Control!$B$2,0)</f>
        <v>1.6662599999999999E-3</v>
      </c>
      <c r="AF5">
        <f>IF(AND(COUNTIF(Control!$D$20:$D$100,$B5)=0,COUNTIF(Control!$D$20:$D$100,AF$2)=0),VISUM_Freeway_OD!AF5*Control!$B$2,0)</f>
        <v>0</v>
      </c>
      <c r="AG5">
        <f>IF(AND(COUNTIF(Control!$D$20:$D$100,$B5)=0,COUNTIF(Control!$D$20:$D$100,AG$2)=0),VISUM_Freeway_OD!AG5*Control!$B$2,0)</f>
        <v>0</v>
      </c>
      <c r="AH5">
        <f>IF(AND(COUNTIF(Control!$D$20:$D$100,$B5)=0,COUNTIF(Control!$D$20:$D$100,AH$2)=0),VISUM_Freeway_OD!AH5*Control!$B$2,0)</f>
        <v>0</v>
      </c>
      <c r="AI5">
        <f>IF(AND(COUNTIF(Control!$D$20:$D$100,$B5)=0,COUNTIF(Control!$D$20:$D$100,AI$2)=0),VISUM_Freeway_OD!AI5*Control!$B$2,0)</f>
        <v>0</v>
      </c>
      <c r="AJ5">
        <f>IF(AND(COUNTIF(Control!$D$20:$D$100,$B5)=0,COUNTIF(Control!$D$20:$D$100,AJ$2)=0),VISUM_Freeway_OD!AJ5*Control!$B$2,0)</f>
        <v>0</v>
      </c>
      <c r="AK5">
        <f>IF(AND(COUNTIF(Control!$D$20:$D$100,$B5)=0,COUNTIF(Control!$D$20:$D$100,AK$2)=0),VISUM_Freeway_OD!AK5*Control!$B$2,0)</f>
        <v>1.5190847999999999</v>
      </c>
      <c r="AL5">
        <f>IF(AND(COUNTIF(Control!$D$20:$D$100,$B5)=0,COUNTIF(Control!$D$20:$D$100,AL$2)=0),VISUM_Freeway_OD!AL5*Control!$B$2,0)</f>
        <v>0</v>
      </c>
      <c r="AM5">
        <f>IF(AND(COUNTIF(Control!$D$20:$D$100,$B5)=0,COUNTIF(Control!$D$20:$D$100,AM$2)=0),VISUM_Freeway_OD!AM5*Control!$B$2,0)</f>
        <v>0</v>
      </c>
      <c r="AN5">
        <f>IF(AND(COUNTIF(Control!$D$20:$D$100,$B5)=0,COUNTIF(Control!$D$20:$D$100,AN$2)=0),VISUM_Freeway_OD!AN5*Control!$B$2,0)</f>
        <v>0</v>
      </c>
      <c r="AO5">
        <f>IF(AND(COUNTIF(Control!$D$20:$D$100,$B5)=0,COUNTIF(Control!$D$20:$D$100,AO$2)=0),VISUM_Freeway_OD!AO5*Control!$B$2,0)</f>
        <v>0</v>
      </c>
      <c r="AP5">
        <f>IF(AND(COUNTIF(Control!$D$20:$D$100,$B5)=0,COUNTIF(Control!$D$20:$D$100,AP$2)=0),VISUM_Freeway_OD!AP5*Control!$B$2,0)</f>
        <v>0</v>
      </c>
      <c r="AQ5">
        <f>IF(AND(COUNTIF(Control!$D$20:$D$100,$B5)=0,COUNTIF(Control!$D$20:$D$100,AQ$2)=0),VISUM_Freeway_OD!AQ5*Control!$B$2,0)</f>
        <v>0</v>
      </c>
      <c r="AR5">
        <f>IF(AND(COUNTIF(Control!$D$20:$D$100,$B5)=0,COUNTIF(Control!$D$20:$D$100,AR$2)=0),VISUM_Freeway_OD!AR5*Control!$B$2,0)</f>
        <v>0</v>
      </c>
      <c r="AS5">
        <f>IF(AND(COUNTIF(Control!$D$20:$D$100,$B5)=0,COUNTIF(Control!$D$20:$D$100,AS$2)=0),VISUM_Freeway_OD!AS5*Control!$B$2,0)</f>
        <v>0</v>
      </c>
      <c r="AT5">
        <f>IF(AND(COUNTIF(Control!$D$20:$D$100,$B5)=0,COUNTIF(Control!$D$20:$D$100,AT$2)=0),VISUM_Freeway_OD!AT5*Control!$B$2,0)</f>
        <v>0</v>
      </c>
      <c r="AU5">
        <f>IF(AND(COUNTIF(Control!$D$20:$D$100,$B5)=0,COUNTIF(Control!$D$20:$D$100,AU$2)=0),VISUM_Freeway_OD!AU5*Control!$B$2,0)</f>
        <v>0</v>
      </c>
      <c r="AV5">
        <f>IF(AND(COUNTIF(Control!$D$20:$D$100,$B5)=0,COUNTIF(Control!$D$20:$D$100,AV$2)=0),VISUM_Freeway_OD!AV5*Control!$B$2,0)</f>
        <v>0</v>
      </c>
      <c r="AW5">
        <f>IF(AND(COUNTIF(Control!$D$20:$D$100,$B5)=0,COUNTIF(Control!$D$20:$D$100,AW$2)=0),VISUM_Freeway_OD!AW5*Control!$B$2,0)</f>
        <v>0</v>
      </c>
      <c r="AX5">
        <f>IF(AND(COUNTIF(Control!$D$20:$D$100,$B5)=0,COUNTIF(Control!$D$20:$D$100,AX$2)=0),VISUM_Freeway_OD!AX5*Control!$B$2,0)</f>
        <v>0</v>
      </c>
      <c r="AY5">
        <f>IF(AND(COUNTIF(Control!$D$20:$D$100,$B5)=0,COUNTIF(Control!$D$20:$D$100,AY$2)=0),VISUM_Freeway_OD!AY5*Control!$B$2,0)</f>
        <v>0</v>
      </c>
    </row>
    <row r="6" spans="1:51" x14ac:dyDescent="0.25">
      <c r="A6" s="4" t="str">
        <f>IF(VLOOKUP(B6,Freeway_Zone_Link_Mapping!$A:$C,2,FALSE)&lt;&gt;"",VLOOKUP(B6,Freeway_Zone_Link_Mapping!$A:$C,2,FALSE),"")</f>
        <v/>
      </c>
      <c r="B6" s="4">
        <v>15</v>
      </c>
      <c r="C6">
        <f>IF(AND(COUNTIF(Control!$D$20:$D$100,$B6)=0,COUNTIF(Control!$D$20:$D$100,C$2)=0),VISUM_Freeway_OD!C6*Control!$B$2,0)</f>
        <v>0</v>
      </c>
      <c r="D6">
        <f>IF(AND(COUNTIF(Control!$D$20:$D$100,$B6)=0,COUNTIF(Control!$D$20:$D$100,D$2)=0),VISUM_Freeway_OD!D6*Control!$B$2,0)</f>
        <v>0</v>
      </c>
      <c r="E6">
        <f>IF(AND(COUNTIF(Control!$D$20:$D$100,$B6)=0,COUNTIF(Control!$D$20:$D$100,E$2)=0),VISUM_Freeway_OD!E6*Control!$B$2,0)</f>
        <v>0</v>
      </c>
      <c r="F6">
        <f>IF(AND(COUNTIF(Control!$D$20:$D$100,$B6)=0,COUNTIF(Control!$D$20:$D$100,F$2)=0),VISUM_Freeway_OD!F6*Control!$B$2,0)</f>
        <v>0</v>
      </c>
      <c r="G6">
        <f>IF(AND(COUNTIF(Control!$D$20:$D$100,$B6)=0,COUNTIF(Control!$D$20:$D$100,G$2)=0),VISUM_Freeway_OD!G6*Control!$B$2,0)</f>
        <v>0</v>
      </c>
      <c r="H6">
        <f>IF(AND(COUNTIF(Control!$D$20:$D$100,$B6)=0,COUNTIF(Control!$D$20:$D$100,H$2)=0),VISUM_Freeway_OD!H6*Control!$B$2,0)</f>
        <v>0</v>
      </c>
      <c r="I6">
        <f>IF(AND(COUNTIF(Control!$D$20:$D$100,$B6)=0,COUNTIF(Control!$D$20:$D$100,I$2)=0),VISUM_Freeway_OD!I6*Control!$B$2,0)</f>
        <v>0</v>
      </c>
      <c r="J6">
        <f>IF(AND(COUNTIF(Control!$D$20:$D$100,$B6)=0,COUNTIF(Control!$D$20:$D$100,J$2)=0),VISUM_Freeway_OD!J6*Control!$B$2,0)</f>
        <v>0</v>
      </c>
      <c r="K6">
        <f>IF(AND(COUNTIF(Control!$D$20:$D$100,$B6)=0,COUNTIF(Control!$D$20:$D$100,K$2)=0),VISUM_Freeway_OD!K6*Control!$B$2,0)</f>
        <v>0</v>
      </c>
      <c r="L6">
        <f>IF(AND(COUNTIF(Control!$D$20:$D$100,$B6)=0,COUNTIF(Control!$D$20:$D$100,L$2)=0),VISUM_Freeway_OD!L6*Control!$B$2,0)</f>
        <v>0</v>
      </c>
      <c r="M6">
        <f>IF(AND(COUNTIF(Control!$D$20:$D$100,$B6)=0,COUNTIF(Control!$D$20:$D$100,M$2)=0),VISUM_Freeway_OD!M6*Control!$B$2,0)</f>
        <v>0</v>
      </c>
      <c r="N6">
        <f>IF(AND(COUNTIF(Control!$D$20:$D$100,$B6)=0,COUNTIF(Control!$D$20:$D$100,N$2)=0),VISUM_Freeway_OD!N6*Control!$B$2,0)</f>
        <v>0</v>
      </c>
      <c r="O6">
        <f>IF(AND(COUNTIF(Control!$D$20:$D$100,$B6)=0,COUNTIF(Control!$D$20:$D$100,O$2)=0),VISUM_Freeway_OD!O6*Control!$B$2,0)</f>
        <v>0</v>
      </c>
      <c r="P6">
        <f>IF(AND(COUNTIF(Control!$D$20:$D$100,$B6)=0,COUNTIF(Control!$D$20:$D$100,P$2)=0),VISUM_Freeway_OD!P6*Control!$B$2,0)</f>
        <v>0</v>
      </c>
      <c r="Q6">
        <f>IF(AND(COUNTIF(Control!$D$20:$D$100,$B6)=0,COUNTIF(Control!$D$20:$D$100,Q$2)=0),VISUM_Freeway_OD!Q6*Control!$B$2,0)</f>
        <v>0</v>
      </c>
      <c r="R6">
        <f>IF(AND(COUNTIF(Control!$D$20:$D$100,$B6)=0,COUNTIF(Control!$D$20:$D$100,R$2)=0),VISUM_Freeway_OD!R6*Control!$B$2,0)</f>
        <v>0</v>
      </c>
      <c r="S6">
        <f>IF(AND(COUNTIF(Control!$D$20:$D$100,$B6)=0,COUNTIF(Control!$D$20:$D$100,S$2)=0),VISUM_Freeway_OD!S6*Control!$B$2,0)</f>
        <v>0</v>
      </c>
      <c r="T6">
        <f>IF(AND(COUNTIF(Control!$D$20:$D$100,$B6)=0,COUNTIF(Control!$D$20:$D$100,T$2)=0),VISUM_Freeway_OD!T6*Control!$B$2,0)</f>
        <v>0</v>
      </c>
      <c r="U6">
        <f>IF(AND(COUNTIF(Control!$D$20:$D$100,$B6)=0,COUNTIF(Control!$D$20:$D$100,U$2)=0),VISUM_Freeway_OD!U6*Control!$B$2,0)</f>
        <v>0</v>
      </c>
      <c r="V6">
        <f>IF(AND(COUNTIF(Control!$D$20:$D$100,$B6)=0,COUNTIF(Control!$D$20:$D$100,V$2)=0),VISUM_Freeway_OD!V6*Control!$B$2,0)</f>
        <v>0</v>
      </c>
      <c r="W6">
        <f>IF(AND(COUNTIF(Control!$D$20:$D$100,$B6)=0,COUNTIF(Control!$D$20:$D$100,W$2)=0),VISUM_Freeway_OD!W6*Control!$B$2,0)</f>
        <v>0</v>
      </c>
      <c r="X6">
        <f>IF(AND(COUNTIF(Control!$D$20:$D$100,$B6)=0,COUNTIF(Control!$D$20:$D$100,X$2)=0),VISUM_Freeway_OD!X6*Control!$B$2,0)</f>
        <v>0</v>
      </c>
      <c r="Y6">
        <f>IF(AND(COUNTIF(Control!$D$20:$D$100,$B6)=0,COUNTIF(Control!$D$20:$D$100,Y$2)=0),VISUM_Freeway_OD!Y6*Control!$B$2,0)</f>
        <v>0</v>
      </c>
      <c r="Z6">
        <f>IF(AND(COUNTIF(Control!$D$20:$D$100,$B6)=0,COUNTIF(Control!$D$20:$D$100,Z$2)=0),VISUM_Freeway_OD!Z6*Control!$B$2,0)</f>
        <v>0</v>
      </c>
      <c r="AA6">
        <f>IF(AND(COUNTIF(Control!$D$20:$D$100,$B6)=0,COUNTIF(Control!$D$20:$D$100,AA$2)=0),VISUM_Freeway_OD!AA6*Control!$B$2,0)</f>
        <v>0</v>
      </c>
      <c r="AB6">
        <f>IF(AND(COUNTIF(Control!$D$20:$D$100,$B6)=0,COUNTIF(Control!$D$20:$D$100,AB$2)=0),VISUM_Freeway_OD!AB6*Control!$B$2,0)</f>
        <v>0</v>
      </c>
      <c r="AC6">
        <f>IF(AND(COUNTIF(Control!$D$20:$D$100,$B6)=0,COUNTIF(Control!$D$20:$D$100,AC$2)=0),VISUM_Freeway_OD!AC6*Control!$B$2,0)</f>
        <v>0</v>
      </c>
      <c r="AD6">
        <f>IF(AND(COUNTIF(Control!$D$20:$D$100,$B6)=0,COUNTIF(Control!$D$20:$D$100,AD$2)=0),VISUM_Freeway_OD!AD6*Control!$B$2,0)</f>
        <v>0</v>
      </c>
      <c r="AE6">
        <f>IF(AND(COUNTIF(Control!$D$20:$D$100,$B6)=0,COUNTIF(Control!$D$20:$D$100,AE$2)=0),VISUM_Freeway_OD!AE6*Control!$B$2,0)</f>
        <v>0</v>
      </c>
      <c r="AF6">
        <f>IF(AND(COUNTIF(Control!$D$20:$D$100,$B6)=0,COUNTIF(Control!$D$20:$D$100,AF$2)=0),VISUM_Freeway_OD!AF6*Control!$B$2,0)</f>
        <v>0</v>
      </c>
      <c r="AG6">
        <f>IF(AND(COUNTIF(Control!$D$20:$D$100,$B6)=0,COUNTIF(Control!$D$20:$D$100,AG$2)=0),VISUM_Freeway_OD!AG6*Control!$B$2,0)</f>
        <v>0</v>
      </c>
      <c r="AH6">
        <f>IF(AND(COUNTIF(Control!$D$20:$D$100,$B6)=0,COUNTIF(Control!$D$20:$D$100,AH$2)=0),VISUM_Freeway_OD!AH6*Control!$B$2,0)</f>
        <v>0</v>
      </c>
      <c r="AI6">
        <f>IF(AND(COUNTIF(Control!$D$20:$D$100,$B6)=0,COUNTIF(Control!$D$20:$D$100,AI$2)=0),VISUM_Freeway_OD!AI6*Control!$B$2,0)</f>
        <v>0</v>
      </c>
      <c r="AJ6">
        <f>IF(AND(COUNTIF(Control!$D$20:$D$100,$B6)=0,COUNTIF(Control!$D$20:$D$100,AJ$2)=0),VISUM_Freeway_OD!AJ6*Control!$B$2,0)</f>
        <v>0</v>
      </c>
      <c r="AK6">
        <f>IF(AND(COUNTIF(Control!$D$20:$D$100,$B6)=0,COUNTIF(Control!$D$20:$D$100,AK$2)=0),VISUM_Freeway_OD!AK6*Control!$B$2,0)</f>
        <v>0</v>
      </c>
      <c r="AL6">
        <f>IF(AND(COUNTIF(Control!$D$20:$D$100,$B6)=0,COUNTIF(Control!$D$20:$D$100,AL$2)=0),VISUM_Freeway_OD!AL6*Control!$B$2,0)</f>
        <v>0</v>
      </c>
      <c r="AM6">
        <f>IF(AND(COUNTIF(Control!$D$20:$D$100,$B6)=0,COUNTIF(Control!$D$20:$D$100,AM$2)=0),VISUM_Freeway_OD!AM6*Control!$B$2,0)</f>
        <v>0</v>
      </c>
      <c r="AN6">
        <f>IF(AND(COUNTIF(Control!$D$20:$D$100,$B6)=0,COUNTIF(Control!$D$20:$D$100,AN$2)=0),VISUM_Freeway_OD!AN6*Control!$B$2,0)</f>
        <v>0</v>
      </c>
      <c r="AO6">
        <f>IF(AND(COUNTIF(Control!$D$20:$D$100,$B6)=0,COUNTIF(Control!$D$20:$D$100,AO$2)=0),VISUM_Freeway_OD!AO6*Control!$B$2,0)</f>
        <v>0</v>
      </c>
      <c r="AP6">
        <f>IF(AND(COUNTIF(Control!$D$20:$D$100,$B6)=0,COUNTIF(Control!$D$20:$D$100,AP$2)=0),VISUM_Freeway_OD!AP6*Control!$B$2,0)</f>
        <v>0</v>
      </c>
      <c r="AQ6">
        <f>IF(AND(COUNTIF(Control!$D$20:$D$100,$B6)=0,COUNTIF(Control!$D$20:$D$100,AQ$2)=0),VISUM_Freeway_OD!AQ6*Control!$B$2,0)</f>
        <v>0</v>
      </c>
      <c r="AR6">
        <f>IF(AND(COUNTIF(Control!$D$20:$D$100,$B6)=0,COUNTIF(Control!$D$20:$D$100,AR$2)=0),VISUM_Freeway_OD!AR6*Control!$B$2,0)</f>
        <v>0</v>
      </c>
      <c r="AS6">
        <f>IF(AND(COUNTIF(Control!$D$20:$D$100,$B6)=0,COUNTIF(Control!$D$20:$D$100,AS$2)=0),VISUM_Freeway_OD!AS6*Control!$B$2,0)</f>
        <v>0</v>
      </c>
      <c r="AT6">
        <f>IF(AND(COUNTIF(Control!$D$20:$D$100,$B6)=0,COUNTIF(Control!$D$20:$D$100,AT$2)=0),VISUM_Freeway_OD!AT6*Control!$B$2,0)</f>
        <v>0</v>
      </c>
      <c r="AU6">
        <f>IF(AND(COUNTIF(Control!$D$20:$D$100,$B6)=0,COUNTIF(Control!$D$20:$D$100,AU$2)=0),VISUM_Freeway_OD!AU6*Control!$B$2,0)</f>
        <v>0</v>
      </c>
      <c r="AV6">
        <f>IF(AND(COUNTIF(Control!$D$20:$D$100,$B6)=0,COUNTIF(Control!$D$20:$D$100,AV$2)=0),VISUM_Freeway_OD!AV6*Control!$B$2,0)</f>
        <v>0</v>
      </c>
      <c r="AW6">
        <f>IF(AND(COUNTIF(Control!$D$20:$D$100,$B6)=0,COUNTIF(Control!$D$20:$D$100,AW$2)=0),VISUM_Freeway_OD!AW6*Control!$B$2,0)</f>
        <v>0</v>
      </c>
      <c r="AX6">
        <f>IF(AND(COUNTIF(Control!$D$20:$D$100,$B6)=0,COUNTIF(Control!$D$20:$D$100,AX$2)=0),VISUM_Freeway_OD!AX6*Control!$B$2,0)</f>
        <v>0</v>
      </c>
      <c r="AY6">
        <f>IF(AND(COUNTIF(Control!$D$20:$D$100,$B6)=0,COUNTIF(Control!$D$20:$D$100,AY$2)=0),VISUM_Freeway_OD!AY6*Control!$B$2,0)</f>
        <v>0</v>
      </c>
    </row>
    <row r="7" spans="1:51" x14ac:dyDescent="0.25">
      <c r="A7" s="4">
        <f>IF(VLOOKUP(B7,Freeway_Zone_Link_Mapping!$A:$C,2,FALSE)&lt;&gt;"",VLOOKUP(B7,Freeway_Zone_Link_Mapping!$A:$C,2,FALSE),"")</f>
        <v>246</v>
      </c>
      <c r="B7" s="4">
        <v>24</v>
      </c>
      <c r="C7">
        <f>IF(AND(COUNTIF(Control!$D$20:$D$100,$B7)=0,COUNTIF(Control!$D$20:$D$100,C$2)=0),VISUM_Freeway_OD!C7*Control!$B$2,0)</f>
        <v>0</v>
      </c>
      <c r="D7">
        <f>IF(AND(COUNTIF(Control!$D$20:$D$100,$B7)=0,COUNTIF(Control!$D$20:$D$100,D$2)=0),VISUM_Freeway_OD!D7*Control!$B$2,0)</f>
        <v>0</v>
      </c>
      <c r="E7">
        <f>IF(AND(COUNTIF(Control!$D$20:$D$100,$B7)=0,COUNTIF(Control!$D$20:$D$100,E$2)=0),VISUM_Freeway_OD!E7*Control!$B$2,0)</f>
        <v>0</v>
      </c>
      <c r="F7">
        <f>IF(AND(COUNTIF(Control!$D$20:$D$100,$B7)=0,COUNTIF(Control!$D$20:$D$100,F$2)=0),VISUM_Freeway_OD!F7*Control!$B$2,0)</f>
        <v>0</v>
      </c>
      <c r="G7">
        <f>IF(AND(COUNTIF(Control!$D$20:$D$100,$B7)=0,COUNTIF(Control!$D$20:$D$100,G$2)=0),VISUM_Freeway_OD!G7*Control!$B$2,0)</f>
        <v>0</v>
      </c>
      <c r="H7">
        <f>IF(AND(COUNTIF(Control!$D$20:$D$100,$B7)=0,COUNTIF(Control!$D$20:$D$100,H$2)=0),VISUM_Freeway_OD!H7*Control!$B$2,0)</f>
        <v>0</v>
      </c>
      <c r="I7">
        <f>IF(AND(COUNTIF(Control!$D$20:$D$100,$B7)=0,COUNTIF(Control!$D$20:$D$100,I$2)=0),VISUM_Freeway_OD!I7*Control!$B$2,0)</f>
        <v>0</v>
      </c>
      <c r="J7">
        <f>IF(AND(COUNTIF(Control!$D$20:$D$100,$B7)=0,COUNTIF(Control!$D$20:$D$100,J$2)=0),VISUM_Freeway_OD!J7*Control!$B$2,0)</f>
        <v>0</v>
      </c>
      <c r="K7">
        <f>IF(AND(COUNTIF(Control!$D$20:$D$100,$B7)=0,COUNTIF(Control!$D$20:$D$100,K$2)=0),VISUM_Freeway_OD!K7*Control!$B$2,0)</f>
        <v>0</v>
      </c>
      <c r="L7">
        <f>IF(AND(COUNTIF(Control!$D$20:$D$100,$B7)=0,COUNTIF(Control!$D$20:$D$100,L$2)=0),VISUM_Freeway_OD!L7*Control!$B$2,0)</f>
        <v>0</v>
      </c>
      <c r="M7">
        <f>IF(AND(COUNTIF(Control!$D$20:$D$100,$B7)=0,COUNTIF(Control!$D$20:$D$100,M$2)=0),VISUM_Freeway_OD!M7*Control!$B$2,0)</f>
        <v>0</v>
      </c>
      <c r="N7">
        <f>IF(AND(COUNTIF(Control!$D$20:$D$100,$B7)=0,COUNTIF(Control!$D$20:$D$100,N$2)=0),VISUM_Freeway_OD!N7*Control!$B$2,0)</f>
        <v>0</v>
      </c>
      <c r="O7">
        <f>IF(AND(COUNTIF(Control!$D$20:$D$100,$B7)=0,COUNTIF(Control!$D$20:$D$100,O$2)=0),VISUM_Freeway_OD!O7*Control!$B$2,0)</f>
        <v>0</v>
      </c>
      <c r="P7">
        <f>IF(AND(COUNTIF(Control!$D$20:$D$100,$B7)=0,COUNTIF(Control!$D$20:$D$100,P$2)=0),VISUM_Freeway_OD!P7*Control!$B$2,0)</f>
        <v>0</v>
      </c>
      <c r="Q7">
        <f>IF(AND(COUNTIF(Control!$D$20:$D$100,$B7)=0,COUNTIF(Control!$D$20:$D$100,Q$2)=0),VISUM_Freeway_OD!Q7*Control!$B$2,0)</f>
        <v>0</v>
      </c>
      <c r="R7">
        <f>IF(AND(COUNTIF(Control!$D$20:$D$100,$B7)=0,COUNTIF(Control!$D$20:$D$100,R$2)=0),VISUM_Freeway_OD!R7*Control!$B$2,0)</f>
        <v>0</v>
      </c>
      <c r="S7">
        <f>IF(AND(COUNTIF(Control!$D$20:$D$100,$B7)=0,COUNTIF(Control!$D$20:$D$100,S$2)=0),VISUM_Freeway_OD!S7*Control!$B$2,0)</f>
        <v>0</v>
      </c>
      <c r="T7">
        <f>IF(AND(COUNTIF(Control!$D$20:$D$100,$B7)=0,COUNTIF(Control!$D$20:$D$100,T$2)=0),VISUM_Freeway_OD!T7*Control!$B$2,0)</f>
        <v>0</v>
      </c>
      <c r="U7">
        <f>IF(AND(COUNTIF(Control!$D$20:$D$100,$B7)=0,COUNTIF(Control!$D$20:$D$100,U$2)=0),VISUM_Freeway_OD!U7*Control!$B$2,0)</f>
        <v>0</v>
      </c>
      <c r="V7">
        <f>IF(AND(COUNTIF(Control!$D$20:$D$100,$B7)=0,COUNTIF(Control!$D$20:$D$100,V$2)=0),VISUM_Freeway_OD!V7*Control!$B$2,0)</f>
        <v>0</v>
      </c>
      <c r="W7">
        <f>IF(AND(COUNTIF(Control!$D$20:$D$100,$B7)=0,COUNTIF(Control!$D$20:$D$100,W$2)=0),VISUM_Freeway_OD!W7*Control!$B$2,0)</f>
        <v>0</v>
      </c>
      <c r="X7">
        <f>IF(AND(COUNTIF(Control!$D$20:$D$100,$B7)=0,COUNTIF(Control!$D$20:$D$100,X$2)=0),VISUM_Freeway_OD!X7*Control!$B$2,0)</f>
        <v>0</v>
      </c>
      <c r="Y7">
        <f>IF(AND(COUNTIF(Control!$D$20:$D$100,$B7)=0,COUNTIF(Control!$D$20:$D$100,Y$2)=0),VISUM_Freeway_OD!Y7*Control!$B$2,0)</f>
        <v>0</v>
      </c>
      <c r="Z7">
        <f>IF(AND(COUNTIF(Control!$D$20:$D$100,$B7)=0,COUNTIF(Control!$D$20:$D$100,Z$2)=0),VISUM_Freeway_OD!Z7*Control!$B$2,0)</f>
        <v>0</v>
      </c>
      <c r="AA7">
        <f>IF(AND(COUNTIF(Control!$D$20:$D$100,$B7)=0,COUNTIF(Control!$D$20:$D$100,AA$2)=0),VISUM_Freeway_OD!AA7*Control!$B$2,0)</f>
        <v>0</v>
      </c>
      <c r="AB7">
        <f>IF(AND(COUNTIF(Control!$D$20:$D$100,$B7)=0,COUNTIF(Control!$D$20:$D$100,AB$2)=0),VISUM_Freeway_OD!AB7*Control!$B$2,0)</f>
        <v>0</v>
      </c>
      <c r="AC7">
        <f>IF(AND(COUNTIF(Control!$D$20:$D$100,$B7)=0,COUNTIF(Control!$D$20:$D$100,AC$2)=0),VISUM_Freeway_OD!AC7*Control!$B$2,0)</f>
        <v>0</v>
      </c>
      <c r="AD7">
        <f>IF(AND(COUNTIF(Control!$D$20:$D$100,$B7)=0,COUNTIF(Control!$D$20:$D$100,AD$2)=0),VISUM_Freeway_OD!AD7*Control!$B$2,0)</f>
        <v>0</v>
      </c>
      <c r="AE7">
        <f>IF(AND(COUNTIF(Control!$D$20:$D$100,$B7)=0,COUNTIF(Control!$D$20:$D$100,AE$2)=0),VISUM_Freeway_OD!AE7*Control!$B$2,0)</f>
        <v>0</v>
      </c>
      <c r="AF7">
        <f>IF(AND(COUNTIF(Control!$D$20:$D$100,$B7)=0,COUNTIF(Control!$D$20:$D$100,AF$2)=0),VISUM_Freeway_OD!AF7*Control!$B$2,0)</f>
        <v>0</v>
      </c>
      <c r="AG7">
        <f>IF(AND(COUNTIF(Control!$D$20:$D$100,$B7)=0,COUNTIF(Control!$D$20:$D$100,AG$2)=0),VISUM_Freeway_OD!AG7*Control!$B$2,0)</f>
        <v>0</v>
      </c>
      <c r="AH7">
        <f>IF(AND(COUNTIF(Control!$D$20:$D$100,$B7)=0,COUNTIF(Control!$D$20:$D$100,AH$2)=0),VISUM_Freeway_OD!AH7*Control!$B$2,0)</f>
        <v>0</v>
      </c>
      <c r="AI7">
        <f>IF(AND(COUNTIF(Control!$D$20:$D$100,$B7)=0,COUNTIF(Control!$D$20:$D$100,AI$2)=0),VISUM_Freeway_OD!AI7*Control!$B$2,0)</f>
        <v>0</v>
      </c>
      <c r="AJ7">
        <f>IF(AND(COUNTIF(Control!$D$20:$D$100,$B7)=0,COUNTIF(Control!$D$20:$D$100,AJ$2)=0),VISUM_Freeway_OD!AJ7*Control!$B$2,0)</f>
        <v>0</v>
      </c>
      <c r="AK7">
        <f>IF(AND(COUNTIF(Control!$D$20:$D$100,$B7)=0,COUNTIF(Control!$D$20:$D$100,AK$2)=0),VISUM_Freeway_OD!AK7*Control!$B$2,0)</f>
        <v>0</v>
      </c>
      <c r="AL7">
        <f>IF(AND(COUNTIF(Control!$D$20:$D$100,$B7)=0,COUNTIF(Control!$D$20:$D$100,AL$2)=0),VISUM_Freeway_OD!AL7*Control!$B$2,0)</f>
        <v>0</v>
      </c>
      <c r="AM7">
        <f>IF(AND(COUNTIF(Control!$D$20:$D$100,$B7)=0,COUNTIF(Control!$D$20:$D$100,AM$2)=0),VISUM_Freeway_OD!AM7*Control!$B$2,0)</f>
        <v>0</v>
      </c>
      <c r="AN7">
        <f>IF(AND(COUNTIF(Control!$D$20:$D$100,$B7)=0,COUNTIF(Control!$D$20:$D$100,AN$2)=0),VISUM_Freeway_OD!AN7*Control!$B$2,0)</f>
        <v>0</v>
      </c>
      <c r="AO7">
        <f>IF(AND(COUNTIF(Control!$D$20:$D$100,$B7)=0,COUNTIF(Control!$D$20:$D$100,AO$2)=0),VISUM_Freeway_OD!AO7*Control!$B$2,0)</f>
        <v>0</v>
      </c>
      <c r="AP7">
        <f>IF(AND(COUNTIF(Control!$D$20:$D$100,$B7)=0,COUNTIF(Control!$D$20:$D$100,AP$2)=0),VISUM_Freeway_OD!AP7*Control!$B$2,0)</f>
        <v>0</v>
      </c>
      <c r="AQ7">
        <f>IF(AND(COUNTIF(Control!$D$20:$D$100,$B7)=0,COUNTIF(Control!$D$20:$D$100,AQ$2)=0),VISUM_Freeway_OD!AQ7*Control!$B$2,0)</f>
        <v>0</v>
      </c>
      <c r="AR7">
        <f>IF(AND(COUNTIF(Control!$D$20:$D$100,$B7)=0,COUNTIF(Control!$D$20:$D$100,AR$2)=0),VISUM_Freeway_OD!AR7*Control!$B$2,0)</f>
        <v>0</v>
      </c>
      <c r="AS7">
        <f>IF(AND(COUNTIF(Control!$D$20:$D$100,$B7)=0,COUNTIF(Control!$D$20:$D$100,AS$2)=0),VISUM_Freeway_OD!AS7*Control!$B$2,0)</f>
        <v>0</v>
      </c>
      <c r="AT7">
        <f>IF(AND(COUNTIF(Control!$D$20:$D$100,$B7)=0,COUNTIF(Control!$D$20:$D$100,AT$2)=0),VISUM_Freeway_OD!AT7*Control!$B$2,0)</f>
        <v>0</v>
      </c>
      <c r="AU7">
        <f>IF(AND(COUNTIF(Control!$D$20:$D$100,$B7)=0,COUNTIF(Control!$D$20:$D$100,AU$2)=0),VISUM_Freeway_OD!AU7*Control!$B$2,0)</f>
        <v>0</v>
      </c>
      <c r="AV7">
        <f>IF(AND(COUNTIF(Control!$D$20:$D$100,$B7)=0,COUNTIF(Control!$D$20:$D$100,AV$2)=0),VISUM_Freeway_OD!AV7*Control!$B$2,0)</f>
        <v>0</v>
      </c>
      <c r="AW7">
        <f>IF(AND(COUNTIF(Control!$D$20:$D$100,$B7)=0,COUNTIF(Control!$D$20:$D$100,AW$2)=0),VISUM_Freeway_OD!AW7*Control!$B$2,0)</f>
        <v>0</v>
      </c>
      <c r="AX7">
        <f>IF(AND(COUNTIF(Control!$D$20:$D$100,$B7)=0,COUNTIF(Control!$D$20:$D$100,AX$2)=0),VISUM_Freeway_OD!AX7*Control!$B$2,0)</f>
        <v>0</v>
      </c>
      <c r="AY7">
        <f>IF(AND(COUNTIF(Control!$D$20:$D$100,$B7)=0,COUNTIF(Control!$D$20:$D$100,AY$2)=0),VISUM_Freeway_OD!AY7*Control!$B$2,0)</f>
        <v>0</v>
      </c>
    </row>
    <row r="8" spans="1:51" x14ac:dyDescent="0.25">
      <c r="A8" s="4" t="str">
        <f>IF(VLOOKUP(B8,Freeway_Zone_Link_Mapping!$A:$C,2,FALSE)&lt;&gt;"",VLOOKUP(B8,Freeway_Zone_Link_Mapping!$A:$C,2,FALSE),"")</f>
        <v/>
      </c>
      <c r="B8" s="4">
        <v>28</v>
      </c>
      <c r="C8">
        <f>IF(AND(COUNTIF(Control!$D$20:$D$100,$B8)=0,COUNTIF(Control!$D$20:$D$100,C$2)=0),VISUM_Freeway_OD!C8*Control!$B$2,0)</f>
        <v>0</v>
      </c>
      <c r="D8">
        <f>IF(AND(COUNTIF(Control!$D$20:$D$100,$B8)=0,COUNTIF(Control!$D$20:$D$100,D$2)=0),VISUM_Freeway_OD!D8*Control!$B$2,0)</f>
        <v>0</v>
      </c>
      <c r="E8">
        <f>IF(AND(COUNTIF(Control!$D$20:$D$100,$B8)=0,COUNTIF(Control!$D$20:$D$100,E$2)=0),VISUM_Freeway_OD!E8*Control!$B$2,0)</f>
        <v>0</v>
      </c>
      <c r="F8">
        <f>IF(AND(COUNTIF(Control!$D$20:$D$100,$B8)=0,COUNTIF(Control!$D$20:$D$100,F$2)=0),VISUM_Freeway_OD!F8*Control!$B$2,0)</f>
        <v>0</v>
      </c>
      <c r="G8">
        <f>IF(AND(COUNTIF(Control!$D$20:$D$100,$B8)=0,COUNTIF(Control!$D$20:$D$100,G$2)=0),VISUM_Freeway_OD!G8*Control!$B$2,0)</f>
        <v>0</v>
      </c>
      <c r="H8">
        <f>IF(AND(COUNTIF(Control!$D$20:$D$100,$B8)=0,COUNTIF(Control!$D$20:$D$100,H$2)=0),VISUM_Freeway_OD!H8*Control!$B$2,0)</f>
        <v>0</v>
      </c>
      <c r="I8">
        <f>IF(AND(COUNTIF(Control!$D$20:$D$100,$B8)=0,COUNTIF(Control!$D$20:$D$100,I$2)=0),VISUM_Freeway_OD!I8*Control!$B$2,0)</f>
        <v>0</v>
      </c>
      <c r="J8">
        <f>IF(AND(COUNTIF(Control!$D$20:$D$100,$B8)=0,COUNTIF(Control!$D$20:$D$100,J$2)=0),VISUM_Freeway_OD!J8*Control!$B$2,0)</f>
        <v>0</v>
      </c>
      <c r="K8">
        <f>IF(AND(COUNTIF(Control!$D$20:$D$100,$B8)=0,COUNTIF(Control!$D$20:$D$100,K$2)=0),VISUM_Freeway_OD!K8*Control!$B$2,0)</f>
        <v>0</v>
      </c>
      <c r="L8">
        <f>IF(AND(COUNTIF(Control!$D$20:$D$100,$B8)=0,COUNTIF(Control!$D$20:$D$100,L$2)=0),VISUM_Freeway_OD!L8*Control!$B$2,0)</f>
        <v>0</v>
      </c>
      <c r="M8">
        <f>IF(AND(COUNTIF(Control!$D$20:$D$100,$B8)=0,COUNTIF(Control!$D$20:$D$100,M$2)=0),VISUM_Freeway_OD!M8*Control!$B$2,0)</f>
        <v>0</v>
      </c>
      <c r="N8">
        <f>IF(AND(COUNTIF(Control!$D$20:$D$100,$B8)=0,COUNTIF(Control!$D$20:$D$100,N$2)=0),VISUM_Freeway_OD!N8*Control!$B$2,0)</f>
        <v>0</v>
      </c>
      <c r="O8">
        <f>IF(AND(COUNTIF(Control!$D$20:$D$100,$B8)=0,COUNTIF(Control!$D$20:$D$100,O$2)=0),VISUM_Freeway_OD!O8*Control!$B$2,0)</f>
        <v>0</v>
      </c>
      <c r="P8">
        <f>IF(AND(COUNTIF(Control!$D$20:$D$100,$B8)=0,COUNTIF(Control!$D$20:$D$100,P$2)=0),VISUM_Freeway_OD!P8*Control!$B$2,0)</f>
        <v>0</v>
      </c>
      <c r="Q8">
        <f>IF(AND(COUNTIF(Control!$D$20:$D$100,$B8)=0,COUNTIF(Control!$D$20:$D$100,Q$2)=0),VISUM_Freeway_OD!Q8*Control!$B$2,0)</f>
        <v>0</v>
      </c>
      <c r="R8">
        <f>IF(AND(COUNTIF(Control!$D$20:$D$100,$B8)=0,COUNTIF(Control!$D$20:$D$100,R$2)=0),VISUM_Freeway_OD!R8*Control!$B$2,0)</f>
        <v>0</v>
      </c>
      <c r="S8">
        <f>IF(AND(COUNTIF(Control!$D$20:$D$100,$B8)=0,COUNTIF(Control!$D$20:$D$100,S$2)=0),VISUM_Freeway_OD!S8*Control!$B$2,0)</f>
        <v>0</v>
      </c>
      <c r="T8">
        <f>IF(AND(COUNTIF(Control!$D$20:$D$100,$B8)=0,COUNTIF(Control!$D$20:$D$100,T$2)=0),VISUM_Freeway_OD!T8*Control!$B$2,0)</f>
        <v>0</v>
      </c>
      <c r="U8">
        <f>IF(AND(COUNTIF(Control!$D$20:$D$100,$B8)=0,COUNTIF(Control!$D$20:$D$100,U$2)=0),VISUM_Freeway_OD!U8*Control!$B$2,0)</f>
        <v>0</v>
      </c>
      <c r="V8">
        <f>IF(AND(COUNTIF(Control!$D$20:$D$100,$B8)=0,COUNTIF(Control!$D$20:$D$100,V$2)=0),VISUM_Freeway_OD!V8*Control!$B$2,0)</f>
        <v>0</v>
      </c>
      <c r="W8">
        <f>IF(AND(COUNTIF(Control!$D$20:$D$100,$B8)=0,COUNTIF(Control!$D$20:$D$100,W$2)=0),VISUM_Freeway_OD!W8*Control!$B$2,0)</f>
        <v>0</v>
      </c>
      <c r="X8">
        <f>IF(AND(COUNTIF(Control!$D$20:$D$100,$B8)=0,COUNTIF(Control!$D$20:$D$100,X$2)=0),VISUM_Freeway_OD!X8*Control!$B$2,0)</f>
        <v>0</v>
      </c>
      <c r="Y8">
        <f>IF(AND(COUNTIF(Control!$D$20:$D$100,$B8)=0,COUNTIF(Control!$D$20:$D$100,Y$2)=0),VISUM_Freeway_OD!Y8*Control!$B$2,0)</f>
        <v>0</v>
      </c>
      <c r="Z8">
        <f>IF(AND(COUNTIF(Control!$D$20:$D$100,$B8)=0,COUNTIF(Control!$D$20:$D$100,Z$2)=0),VISUM_Freeway_OD!Z8*Control!$B$2,0)</f>
        <v>0</v>
      </c>
      <c r="AA8">
        <f>IF(AND(COUNTIF(Control!$D$20:$D$100,$B8)=0,COUNTIF(Control!$D$20:$D$100,AA$2)=0),VISUM_Freeway_OD!AA8*Control!$B$2,0)</f>
        <v>0</v>
      </c>
      <c r="AB8">
        <f>IF(AND(COUNTIF(Control!$D$20:$D$100,$B8)=0,COUNTIF(Control!$D$20:$D$100,AB$2)=0),VISUM_Freeway_OD!AB8*Control!$B$2,0)</f>
        <v>0</v>
      </c>
      <c r="AC8">
        <f>IF(AND(COUNTIF(Control!$D$20:$D$100,$B8)=0,COUNTIF(Control!$D$20:$D$100,AC$2)=0),VISUM_Freeway_OD!AC8*Control!$B$2,0)</f>
        <v>0</v>
      </c>
      <c r="AD8">
        <f>IF(AND(COUNTIF(Control!$D$20:$D$100,$B8)=0,COUNTIF(Control!$D$20:$D$100,AD$2)=0),VISUM_Freeway_OD!AD8*Control!$B$2,0)</f>
        <v>0</v>
      </c>
      <c r="AE8">
        <f>IF(AND(COUNTIF(Control!$D$20:$D$100,$B8)=0,COUNTIF(Control!$D$20:$D$100,AE$2)=0),VISUM_Freeway_OD!AE8*Control!$B$2,0)</f>
        <v>0</v>
      </c>
      <c r="AF8">
        <f>IF(AND(COUNTIF(Control!$D$20:$D$100,$B8)=0,COUNTIF(Control!$D$20:$D$100,AF$2)=0),VISUM_Freeway_OD!AF8*Control!$B$2,0)</f>
        <v>0</v>
      </c>
      <c r="AG8">
        <f>IF(AND(COUNTIF(Control!$D$20:$D$100,$B8)=0,COUNTIF(Control!$D$20:$D$100,AG$2)=0),VISUM_Freeway_OD!AG8*Control!$B$2,0)</f>
        <v>0</v>
      </c>
      <c r="AH8">
        <f>IF(AND(COUNTIF(Control!$D$20:$D$100,$B8)=0,COUNTIF(Control!$D$20:$D$100,AH$2)=0),VISUM_Freeway_OD!AH8*Control!$B$2,0)</f>
        <v>0</v>
      </c>
      <c r="AI8">
        <f>IF(AND(COUNTIF(Control!$D$20:$D$100,$B8)=0,COUNTIF(Control!$D$20:$D$100,AI$2)=0),VISUM_Freeway_OD!AI8*Control!$B$2,0)</f>
        <v>0</v>
      </c>
      <c r="AJ8">
        <f>IF(AND(COUNTIF(Control!$D$20:$D$100,$B8)=0,COUNTIF(Control!$D$20:$D$100,AJ$2)=0),VISUM_Freeway_OD!AJ8*Control!$B$2,0)</f>
        <v>0</v>
      </c>
      <c r="AK8">
        <f>IF(AND(COUNTIF(Control!$D$20:$D$100,$B8)=0,COUNTIF(Control!$D$20:$D$100,AK$2)=0),VISUM_Freeway_OD!AK8*Control!$B$2,0)</f>
        <v>0</v>
      </c>
      <c r="AL8">
        <f>IF(AND(COUNTIF(Control!$D$20:$D$100,$B8)=0,COUNTIF(Control!$D$20:$D$100,AL$2)=0),VISUM_Freeway_OD!AL8*Control!$B$2,0)</f>
        <v>0</v>
      </c>
      <c r="AM8">
        <f>IF(AND(COUNTIF(Control!$D$20:$D$100,$B8)=0,COUNTIF(Control!$D$20:$D$100,AM$2)=0),VISUM_Freeway_OD!AM8*Control!$B$2,0)</f>
        <v>0</v>
      </c>
      <c r="AN8">
        <f>IF(AND(COUNTIF(Control!$D$20:$D$100,$B8)=0,COUNTIF(Control!$D$20:$D$100,AN$2)=0),VISUM_Freeway_OD!AN8*Control!$B$2,0)</f>
        <v>0</v>
      </c>
      <c r="AO8">
        <f>IF(AND(COUNTIF(Control!$D$20:$D$100,$B8)=0,COUNTIF(Control!$D$20:$D$100,AO$2)=0),VISUM_Freeway_OD!AO8*Control!$B$2,0)</f>
        <v>0</v>
      </c>
      <c r="AP8">
        <f>IF(AND(COUNTIF(Control!$D$20:$D$100,$B8)=0,COUNTIF(Control!$D$20:$D$100,AP$2)=0),VISUM_Freeway_OD!AP8*Control!$B$2,0)</f>
        <v>0</v>
      </c>
      <c r="AQ8">
        <f>IF(AND(COUNTIF(Control!$D$20:$D$100,$B8)=0,COUNTIF(Control!$D$20:$D$100,AQ$2)=0),VISUM_Freeway_OD!AQ8*Control!$B$2,0)</f>
        <v>0</v>
      </c>
      <c r="AR8">
        <f>IF(AND(COUNTIF(Control!$D$20:$D$100,$B8)=0,COUNTIF(Control!$D$20:$D$100,AR$2)=0),VISUM_Freeway_OD!AR8*Control!$B$2,0)</f>
        <v>0</v>
      </c>
      <c r="AS8">
        <f>IF(AND(COUNTIF(Control!$D$20:$D$100,$B8)=0,COUNTIF(Control!$D$20:$D$100,AS$2)=0),VISUM_Freeway_OD!AS8*Control!$B$2,0)</f>
        <v>0</v>
      </c>
      <c r="AT8">
        <f>IF(AND(COUNTIF(Control!$D$20:$D$100,$B8)=0,COUNTIF(Control!$D$20:$D$100,AT$2)=0),VISUM_Freeway_OD!AT8*Control!$B$2,0)</f>
        <v>0</v>
      </c>
      <c r="AU8">
        <f>IF(AND(COUNTIF(Control!$D$20:$D$100,$B8)=0,COUNTIF(Control!$D$20:$D$100,AU$2)=0),VISUM_Freeway_OD!AU8*Control!$B$2,0)</f>
        <v>0</v>
      </c>
      <c r="AV8">
        <f>IF(AND(COUNTIF(Control!$D$20:$D$100,$B8)=0,COUNTIF(Control!$D$20:$D$100,AV$2)=0),VISUM_Freeway_OD!AV8*Control!$B$2,0)</f>
        <v>0</v>
      </c>
      <c r="AW8">
        <f>IF(AND(COUNTIF(Control!$D$20:$D$100,$B8)=0,COUNTIF(Control!$D$20:$D$100,AW$2)=0),VISUM_Freeway_OD!AW8*Control!$B$2,0)</f>
        <v>0</v>
      </c>
      <c r="AX8">
        <f>IF(AND(COUNTIF(Control!$D$20:$D$100,$B8)=0,COUNTIF(Control!$D$20:$D$100,AX$2)=0),VISUM_Freeway_OD!AX8*Control!$B$2,0)</f>
        <v>0</v>
      </c>
      <c r="AY8">
        <f>IF(AND(COUNTIF(Control!$D$20:$D$100,$B8)=0,COUNTIF(Control!$D$20:$D$100,AY$2)=0),VISUM_Freeway_OD!AY8*Control!$B$2,0)</f>
        <v>0</v>
      </c>
    </row>
    <row r="9" spans="1:51" x14ac:dyDescent="0.25">
      <c r="A9" s="4">
        <f>IF(VLOOKUP(B9,Freeway_Zone_Link_Mapping!$A:$C,2,FALSE)&lt;&gt;"",VLOOKUP(B9,Freeway_Zone_Link_Mapping!$A:$C,2,FALSE),"")</f>
        <v>210</v>
      </c>
      <c r="B9" s="4">
        <v>29</v>
      </c>
      <c r="C9">
        <f>IF(AND(COUNTIF(Control!$D$20:$D$100,$B9)=0,COUNTIF(Control!$D$20:$D$100,C$2)=0),VISUM_Freeway_OD!C9*Control!$B$2,0)</f>
        <v>4.2010691099999997</v>
      </c>
      <c r="D9">
        <f>IF(AND(COUNTIF(Control!$D$20:$D$100,$B9)=0,COUNTIF(Control!$D$20:$D$100,D$2)=0),VISUM_Freeway_OD!D9*Control!$B$2,0)</f>
        <v>0</v>
      </c>
      <c r="E9">
        <f>IF(AND(COUNTIF(Control!$D$20:$D$100,$B9)=0,COUNTIF(Control!$D$20:$D$100,E$2)=0),VISUM_Freeway_OD!E9*Control!$B$2,0)</f>
        <v>1.6974488699999999</v>
      </c>
      <c r="F9" s="25">
        <f>IF(AND(COUNTIF(Control!$D$20:$D$100,$B9)=0,COUNTIF(Control!$D$20:$D$100,F$2)=0),VISUM_Freeway_OD!F9*0.11,0)+200</f>
        <v>494.60588729</v>
      </c>
      <c r="G9">
        <f>IF(AND(COUNTIF(Control!$D$20:$D$100,$B9)=0,COUNTIF(Control!$D$20:$D$100,G$2)=0),VISUM_Freeway_OD!G9*Control!$B$2,0)</f>
        <v>0</v>
      </c>
      <c r="H9">
        <f>IF(AND(COUNTIF(Control!$D$20:$D$100,$B9)=0,COUNTIF(Control!$D$20:$D$100,H$2)=0),VISUM_Freeway_OD!H9*Control!$B$2,0)</f>
        <v>0</v>
      </c>
      <c r="I9">
        <f>IF(AND(COUNTIF(Control!$D$20:$D$100,$B9)=0,COUNTIF(Control!$D$20:$D$100,I$2)=0),VISUM_Freeway_OD!I9*Control!$B$2,0)</f>
        <v>0</v>
      </c>
      <c r="J9">
        <f>IF(AND(COUNTIF(Control!$D$20:$D$100,$B9)=0,COUNTIF(Control!$D$20:$D$100,J$2)=0),VISUM_Freeway_OD!J9*Control!$B$2,0)</f>
        <v>0</v>
      </c>
      <c r="K9">
        <f>IF(AND(COUNTIF(Control!$D$20:$D$100,$B9)=0,COUNTIF(Control!$D$20:$D$100,K$2)=0),VISUM_Freeway_OD!K9*Control!$B$2,0)</f>
        <v>0</v>
      </c>
      <c r="L9">
        <f>IF(AND(COUNTIF(Control!$D$20:$D$100,$B9)=0,COUNTIF(Control!$D$20:$D$100,L$2)=0),VISUM_Freeway_OD!L9*Control!$B$2,0)</f>
        <v>0</v>
      </c>
      <c r="M9">
        <f>IF(AND(COUNTIF(Control!$D$20:$D$100,$B9)=0,COUNTIF(Control!$D$20:$D$100,M$2)=0),VISUM_Freeway_OD!M9*Control!$B$2,0)</f>
        <v>0</v>
      </c>
      <c r="N9">
        <f>IF(AND(COUNTIF(Control!$D$20:$D$100,$B9)=0,COUNTIF(Control!$D$20:$D$100,N$2)=0),VISUM_Freeway_OD!N9*Control!$B$2,0)</f>
        <v>0</v>
      </c>
      <c r="O9">
        <f>IF(AND(COUNTIF(Control!$D$20:$D$100,$B9)=0,COUNTIF(Control!$D$20:$D$100,O$2)=0),VISUM_Freeway_OD!O9*Control!$B$2,0)</f>
        <v>0</v>
      </c>
      <c r="P9">
        <f>IF(AND(COUNTIF(Control!$D$20:$D$100,$B9)=0,COUNTIF(Control!$D$20:$D$100,P$2)=0),VISUM_Freeway_OD!P9*Control!$B$2,0)</f>
        <v>0</v>
      </c>
      <c r="Q9">
        <f>IF(AND(COUNTIF(Control!$D$20:$D$100,$B9)=0,COUNTIF(Control!$D$20:$D$100,Q$2)=0),VISUM_Freeway_OD!Q9*Control!$B$2,0)</f>
        <v>0</v>
      </c>
      <c r="R9">
        <f>IF(AND(COUNTIF(Control!$D$20:$D$100,$B9)=0,COUNTIF(Control!$D$20:$D$100,R$2)=0),VISUM_Freeway_OD!R9*Control!$B$2,0)</f>
        <v>0</v>
      </c>
      <c r="S9">
        <f>IF(AND(COUNTIF(Control!$D$20:$D$100,$B9)=0,COUNTIF(Control!$D$20:$D$100,S$2)=0),VISUM_Freeway_OD!S9*Control!$B$2,0)</f>
        <v>0</v>
      </c>
      <c r="T9">
        <f>IF(AND(COUNTIF(Control!$D$20:$D$100,$B9)=0,COUNTIF(Control!$D$20:$D$100,T$2)=0),VISUM_Freeway_OD!T9*Control!$B$2,0)</f>
        <v>0</v>
      </c>
      <c r="U9">
        <f>IF(AND(COUNTIF(Control!$D$20:$D$100,$B9)=0,COUNTIF(Control!$D$20:$D$100,U$2)=0),VISUM_Freeway_OD!U9*Control!$B$2,0)</f>
        <v>0</v>
      </c>
      <c r="V9">
        <f>IF(AND(COUNTIF(Control!$D$20:$D$100,$B9)=0,COUNTIF(Control!$D$20:$D$100,V$2)=0),VISUM_Freeway_OD!V9*Control!$B$2,0)</f>
        <v>42.30535665</v>
      </c>
      <c r="W9">
        <f>IF(AND(COUNTIF(Control!$D$20:$D$100,$B9)=0,COUNTIF(Control!$D$20:$D$100,W$2)=0),VISUM_Freeway_OD!W9*Control!$B$2,0)</f>
        <v>0</v>
      </c>
      <c r="X9">
        <f>IF(AND(COUNTIF(Control!$D$20:$D$100,$B9)=0,COUNTIF(Control!$D$20:$D$100,X$2)=0),VISUM_Freeway_OD!X9*Control!$B$2,0)</f>
        <v>47.706040469999998</v>
      </c>
      <c r="Y9">
        <f>IF(AND(COUNTIF(Control!$D$20:$D$100,$B9)=0,COUNTIF(Control!$D$20:$D$100,Y$2)=0),VISUM_Freeway_OD!Y9*Control!$B$2,0)</f>
        <v>0</v>
      </c>
      <c r="Z9">
        <f>IF(AND(COUNTIF(Control!$D$20:$D$100,$B9)=0,COUNTIF(Control!$D$20:$D$100,Z$2)=0),VISUM_Freeway_OD!Z9*Control!$B$2,0)</f>
        <v>0</v>
      </c>
      <c r="AA9">
        <f>IF(AND(COUNTIF(Control!$D$20:$D$100,$B9)=0,COUNTIF(Control!$D$20:$D$100,AA$2)=0),VISUM_Freeway_OD!AA9*Control!$B$2,0)</f>
        <v>0</v>
      </c>
      <c r="AB9">
        <f>IF(AND(COUNTIF(Control!$D$20:$D$100,$B9)=0,COUNTIF(Control!$D$20:$D$100,AB$2)=0),VISUM_Freeway_OD!AB9*Control!$B$2,0)</f>
        <v>0</v>
      </c>
      <c r="AC9">
        <f>IF(AND(COUNTIF(Control!$D$20:$D$100,$B9)=0,COUNTIF(Control!$D$20:$D$100,AC$2)=0),VISUM_Freeway_OD!AC9*Control!$B$2,0)</f>
        <v>0</v>
      </c>
      <c r="AD9">
        <f>IF(AND(COUNTIF(Control!$D$20:$D$100,$B9)=0,COUNTIF(Control!$D$20:$D$100,AD$2)=0),VISUM_Freeway_OD!AD9*Control!$B$2,0)</f>
        <v>0</v>
      </c>
      <c r="AE9">
        <f>IF(AND(COUNTIF(Control!$D$20:$D$100,$B9)=0,COUNTIF(Control!$D$20:$D$100,AE$2)=0),VISUM_Freeway_OD!AE9*Control!$B$2,0)</f>
        <v>0</v>
      </c>
      <c r="AF9">
        <f>IF(AND(COUNTIF(Control!$D$20:$D$100,$B9)=0,COUNTIF(Control!$D$20:$D$100,AF$2)=0),VISUM_Freeway_OD!AF9*Control!$B$2,0)</f>
        <v>0</v>
      </c>
      <c r="AG9">
        <f>IF(AND(COUNTIF(Control!$D$20:$D$100,$B9)=0,COUNTIF(Control!$D$20:$D$100,AG$2)=0),VISUM_Freeway_OD!AG9*Control!$B$2,0)</f>
        <v>0</v>
      </c>
      <c r="AH9">
        <f>IF(AND(COUNTIF(Control!$D$20:$D$100,$B9)=0,COUNTIF(Control!$D$20:$D$100,AH$2)=0),VISUM_Freeway_OD!AH9*Control!$B$2,0)</f>
        <v>0</v>
      </c>
      <c r="AI9">
        <f>IF(AND(COUNTIF(Control!$D$20:$D$100,$B9)=0,COUNTIF(Control!$D$20:$D$100,AI$2)=0),VISUM_Freeway_OD!AI9*Control!$B$2,0)</f>
        <v>0</v>
      </c>
      <c r="AJ9">
        <f>IF(AND(COUNTIF(Control!$D$20:$D$100,$B9)=0,COUNTIF(Control!$D$20:$D$100,AJ$2)=0),VISUM_Freeway_OD!AJ9*Control!$B$2,0)</f>
        <v>0</v>
      </c>
      <c r="AK9">
        <f>IF(AND(COUNTIF(Control!$D$20:$D$100,$B9)=0,COUNTIF(Control!$D$20:$D$100,AK$2)=0),VISUM_Freeway_OD!AK9*Control!$B$2,0)</f>
        <v>0</v>
      </c>
      <c r="AL9">
        <f>IF(AND(COUNTIF(Control!$D$20:$D$100,$B9)=0,COUNTIF(Control!$D$20:$D$100,AL$2)=0),VISUM_Freeway_OD!AL9*Control!$B$2,0)</f>
        <v>6.1066067999999998</v>
      </c>
      <c r="AM9">
        <f>IF(AND(COUNTIF(Control!$D$20:$D$100,$B9)=0,COUNTIF(Control!$D$20:$D$100,AM$2)=0),VISUM_Freeway_OD!AM9*Control!$B$2,0)</f>
        <v>0</v>
      </c>
      <c r="AN9">
        <f>IF(AND(COUNTIF(Control!$D$20:$D$100,$B9)=0,COUNTIF(Control!$D$20:$D$100,AN$2)=0),VISUM_Freeway_OD!AN9*Control!$B$2,0)</f>
        <v>0</v>
      </c>
      <c r="AO9">
        <f>IF(AND(COUNTIF(Control!$D$20:$D$100,$B9)=0,COUNTIF(Control!$D$20:$D$100,AO$2)=0),VISUM_Freeway_OD!AO9*Control!$B$2,0)</f>
        <v>0</v>
      </c>
      <c r="AP9">
        <f>IF(AND(COUNTIF(Control!$D$20:$D$100,$B9)=0,COUNTIF(Control!$D$20:$D$100,AP$2)=0),VISUM_Freeway_OD!AP9*Control!$B$2,0)</f>
        <v>0</v>
      </c>
      <c r="AQ9">
        <f>IF(AND(COUNTIF(Control!$D$20:$D$100,$B9)=0,COUNTIF(Control!$D$20:$D$100,AQ$2)=0),VISUM_Freeway_OD!AQ9*Control!$B$2,0)</f>
        <v>0</v>
      </c>
      <c r="AR9">
        <f>IF(AND(COUNTIF(Control!$D$20:$D$100,$B9)=0,COUNTIF(Control!$D$20:$D$100,AR$2)=0),VISUM_Freeway_OD!AR9*Control!$B$2,0)</f>
        <v>0</v>
      </c>
      <c r="AS9">
        <f>IF(AND(COUNTIF(Control!$D$20:$D$100,$B9)=0,COUNTIF(Control!$D$20:$D$100,AS$2)=0),VISUM_Freeway_OD!AS9*Control!$B$2,0)</f>
        <v>26.976361769999997</v>
      </c>
      <c r="AT9">
        <f>IF(AND(COUNTIF(Control!$D$20:$D$100,$B9)=0,COUNTIF(Control!$D$20:$D$100,AT$2)=0),VISUM_Freeway_OD!AT9*Control!$B$2,0)</f>
        <v>0</v>
      </c>
      <c r="AU9">
        <f>IF(AND(COUNTIF(Control!$D$20:$D$100,$B9)=0,COUNTIF(Control!$D$20:$D$100,AU$2)=0),VISUM_Freeway_OD!AU9*Control!$B$2,0)</f>
        <v>0</v>
      </c>
      <c r="AV9">
        <f>IF(AND(COUNTIF(Control!$D$20:$D$100,$B9)=0,COUNTIF(Control!$D$20:$D$100,AV$2)=0),VISUM_Freeway_OD!AV9*Control!$B$2,0)</f>
        <v>5.6371642199999998</v>
      </c>
      <c r="AW9">
        <f>IF(AND(COUNTIF(Control!$D$20:$D$100,$B9)=0,COUNTIF(Control!$D$20:$D$100,AW$2)=0),VISUM_Freeway_OD!AW9*Control!$B$2,0)</f>
        <v>0</v>
      </c>
      <c r="AX9">
        <f>IF(AND(COUNTIF(Control!$D$20:$D$100,$B9)=0,COUNTIF(Control!$D$20:$D$100,AX$2)=0),VISUM_Freeway_OD!AX9*Control!$B$2,0)</f>
        <v>12.371985809999998</v>
      </c>
      <c r="AY9">
        <f>IF(AND(COUNTIF(Control!$D$20:$D$100,$B9)=0,COUNTIF(Control!$D$20:$D$100,AY$2)=0),VISUM_Freeway_OD!AY9*Control!$B$2,0)</f>
        <v>0</v>
      </c>
    </row>
    <row r="10" spans="1:51" x14ac:dyDescent="0.25">
      <c r="A10" s="4">
        <f>IF(VLOOKUP(B10,Freeway_Zone_Link_Mapping!$A:$C,2,FALSE)&lt;&gt;"",VLOOKUP(B10,Freeway_Zone_Link_Mapping!$A:$C,2,FALSE),"")</f>
        <v>24</v>
      </c>
      <c r="B10" s="4">
        <v>30</v>
      </c>
      <c r="C10">
        <f>IF(AND(COUNTIF(Control!$D$20:$D$100,$B10)=0,COUNTIF(Control!$D$20:$D$100,C$2)=0),VISUM_Freeway_OD!C10*Control!$B$2,0)</f>
        <v>0</v>
      </c>
      <c r="D10">
        <f>IF(AND(COUNTIF(Control!$D$20:$D$100,$B10)=0,COUNTIF(Control!$D$20:$D$100,D$2)=0),VISUM_Freeway_OD!D10*Control!$B$2,0)</f>
        <v>0</v>
      </c>
      <c r="E10">
        <f>IF(AND(COUNTIF(Control!$D$20:$D$100,$B10)=0,COUNTIF(Control!$D$20:$D$100,E$2)=0),VISUM_Freeway_OD!E10*Control!$B$2,0)</f>
        <v>0</v>
      </c>
      <c r="F10">
        <f>IF(AND(COUNTIF(Control!$D$20:$D$100,$B10)=0,COUNTIF(Control!$D$20:$D$100,F$2)=0),VISUM_Freeway_OD!F10*Control!$B$2,0)</f>
        <v>0</v>
      </c>
      <c r="G10">
        <f>IF(AND(COUNTIF(Control!$D$20:$D$100,$B10)=0,COUNTIF(Control!$D$20:$D$100,G$2)=0),VISUM_Freeway_OD!G10*Control!$B$2,0)</f>
        <v>0</v>
      </c>
      <c r="H10">
        <f>IF(AND(COUNTIF(Control!$D$20:$D$100,$B10)=0,COUNTIF(Control!$D$20:$D$100,H$2)=0),VISUM_Freeway_OD!H10*Control!$B$2,0)</f>
        <v>0</v>
      </c>
      <c r="I10">
        <f>IF(AND(COUNTIF(Control!$D$20:$D$100,$B10)=0,COUNTIF(Control!$D$20:$D$100,I$2)=0),VISUM_Freeway_OD!I10*Control!$B$2,0)</f>
        <v>0</v>
      </c>
      <c r="J10">
        <f>IF(AND(COUNTIF(Control!$D$20:$D$100,$B10)=0,COUNTIF(Control!$D$20:$D$100,J$2)=0),VISUM_Freeway_OD!J10*Control!$B$2,0)</f>
        <v>0</v>
      </c>
      <c r="K10">
        <f>IF(AND(COUNTIF(Control!$D$20:$D$100,$B10)=0,COUNTIF(Control!$D$20:$D$100,K$2)=0),VISUM_Freeway_OD!K10*Control!$B$2,0)</f>
        <v>0</v>
      </c>
      <c r="L10">
        <f>IF(AND(COUNTIF(Control!$D$20:$D$100,$B10)=0,COUNTIF(Control!$D$20:$D$100,L$2)=0),VISUM_Freeway_OD!L10*Control!$B$2,0)</f>
        <v>0</v>
      </c>
      <c r="M10">
        <f>IF(AND(COUNTIF(Control!$D$20:$D$100,$B10)=0,COUNTIF(Control!$D$20:$D$100,M$2)=0),VISUM_Freeway_OD!M10*Control!$B$2,0)</f>
        <v>13.78905144</v>
      </c>
      <c r="N10">
        <f>IF(AND(COUNTIF(Control!$D$20:$D$100,$B10)=0,COUNTIF(Control!$D$20:$D$100,N$2)=0),VISUM_Freeway_OD!N10*Control!$B$2,0)</f>
        <v>78.07388988000001</v>
      </c>
      <c r="O10">
        <f>IF(AND(COUNTIF(Control!$D$20:$D$100,$B10)=0,COUNTIF(Control!$D$20:$D$100,O$2)=0),VISUM_Freeway_OD!O10*Control!$B$2,0)</f>
        <v>0</v>
      </c>
      <c r="P10">
        <f>IF(AND(COUNTIF(Control!$D$20:$D$100,$B10)=0,COUNTIF(Control!$D$20:$D$100,P$2)=0),VISUM_Freeway_OD!P10*Control!$B$2,0)</f>
        <v>0</v>
      </c>
      <c r="Q10">
        <f>IF(AND(COUNTIF(Control!$D$20:$D$100,$B10)=0,COUNTIF(Control!$D$20:$D$100,Q$2)=0),VISUM_Freeway_OD!Q10*Control!$B$2,0)</f>
        <v>0</v>
      </c>
      <c r="R10">
        <f>IF(AND(COUNTIF(Control!$D$20:$D$100,$B10)=0,COUNTIF(Control!$D$20:$D$100,R$2)=0),VISUM_Freeway_OD!R10*Control!$B$2,0)</f>
        <v>0</v>
      </c>
      <c r="S10">
        <f>IF(AND(COUNTIF(Control!$D$20:$D$100,$B10)=0,COUNTIF(Control!$D$20:$D$100,S$2)=0),VISUM_Freeway_OD!S10*Control!$B$2,0)</f>
        <v>0</v>
      </c>
      <c r="T10">
        <f>IF(AND(COUNTIF(Control!$D$20:$D$100,$B10)=0,COUNTIF(Control!$D$20:$D$100,T$2)=0),VISUM_Freeway_OD!T10*Control!$B$2,0)</f>
        <v>0</v>
      </c>
      <c r="U10">
        <f>IF(AND(COUNTIF(Control!$D$20:$D$100,$B10)=0,COUNTIF(Control!$D$20:$D$100,U$2)=0),VISUM_Freeway_OD!U10*Control!$B$2,0)</f>
        <v>0</v>
      </c>
      <c r="V10">
        <f>IF(AND(COUNTIF(Control!$D$20:$D$100,$B10)=0,COUNTIF(Control!$D$20:$D$100,V$2)=0),VISUM_Freeway_OD!V10*Control!$B$2,0)</f>
        <v>0</v>
      </c>
      <c r="W10">
        <f>IF(AND(COUNTIF(Control!$D$20:$D$100,$B10)=0,COUNTIF(Control!$D$20:$D$100,W$2)=0),VISUM_Freeway_OD!W10*Control!$B$2,0)</f>
        <v>0</v>
      </c>
      <c r="X10">
        <f>IF(AND(COUNTIF(Control!$D$20:$D$100,$B10)=0,COUNTIF(Control!$D$20:$D$100,X$2)=0),VISUM_Freeway_OD!X10*Control!$B$2,0)</f>
        <v>0</v>
      </c>
      <c r="Y10">
        <f>IF(AND(COUNTIF(Control!$D$20:$D$100,$B10)=0,COUNTIF(Control!$D$20:$D$100,Y$2)=0),VISUM_Freeway_OD!Y10*Control!$B$2,0)</f>
        <v>0</v>
      </c>
      <c r="Z10">
        <f>IF(AND(COUNTIF(Control!$D$20:$D$100,$B10)=0,COUNTIF(Control!$D$20:$D$100,Z$2)=0),VISUM_Freeway_OD!Z10*Control!$B$2,0)</f>
        <v>0</v>
      </c>
      <c r="AA10">
        <f>IF(AND(COUNTIF(Control!$D$20:$D$100,$B10)=0,COUNTIF(Control!$D$20:$D$100,AA$2)=0),VISUM_Freeway_OD!AA10*Control!$B$2,0)</f>
        <v>0</v>
      </c>
      <c r="AB10">
        <f>IF(AND(COUNTIF(Control!$D$20:$D$100,$B10)=0,COUNTIF(Control!$D$20:$D$100,AB$2)=0),VISUM_Freeway_OD!AB10*Control!$B$2,0)</f>
        <v>0</v>
      </c>
      <c r="AC10">
        <f>IF(AND(COUNTIF(Control!$D$20:$D$100,$B10)=0,COUNTIF(Control!$D$20:$D$100,AC$2)=0),VISUM_Freeway_OD!AC10*Control!$B$2,0)</f>
        <v>0</v>
      </c>
      <c r="AD10">
        <f>IF(AND(COUNTIF(Control!$D$20:$D$100,$B10)=0,COUNTIF(Control!$D$20:$D$100,AD$2)=0),VISUM_Freeway_OD!AD10*Control!$B$2,0)</f>
        <v>0</v>
      </c>
      <c r="AE10">
        <f>IF(AND(COUNTIF(Control!$D$20:$D$100,$B10)=0,COUNTIF(Control!$D$20:$D$100,AE$2)=0),VISUM_Freeway_OD!AE10*Control!$B$2,0)</f>
        <v>0</v>
      </c>
      <c r="AF10">
        <f>IF(AND(COUNTIF(Control!$D$20:$D$100,$B10)=0,COUNTIF(Control!$D$20:$D$100,AF$2)=0),VISUM_Freeway_OD!AF10*Control!$B$2,0)</f>
        <v>35.964723929999998</v>
      </c>
      <c r="AG10">
        <f>IF(AND(COUNTIF(Control!$D$20:$D$100,$B10)=0,COUNTIF(Control!$D$20:$D$100,AG$2)=0),VISUM_Freeway_OD!AG10*Control!$B$2,0)</f>
        <v>9.5945846699999997</v>
      </c>
      <c r="AH10">
        <f>IF(AND(COUNTIF(Control!$D$20:$D$100,$B10)=0,COUNTIF(Control!$D$20:$D$100,AH$2)=0),VISUM_Freeway_OD!AH10*Control!$B$2,0)</f>
        <v>0</v>
      </c>
      <c r="AI10">
        <f>IF(AND(COUNTIF(Control!$D$20:$D$100,$B10)=0,COUNTIF(Control!$D$20:$D$100,AI$2)=0),VISUM_Freeway_OD!AI10*Control!$B$2,0)</f>
        <v>0</v>
      </c>
      <c r="AJ10">
        <f>IF(AND(COUNTIF(Control!$D$20:$D$100,$B10)=0,COUNTIF(Control!$D$20:$D$100,AJ$2)=0),VISUM_Freeway_OD!AJ10*Control!$B$2,0)</f>
        <v>5.0947772699999998</v>
      </c>
      <c r="AK10">
        <f>IF(AND(COUNTIF(Control!$D$20:$D$100,$B10)=0,COUNTIF(Control!$D$20:$D$100,AK$2)=0),VISUM_Freeway_OD!AK10*Control!$B$2,0)</f>
        <v>0</v>
      </c>
      <c r="AL10">
        <f>IF(AND(COUNTIF(Control!$D$20:$D$100,$B10)=0,COUNTIF(Control!$D$20:$D$100,AL$2)=0),VISUM_Freeway_OD!AL10*Control!$B$2,0)</f>
        <v>0</v>
      </c>
      <c r="AM10">
        <f>IF(AND(COUNTIF(Control!$D$20:$D$100,$B10)=0,COUNTIF(Control!$D$20:$D$100,AM$2)=0),VISUM_Freeway_OD!AM10*Control!$B$2,0)</f>
        <v>0</v>
      </c>
      <c r="AN10">
        <f>IF(AND(COUNTIF(Control!$D$20:$D$100,$B10)=0,COUNTIF(Control!$D$20:$D$100,AN$2)=0),VISUM_Freeway_OD!AN10*Control!$B$2,0)</f>
        <v>0</v>
      </c>
      <c r="AO10">
        <f>IF(AND(COUNTIF(Control!$D$20:$D$100,$B10)=0,COUNTIF(Control!$D$20:$D$100,AO$2)=0),VISUM_Freeway_OD!AO10*Control!$B$2,0)</f>
        <v>0</v>
      </c>
      <c r="AP10">
        <f>IF(AND(COUNTIF(Control!$D$20:$D$100,$B10)=0,COUNTIF(Control!$D$20:$D$100,AP$2)=0),VISUM_Freeway_OD!AP10*Control!$B$2,0)</f>
        <v>0</v>
      </c>
      <c r="AQ10">
        <f>IF(AND(COUNTIF(Control!$D$20:$D$100,$B10)=0,COUNTIF(Control!$D$20:$D$100,AQ$2)=0),VISUM_Freeway_OD!AQ10*Control!$B$2,0)</f>
        <v>2.36053413</v>
      </c>
      <c r="AR10">
        <f>IF(AND(COUNTIF(Control!$D$20:$D$100,$B10)=0,COUNTIF(Control!$D$20:$D$100,AR$2)=0),VISUM_Freeway_OD!AR10*Control!$B$2,0)</f>
        <v>0.65934437999999995</v>
      </c>
      <c r="AS10">
        <f>IF(AND(COUNTIF(Control!$D$20:$D$100,$B10)=0,COUNTIF(Control!$D$20:$D$100,AS$2)=0),VISUM_Freeway_OD!AS10*Control!$B$2,0)</f>
        <v>0</v>
      </c>
      <c r="AT10">
        <f>IF(AND(COUNTIF(Control!$D$20:$D$100,$B10)=0,COUNTIF(Control!$D$20:$D$100,AT$2)=0),VISUM_Freeway_OD!AT10*Control!$B$2,0)</f>
        <v>0</v>
      </c>
      <c r="AU10">
        <f>IF(AND(COUNTIF(Control!$D$20:$D$100,$B10)=0,COUNTIF(Control!$D$20:$D$100,AU$2)=0),VISUM_Freeway_OD!AU10*Control!$B$2,0)</f>
        <v>0</v>
      </c>
      <c r="AV10">
        <f>IF(AND(COUNTIF(Control!$D$20:$D$100,$B10)=0,COUNTIF(Control!$D$20:$D$100,AV$2)=0),VISUM_Freeway_OD!AV10*Control!$B$2,0)</f>
        <v>0</v>
      </c>
      <c r="AW10">
        <f>IF(AND(COUNTIF(Control!$D$20:$D$100,$B10)=0,COUNTIF(Control!$D$20:$D$100,AW$2)=0),VISUM_Freeway_OD!AW10*Control!$B$2,0)</f>
        <v>0</v>
      </c>
      <c r="AX10">
        <f>IF(AND(COUNTIF(Control!$D$20:$D$100,$B10)=0,COUNTIF(Control!$D$20:$D$100,AX$2)=0),VISUM_Freeway_OD!AX10*Control!$B$2,0)</f>
        <v>0</v>
      </c>
      <c r="AY10">
        <f>IF(AND(COUNTIF(Control!$D$20:$D$100,$B10)=0,COUNTIF(Control!$D$20:$D$100,AY$2)=0),VISUM_Freeway_OD!AY10*Control!$B$2,0)</f>
        <v>0</v>
      </c>
    </row>
    <row r="11" spans="1:51" x14ac:dyDescent="0.25">
      <c r="A11" s="4" t="str">
        <f>IF(VLOOKUP(B11,Freeway_Zone_Link_Mapping!$A:$C,2,FALSE)&lt;&gt;"",VLOOKUP(B11,Freeway_Zone_Link_Mapping!$A:$C,2,FALSE),"")</f>
        <v/>
      </c>
      <c r="B11" s="4">
        <v>31</v>
      </c>
      <c r="C11">
        <f>IF(AND(COUNTIF(Control!$D$20:$D$100,$B11)=0,COUNTIF(Control!$D$20:$D$100,C$2)=0),VISUM_Freeway_OD!C11*Control!$B$2,0)</f>
        <v>0</v>
      </c>
      <c r="D11">
        <f>IF(AND(COUNTIF(Control!$D$20:$D$100,$B11)=0,COUNTIF(Control!$D$20:$D$100,D$2)=0),VISUM_Freeway_OD!D11*Control!$B$2,0)</f>
        <v>0</v>
      </c>
      <c r="E11">
        <f>IF(AND(COUNTIF(Control!$D$20:$D$100,$B11)=0,COUNTIF(Control!$D$20:$D$100,E$2)=0),VISUM_Freeway_OD!E11*Control!$B$2,0)</f>
        <v>0</v>
      </c>
      <c r="F11">
        <f>IF(AND(COUNTIF(Control!$D$20:$D$100,$B11)=0,COUNTIF(Control!$D$20:$D$100,F$2)=0),VISUM_Freeway_OD!F11*Control!$B$2,0)</f>
        <v>0</v>
      </c>
      <c r="G11">
        <f>IF(AND(COUNTIF(Control!$D$20:$D$100,$B11)=0,COUNTIF(Control!$D$20:$D$100,G$2)=0),VISUM_Freeway_OD!G11*Control!$B$2,0)</f>
        <v>0</v>
      </c>
      <c r="H11">
        <f>IF(AND(COUNTIF(Control!$D$20:$D$100,$B11)=0,COUNTIF(Control!$D$20:$D$100,H$2)=0),VISUM_Freeway_OD!H11*Control!$B$2,0)</f>
        <v>0</v>
      </c>
      <c r="I11">
        <f>IF(AND(COUNTIF(Control!$D$20:$D$100,$B11)=0,COUNTIF(Control!$D$20:$D$100,I$2)=0),VISUM_Freeway_OD!I11*Control!$B$2,0)</f>
        <v>0</v>
      </c>
      <c r="J11">
        <f>IF(AND(COUNTIF(Control!$D$20:$D$100,$B11)=0,COUNTIF(Control!$D$20:$D$100,J$2)=0),VISUM_Freeway_OD!J11*Control!$B$2,0)</f>
        <v>0</v>
      </c>
      <c r="K11">
        <f>IF(AND(COUNTIF(Control!$D$20:$D$100,$B11)=0,COUNTIF(Control!$D$20:$D$100,K$2)=0),VISUM_Freeway_OD!K11*Control!$B$2,0)</f>
        <v>0</v>
      </c>
      <c r="L11">
        <f>IF(AND(COUNTIF(Control!$D$20:$D$100,$B11)=0,COUNTIF(Control!$D$20:$D$100,L$2)=0),VISUM_Freeway_OD!L11*Control!$B$2,0)</f>
        <v>0</v>
      </c>
      <c r="M11">
        <f>IF(AND(COUNTIF(Control!$D$20:$D$100,$B11)=0,COUNTIF(Control!$D$20:$D$100,M$2)=0),VISUM_Freeway_OD!M11*Control!$B$2,0)</f>
        <v>0</v>
      </c>
      <c r="N11">
        <f>IF(AND(COUNTIF(Control!$D$20:$D$100,$B11)=0,COUNTIF(Control!$D$20:$D$100,N$2)=0),VISUM_Freeway_OD!N11*Control!$B$2,0)</f>
        <v>0</v>
      </c>
      <c r="O11">
        <f>IF(AND(COUNTIF(Control!$D$20:$D$100,$B11)=0,COUNTIF(Control!$D$20:$D$100,O$2)=0),VISUM_Freeway_OD!O11*Control!$B$2,0)</f>
        <v>0</v>
      </c>
      <c r="P11">
        <f>IF(AND(COUNTIF(Control!$D$20:$D$100,$B11)=0,COUNTIF(Control!$D$20:$D$100,P$2)=0),VISUM_Freeway_OD!P11*Control!$B$2,0)</f>
        <v>0</v>
      </c>
      <c r="Q11">
        <f>IF(AND(COUNTIF(Control!$D$20:$D$100,$B11)=0,COUNTIF(Control!$D$20:$D$100,Q$2)=0),VISUM_Freeway_OD!Q11*Control!$B$2,0)</f>
        <v>0</v>
      </c>
      <c r="R11">
        <f>IF(AND(COUNTIF(Control!$D$20:$D$100,$B11)=0,COUNTIF(Control!$D$20:$D$100,R$2)=0),VISUM_Freeway_OD!R11*Control!$B$2,0)</f>
        <v>0</v>
      </c>
      <c r="S11">
        <f>IF(AND(COUNTIF(Control!$D$20:$D$100,$B11)=0,COUNTIF(Control!$D$20:$D$100,S$2)=0),VISUM_Freeway_OD!S11*Control!$B$2,0)</f>
        <v>0</v>
      </c>
      <c r="T11">
        <f>IF(AND(COUNTIF(Control!$D$20:$D$100,$B11)=0,COUNTIF(Control!$D$20:$D$100,T$2)=0),VISUM_Freeway_OD!T11*Control!$B$2,0)</f>
        <v>0</v>
      </c>
      <c r="U11">
        <f>IF(AND(COUNTIF(Control!$D$20:$D$100,$B11)=0,COUNTIF(Control!$D$20:$D$100,U$2)=0),VISUM_Freeway_OD!U11*Control!$B$2,0)</f>
        <v>0</v>
      </c>
      <c r="V11">
        <f>IF(AND(COUNTIF(Control!$D$20:$D$100,$B11)=0,COUNTIF(Control!$D$20:$D$100,V$2)=0),VISUM_Freeway_OD!V11*Control!$B$2,0)</f>
        <v>0</v>
      </c>
      <c r="W11">
        <f>IF(AND(COUNTIF(Control!$D$20:$D$100,$B11)=0,COUNTIF(Control!$D$20:$D$100,W$2)=0),VISUM_Freeway_OD!W11*Control!$B$2,0)</f>
        <v>0</v>
      </c>
      <c r="X11">
        <f>IF(AND(COUNTIF(Control!$D$20:$D$100,$B11)=0,COUNTIF(Control!$D$20:$D$100,X$2)=0),VISUM_Freeway_OD!X11*Control!$B$2,0)</f>
        <v>0</v>
      </c>
      <c r="Y11">
        <f>IF(AND(COUNTIF(Control!$D$20:$D$100,$B11)=0,COUNTIF(Control!$D$20:$D$100,Y$2)=0),VISUM_Freeway_OD!Y11*Control!$B$2,0)</f>
        <v>0</v>
      </c>
      <c r="Z11">
        <f>IF(AND(COUNTIF(Control!$D$20:$D$100,$B11)=0,COUNTIF(Control!$D$20:$D$100,Z$2)=0),VISUM_Freeway_OD!Z11*Control!$B$2,0)</f>
        <v>0</v>
      </c>
      <c r="AA11">
        <f>IF(AND(COUNTIF(Control!$D$20:$D$100,$B11)=0,COUNTIF(Control!$D$20:$D$100,AA$2)=0),VISUM_Freeway_OD!AA11*Control!$B$2,0)</f>
        <v>0</v>
      </c>
      <c r="AB11">
        <f>IF(AND(COUNTIF(Control!$D$20:$D$100,$B11)=0,COUNTIF(Control!$D$20:$D$100,AB$2)=0),VISUM_Freeway_OD!AB11*Control!$B$2,0)</f>
        <v>0</v>
      </c>
      <c r="AC11">
        <f>IF(AND(COUNTIF(Control!$D$20:$D$100,$B11)=0,COUNTIF(Control!$D$20:$D$100,AC$2)=0),VISUM_Freeway_OD!AC11*Control!$B$2,0)</f>
        <v>0</v>
      </c>
      <c r="AD11">
        <f>IF(AND(COUNTIF(Control!$D$20:$D$100,$B11)=0,COUNTIF(Control!$D$20:$D$100,AD$2)=0),VISUM_Freeway_OD!AD11*Control!$B$2,0)</f>
        <v>0</v>
      </c>
      <c r="AE11">
        <f>IF(AND(COUNTIF(Control!$D$20:$D$100,$B11)=0,COUNTIF(Control!$D$20:$D$100,AE$2)=0),VISUM_Freeway_OD!AE11*Control!$B$2,0)</f>
        <v>0</v>
      </c>
      <c r="AF11">
        <f>IF(AND(COUNTIF(Control!$D$20:$D$100,$B11)=0,COUNTIF(Control!$D$20:$D$100,AF$2)=0),VISUM_Freeway_OD!AF11*Control!$B$2,0)</f>
        <v>0</v>
      </c>
      <c r="AG11">
        <f>IF(AND(COUNTIF(Control!$D$20:$D$100,$B11)=0,COUNTIF(Control!$D$20:$D$100,AG$2)=0),VISUM_Freeway_OD!AG11*Control!$B$2,0)</f>
        <v>0</v>
      </c>
      <c r="AH11">
        <f>IF(AND(COUNTIF(Control!$D$20:$D$100,$B11)=0,COUNTIF(Control!$D$20:$D$100,AH$2)=0),VISUM_Freeway_OD!AH11*Control!$B$2,0)</f>
        <v>0</v>
      </c>
      <c r="AI11">
        <f>IF(AND(COUNTIF(Control!$D$20:$D$100,$B11)=0,COUNTIF(Control!$D$20:$D$100,AI$2)=0),VISUM_Freeway_OD!AI11*Control!$B$2,0)</f>
        <v>0</v>
      </c>
      <c r="AJ11">
        <f>IF(AND(COUNTIF(Control!$D$20:$D$100,$B11)=0,COUNTIF(Control!$D$20:$D$100,AJ$2)=0),VISUM_Freeway_OD!AJ11*Control!$B$2,0)</f>
        <v>0</v>
      </c>
      <c r="AK11">
        <f>IF(AND(COUNTIF(Control!$D$20:$D$100,$B11)=0,COUNTIF(Control!$D$20:$D$100,AK$2)=0),VISUM_Freeway_OD!AK11*Control!$B$2,0)</f>
        <v>0</v>
      </c>
      <c r="AL11">
        <f>IF(AND(COUNTIF(Control!$D$20:$D$100,$B11)=0,COUNTIF(Control!$D$20:$D$100,AL$2)=0),VISUM_Freeway_OD!AL11*Control!$B$2,0)</f>
        <v>0</v>
      </c>
      <c r="AM11">
        <f>IF(AND(COUNTIF(Control!$D$20:$D$100,$B11)=0,COUNTIF(Control!$D$20:$D$100,AM$2)=0),VISUM_Freeway_OD!AM11*Control!$B$2,0)</f>
        <v>0</v>
      </c>
      <c r="AN11">
        <f>IF(AND(COUNTIF(Control!$D$20:$D$100,$B11)=0,COUNTIF(Control!$D$20:$D$100,AN$2)=0),VISUM_Freeway_OD!AN11*Control!$B$2,0)</f>
        <v>0</v>
      </c>
      <c r="AO11">
        <f>IF(AND(COUNTIF(Control!$D$20:$D$100,$B11)=0,COUNTIF(Control!$D$20:$D$100,AO$2)=0),VISUM_Freeway_OD!AO11*Control!$B$2,0)</f>
        <v>0</v>
      </c>
      <c r="AP11">
        <f>IF(AND(COUNTIF(Control!$D$20:$D$100,$B11)=0,COUNTIF(Control!$D$20:$D$100,AP$2)=0),VISUM_Freeway_OD!AP11*Control!$B$2,0)</f>
        <v>0</v>
      </c>
      <c r="AQ11">
        <f>IF(AND(COUNTIF(Control!$D$20:$D$100,$B11)=0,COUNTIF(Control!$D$20:$D$100,AQ$2)=0),VISUM_Freeway_OD!AQ11*Control!$B$2,0)</f>
        <v>0</v>
      </c>
      <c r="AR11">
        <f>IF(AND(COUNTIF(Control!$D$20:$D$100,$B11)=0,COUNTIF(Control!$D$20:$D$100,AR$2)=0),VISUM_Freeway_OD!AR11*Control!$B$2,0)</f>
        <v>0</v>
      </c>
      <c r="AS11">
        <f>IF(AND(COUNTIF(Control!$D$20:$D$100,$B11)=0,COUNTIF(Control!$D$20:$D$100,AS$2)=0),VISUM_Freeway_OD!AS11*Control!$B$2,0)</f>
        <v>0</v>
      </c>
      <c r="AT11">
        <f>IF(AND(COUNTIF(Control!$D$20:$D$100,$B11)=0,COUNTIF(Control!$D$20:$D$100,AT$2)=0),VISUM_Freeway_OD!AT11*Control!$B$2,0)</f>
        <v>0</v>
      </c>
      <c r="AU11">
        <f>IF(AND(COUNTIF(Control!$D$20:$D$100,$B11)=0,COUNTIF(Control!$D$20:$D$100,AU$2)=0),VISUM_Freeway_OD!AU11*Control!$B$2,0)</f>
        <v>0</v>
      </c>
      <c r="AV11">
        <f>IF(AND(COUNTIF(Control!$D$20:$D$100,$B11)=0,COUNTIF(Control!$D$20:$D$100,AV$2)=0),VISUM_Freeway_OD!AV11*Control!$B$2,0)</f>
        <v>0</v>
      </c>
      <c r="AW11">
        <f>IF(AND(COUNTIF(Control!$D$20:$D$100,$B11)=0,COUNTIF(Control!$D$20:$D$100,AW$2)=0),VISUM_Freeway_OD!AW11*Control!$B$2,0)</f>
        <v>0</v>
      </c>
      <c r="AX11">
        <f>IF(AND(COUNTIF(Control!$D$20:$D$100,$B11)=0,COUNTIF(Control!$D$20:$D$100,AX$2)=0),VISUM_Freeway_OD!AX11*Control!$B$2,0)</f>
        <v>0</v>
      </c>
      <c r="AY11">
        <f>IF(AND(COUNTIF(Control!$D$20:$D$100,$B11)=0,COUNTIF(Control!$D$20:$D$100,AY$2)=0),VISUM_Freeway_OD!AY11*Control!$B$2,0)</f>
        <v>0</v>
      </c>
    </row>
    <row r="12" spans="1:51" x14ac:dyDescent="0.25">
      <c r="A12" s="4">
        <f>IF(VLOOKUP(B12,Freeway_Zone_Link_Mapping!$A:$C,2,FALSE)&lt;&gt;"",VLOOKUP(B12,Freeway_Zone_Link_Mapping!$A:$C,2,FALSE),"")</f>
        <v>65</v>
      </c>
      <c r="B12" s="4">
        <v>32</v>
      </c>
      <c r="C12">
        <f>IF(AND(COUNTIF(Control!$D$20:$D$100,$B12)=0,COUNTIF(Control!$D$20:$D$100,C$2)=0),VISUM_Freeway_OD!C12*Control!$B$2,0)</f>
        <v>0.82420211999999993</v>
      </c>
      <c r="D12">
        <f>IF(AND(COUNTIF(Control!$D$20:$D$100,$B12)=0,COUNTIF(Control!$D$20:$D$100,D$2)=0),VISUM_Freeway_OD!D12*Control!$B$2,0)</f>
        <v>0</v>
      </c>
      <c r="E12">
        <f>IF(AND(COUNTIF(Control!$D$20:$D$100,$B12)=0,COUNTIF(Control!$D$20:$D$100,E$2)=0),VISUM_Freeway_OD!E12*Control!$B$2,0)</f>
        <v>0.42237464999999996</v>
      </c>
      <c r="F12">
        <f>IF(AND(COUNTIF(Control!$D$20:$D$100,$B12)=0,COUNTIF(Control!$D$20:$D$100,F$2)=0),VISUM_Freeway_OD!F12*Control!$B$2,0)</f>
        <v>11.185953809999999</v>
      </c>
      <c r="G12">
        <f>IF(AND(COUNTIF(Control!$D$20:$D$100,$B12)=0,COUNTIF(Control!$D$20:$D$100,G$2)=0),VISUM_Freeway_OD!G12*Control!$B$2,0)</f>
        <v>0</v>
      </c>
      <c r="H12">
        <f>IF(AND(COUNTIF(Control!$D$20:$D$100,$B12)=0,COUNTIF(Control!$D$20:$D$100,H$2)=0),VISUM_Freeway_OD!H12*Control!$B$2,0)</f>
        <v>17.316327959999999</v>
      </c>
      <c r="I12">
        <f>IF(AND(COUNTIF(Control!$D$20:$D$100,$B12)=0,COUNTIF(Control!$D$20:$D$100,I$2)=0),VISUM_Freeway_OD!I12*Control!$B$2,0)</f>
        <v>0</v>
      </c>
      <c r="J12">
        <f>IF(AND(COUNTIF(Control!$D$20:$D$100,$B12)=0,COUNTIF(Control!$D$20:$D$100,J$2)=0),VISUM_Freeway_OD!J12*Control!$B$2,0)</f>
        <v>0</v>
      </c>
      <c r="K12">
        <f>IF(AND(COUNTIF(Control!$D$20:$D$100,$B12)=0,COUNTIF(Control!$D$20:$D$100,K$2)=0),VISUM_Freeway_OD!K12*Control!$B$2,0)</f>
        <v>24.29704572</v>
      </c>
      <c r="L12">
        <f>IF(AND(COUNTIF(Control!$D$20:$D$100,$B12)=0,COUNTIF(Control!$D$20:$D$100,L$2)=0),VISUM_Freeway_OD!L12*Control!$B$2,0)</f>
        <v>0</v>
      </c>
      <c r="M12">
        <f>IF(AND(COUNTIF(Control!$D$20:$D$100,$B12)=0,COUNTIF(Control!$D$20:$D$100,M$2)=0),VISUM_Freeway_OD!M12*Control!$B$2,0)</f>
        <v>0</v>
      </c>
      <c r="N12">
        <f>IF(AND(COUNTIF(Control!$D$20:$D$100,$B12)=0,COUNTIF(Control!$D$20:$D$100,N$2)=0),VISUM_Freeway_OD!N12*Control!$B$2,0)</f>
        <v>0</v>
      </c>
      <c r="O12">
        <f>IF(AND(COUNTIF(Control!$D$20:$D$100,$B12)=0,COUNTIF(Control!$D$20:$D$100,O$2)=0),VISUM_Freeway_OD!O12*Control!$B$2,0)</f>
        <v>0</v>
      </c>
      <c r="P12">
        <f>IF(AND(COUNTIF(Control!$D$20:$D$100,$B12)=0,COUNTIF(Control!$D$20:$D$100,P$2)=0),VISUM_Freeway_OD!P12*Control!$B$2,0)</f>
        <v>0</v>
      </c>
      <c r="Q12">
        <f>IF(AND(COUNTIF(Control!$D$20:$D$100,$B12)=0,COUNTIF(Control!$D$20:$D$100,Q$2)=0),VISUM_Freeway_OD!Q12*Control!$B$2,0)</f>
        <v>0</v>
      </c>
      <c r="R12">
        <f>IF(AND(COUNTIF(Control!$D$20:$D$100,$B12)=0,COUNTIF(Control!$D$20:$D$100,R$2)=0),VISUM_Freeway_OD!R12*Control!$B$2,0)</f>
        <v>0</v>
      </c>
      <c r="S12">
        <f>IF(AND(COUNTIF(Control!$D$20:$D$100,$B12)=0,COUNTIF(Control!$D$20:$D$100,S$2)=0),VISUM_Freeway_OD!S12*Control!$B$2,0)</f>
        <v>0.29920458</v>
      </c>
      <c r="T12">
        <f>IF(AND(COUNTIF(Control!$D$20:$D$100,$B12)=0,COUNTIF(Control!$D$20:$D$100,T$2)=0),VISUM_Freeway_OD!T12*Control!$B$2,0)</f>
        <v>0.30003030000000003</v>
      </c>
      <c r="U12">
        <f>IF(AND(COUNTIF(Control!$D$20:$D$100,$B12)=0,COUNTIF(Control!$D$20:$D$100,U$2)=0),VISUM_Freeway_OD!U12*Control!$B$2,0)</f>
        <v>0</v>
      </c>
      <c r="V12">
        <f>IF(AND(COUNTIF(Control!$D$20:$D$100,$B12)=0,COUNTIF(Control!$D$20:$D$100,V$2)=0),VISUM_Freeway_OD!V12*Control!$B$2,0)</f>
        <v>0</v>
      </c>
      <c r="W12">
        <f>IF(AND(COUNTIF(Control!$D$20:$D$100,$B12)=0,COUNTIF(Control!$D$20:$D$100,W$2)=0),VISUM_Freeway_OD!W12*Control!$B$2,0)</f>
        <v>0</v>
      </c>
      <c r="X12">
        <f>IF(AND(COUNTIF(Control!$D$20:$D$100,$B12)=0,COUNTIF(Control!$D$20:$D$100,X$2)=0),VISUM_Freeway_OD!X12*Control!$B$2,0)</f>
        <v>0</v>
      </c>
      <c r="Y12">
        <f>IF(AND(COUNTIF(Control!$D$20:$D$100,$B12)=0,COUNTIF(Control!$D$20:$D$100,Y$2)=0),VISUM_Freeway_OD!Y12*Control!$B$2,0)</f>
        <v>0</v>
      </c>
      <c r="Z12">
        <f>IF(AND(COUNTIF(Control!$D$20:$D$100,$B12)=0,COUNTIF(Control!$D$20:$D$100,Z$2)=0),VISUM_Freeway_OD!Z12*Control!$B$2,0)</f>
        <v>0</v>
      </c>
      <c r="AA12">
        <f>IF(AND(COUNTIF(Control!$D$20:$D$100,$B12)=0,COUNTIF(Control!$D$20:$D$100,AA$2)=0),VISUM_Freeway_OD!AA12*Control!$B$2,0)</f>
        <v>0</v>
      </c>
      <c r="AB12">
        <f>IF(AND(COUNTIF(Control!$D$20:$D$100,$B12)=0,COUNTIF(Control!$D$20:$D$100,AB$2)=0),VISUM_Freeway_OD!AB12*Control!$B$2,0)</f>
        <v>0.64837571999999999</v>
      </c>
      <c r="AC12">
        <f>IF(AND(COUNTIF(Control!$D$20:$D$100,$B12)=0,COUNTIF(Control!$D$20:$D$100,AC$2)=0),VISUM_Freeway_OD!AC12*Control!$B$2,0)</f>
        <v>0</v>
      </c>
      <c r="AD12">
        <f>IF(AND(COUNTIF(Control!$D$20:$D$100,$B12)=0,COUNTIF(Control!$D$20:$D$100,AD$2)=0),VISUM_Freeway_OD!AD12*Control!$B$2,0)</f>
        <v>0</v>
      </c>
      <c r="AE12">
        <f>IF(AND(COUNTIF(Control!$D$20:$D$100,$B12)=0,COUNTIF(Control!$D$20:$D$100,AE$2)=0),VISUM_Freeway_OD!AE12*Control!$B$2,0)</f>
        <v>0.85702650000000002</v>
      </c>
      <c r="AF12">
        <f>IF(AND(COUNTIF(Control!$D$20:$D$100,$B12)=0,COUNTIF(Control!$D$20:$D$100,AF$2)=0),VISUM_Freeway_OD!AF12*Control!$B$2,0)</f>
        <v>0</v>
      </c>
      <c r="AG12">
        <f>IF(AND(COUNTIF(Control!$D$20:$D$100,$B12)=0,COUNTIF(Control!$D$20:$D$100,AG$2)=0),VISUM_Freeway_OD!AG12*Control!$B$2,0)</f>
        <v>0</v>
      </c>
      <c r="AH12">
        <f>IF(AND(COUNTIF(Control!$D$20:$D$100,$B12)=0,COUNTIF(Control!$D$20:$D$100,AH$2)=0),VISUM_Freeway_OD!AH12*Control!$B$2,0)</f>
        <v>0</v>
      </c>
      <c r="AI12">
        <f>IF(AND(COUNTIF(Control!$D$20:$D$100,$B12)=0,COUNTIF(Control!$D$20:$D$100,AI$2)=0),VISUM_Freeway_OD!AI12*Control!$B$2,0)</f>
        <v>0</v>
      </c>
      <c r="AJ12">
        <f>IF(AND(COUNTIF(Control!$D$20:$D$100,$B12)=0,COUNTIF(Control!$D$20:$D$100,AJ$2)=0),VISUM_Freeway_OD!AJ12*Control!$B$2,0)</f>
        <v>0</v>
      </c>
      <c r="AK12">
        <f>IF(AND(COUNTIF(Control!$D$20:$D$100,$B12)=0,COUNTIF(Control!$D$20:$D$100,AK$2)=0),VISUM_Freeway_OD!AK12*Control!$B$2,0)</f>
        <v>0</v>
      </c>
      <c r="AL12">
        <f>IF(AND(COUNTIF(Control!$D$20:$D$100,$B12)=0,COUNTIF(Control!$D$20:$D$100,AL$2)=0),VISUM_Freeway_OD!AL12*Control!$B$2,0)</f>
        <v>1.4246146799999999</v>
      </c>
      <c r="AM12">
        <f>IF(AND(COUNTIF(Control!$D$20:$D$100,$B12)=0,COUNTIF(Control!$D$20:$D$100,AM$2)=0),VISUM_Freeway_OD!AM12*Control!$B$2,0)</f>
        <v>0</v>
      </c>
      <c r="AN12">
        <f>IF(AND(COUNTIF(Control!$D$20:$D$100,$B12)=0,COUNTIF(Control!$D$20:$D$100,AN$2)=0),VISUM_Freeway_OD!AN12*Control!$B$2,0)</f>
        <v>0</v>
      </c>
      <c r="AO12">
        <f>IF(AND(COUNTIF(Control!$D$20:$D$100,$B12)=0,COUNTIF(Control!$D$20:$D$100,AO$2)=0),VISUM_Freeway_OD!AO12*Control!$B$2,0)</f>
        <v>0</v>
      </c>
      <c r="AP12">
        <f>IF(AND(COUNTIF(Control!$D$20:$D$100,$B12)=0,COUNTIF(Control!$D$20:$D$100,AP$2)=0),VISUM_Freeway_OD!AP12*Control!$B$2,0)</f>
        <v>0</v>
      </c>
      <c r="AQ12">
        <f>IF(AND(COUNTIF(Control!$D$20:$D$100,$B12)=0,COUNTIF(Control!$D$20:$D$100,AQ$2)=0),VISUM_Freeway_OD!AQ12*Control!$B$2,0)</f>
        <v>0</v>
      </c>
      <c r="AR12">
        <f>IF(AND(COUNTIF(Control!$D$20:$D$100,$B12)=0,COUNTIF(Control!$D$20:$D$100,AR$2)=0),VISUM_Freeway_OD!AR12*Control!$B$2,0)</f>
        <v>0</v>
      </c>
      <c r="AS12">
        <f>IF(AND(COUNTIF(Control!$D$20:$D$100,$B12)=0,COUNTIF(Control!$D$20:$D$100,AS$2)=0),VISUM_Freeway_OD!AS12*Control!$B$2,0)</f>
        <v>0</v>
      </c>
      <c r="AT12">
        <f>IF(AND(COUNTIF(Control!$D$20:$D$100,$B12)=0,COUNTIF(Control!$D$20:$D$100,AT$2)=0),VISUM_Freeway_OD!AT12*Control!$B$2,0)</f>
        <v>0</v>
      </c>
      <c r="AU12">
        <f>IF(AND(COUNTIF(Control!$D$20:$D$100,$B12)=0,COUNTIF(Control!$D$20:$D$100,AU$2)=0),VISUM_Freeway_OD!AU12*Control!$B$2,0)</f>
        <v>10.2047118</v>
      </c>
      <c r="AV12">
        <f>IF(AND(COUNTIF(Control!$D$20:$D$100,$B12)=0,COUNTIF(Control!$D$20:$D$100,AV$2)=0),VISUM_Freeway_OD!AV12*Control!$B$2,0)</f>
        <v>0</v>
      </c>
      <c r="AW12">
        <f>IF(AND(COUNTIF(Control!$D$20:$D$100,$B12)=0,COUNTIF(Control!$D$20:$D$100,AW$2)=0),VISUM_Freeway_OD!AW12*Control!$B$2,0)</f>
        <v>0</v>
      </c>
      <c r="AX12">
        <f>IF(AND(COUNTIF(Control!$D$20:$D$100,$B12)=0,COUNTIF(Control!$D$20:$D$100,AX$2)=0),VISUM_Freeway_OD!AX12*Control!$B$2,0)</f>
        <v>0</v>
      </c>
      <c r="AY12">
        <f>IF(AND(COUNTIF(Control!$D$20:$D$100,$B12)=0,COUNTIF(Control!$D$20:$D$100,AY$2)=0),VISUM_Freeway_OD!AY12*Control!$B$2,0)</f>
        <v>0</v>
      </c>
    </row>
    <row r="13" spans="1:51" x14ac:dyDescent="0.25">
      <c r="A13" s="4" t="str">
        <f>IF(VLOOKUP(B13,Freeway_Zone_Link_Mapping!$A:$C,2,FALSE)&lt;&gt;"",VLOOKUP(B13,Freeway_Zone_Link_Mapping!$A:$C,2,FALSE),"")</f>
        <v/>
      </c>
      <c r="B13" s="4">
        <v>33</v>
      </c>
      <c r="C13">
        <f>IF(AND(COUNTIF(Control!$D$20:$D$100,$B13)=0,COUNTIF(Control!$D$20:$D$100,C$2)=0),VISUM_Freeway_OD!C13*Control!$B$2,0)</f>
        <v>0</v>
      </c>
      <c r="D13">
        <f>IF(AND(COUNTIF(Control!$D$20:$D$100,$B13)=0,COUNTIF(Control!$D$20:$D$100,D$2)=0),VISUM_Freeway_OD!D13*Control!$B$2,0)</f>
        <v>0</v>
      </c>
      <c r="E13">
        <f>IF(AND(COUNTIF(Control!$D$20:$D$100,$B13)=0,COUNTIF(Control!$D$20:$D$100,E$2)=0),VISUM_Freeway_OD!E13*Control!$B$2,0)</f>
        <v>0</v>
      </c>
      <c r="F13">
        <f>IF(AND(COUNTIF(Control!$D$20:$D$100,$B13)=0,COUNTIF(Control!$D$20:$D$100,F$2)=0),VISUM_Freeway_OD!F13*Control!$B$2,0)</f>
        <v>0</v>
      </c>
      <c r="G13">
        <f>IF(AND(COUNTIF(Control!$D$20:$D$100,$B13)=0,COUNTIF(Control!$D$20:$D$100,G$2)=0),VISUM_Freeway_OD!G13*Control!$B$2,0)</f>
        <v>0</v>
      </c>
      <c r="H13">
        <f>IF(AND(COUNTIF(Control!$D$20:$D$100,$B13)=0,COUNTIF(Control!$D$20:$D$100,H$2)=0),VISUM_Freeway_OD!H13*Control!$B$2,0)</f>
        <v>0</v>
      </c>
      <c r="I13">
        <f>IF(AND(COUNTIF(Control!$D$20:$D$100,$B13)=0,COUNTIF(Control!$D$20:$D$100,I$2)=0),VISUM_Freeway_OD!I13*Control!$B$2,0)</f>
        <v>0</v>
      </c>
      <c r="J13">
        <f>IF(AND(COUNTIF(Control!$D$20:$D$100,$B13)=0,COUNTIF(Control!$D$20:$D$100,J$2)=0),VISUM_Freeway_OD!J13*Control!$B$2,0)</f>
        <v>0</v>
      </c>
      <c r="K13">
        <f>IF(AND(COUNTIF(Control!$D$20:$D$100,$B13)=0,COUNTIF(Control!$D$20:$D$100,K$2)=0),VISUM_Freeway_OD!K13*Control!$B$2,0)</f>
        <v>0</v>
      </c>
      <c r="L13">
        <f>IF(AND(COUNTIF(Control!$D$20:$D$100,$B13)=0,COUNTIF(Control!$D$20:$D$100,L$2)=0),VISUM_Freeway_OD!L13*Control!$B$2,0)</f>
        <v>0</v>
      </c>
      <c r="M13">
        <f>IF(AND(COUNTIF(Control!$D$20:$D$100,$B13)=0,COUNTIF(Control!$D$20:$D$100,M$2)=0),VISUM_Freeway_OD!M13*Control!$B$2,0)</f>
        <v>0</v>
      </c>
      <c r="N13">
        <f>IF(AND(COUNTIF(Control!$D$20:$D$100,$B13)=0,COUNTIF(Control!$D$20:$D$100,N$2)=0),VISUM_Freeway_OD!N13*Control!$B$2,0)</f>
        <v>0</v>
      </c>
      <c r="O13">
        <f>IF(AND(COUNTIF(Control!$D$20:$D$100,$B13)=0,COUNTIF(Control!$D$20:$D$100,O$2)=0),VISUM_Freeway_OD!O13*Control!$B$2,0)</f>
        <v>0</v>
      </c>
      <c r="P13">
        <f>IF(AND(COUNTIF(Control!$D$20:$D$100,$B13)=0,COUNTIF(Control!$D$20:$D$100,P$2)=0),VISUM_Freeway_OD!P13*Control!$B$2,0)</f>
        <v>0</v>
      </c>
      <c r="Q13">
        <f>IF(AND(COUNTIF(Control!$D$20:$D$100,$B13)=0,COUNTIF(Control!$D$20:$D$100,Q$2)=0),VISUM_Freeway_OD!Q13*Control!$B$2,0)</f>
        <v>0</v>
      </c>
      <c r="R13">
        <f>IF(AND(COUNTIF(Control!$D$20:$D$100,$B13)=0,COUNTIF(Control!$D$20:$D$100,R$2)=0),VISUM_Freeway_OD!R13*Control!$B$2,0)</f>
        <v>0</v>
      </c>
      <c r="S13">
        <f>IF(AND(COUNTIF(Control!$D$20:$D$100,$B13)=0,COUNTIF(Control!$D$20:$D$100,S$2)=0),VISUM_Freeway_OD!S13*Control!$B$2,0)</f>
        <v>0</v>
      </c>
      <c r="T13">
        <f>IF(AND(COUNTIF(Control!$D$20:$D$100,$B13)=0,COUNTIF(Control!$D$20:$D$100,T$2)=0),VISUM_Freeway_OD!T13*Control!$B$2,0)</f>
        <v>0</v>
      </c>
      <c r="U13">
        <f>IF(AND(COUNTIF(Control!$D$20:$D$100,$B13)=0,COUNTIF(Control!$D$20:$D$100,U$2)=0),VISUM_Freeway_OD!U13*Control!$B$2,0)</f>
        <v>0</v>
      </c>
      <c r="V13">
        <f>IF(AND(COUNTIF(Control!$D$20:$D$100,$B13)=0,COUNTIF(Control!$D$20:$D$100,V$2)=0),VISUM_Freeway_OD!V13*Control!$B$2,0)</f>
        <v>0</v>
      </c>
      <c r="W13">
        <f>IF(AND(COUNTIF(Control!$D$20:$D$100,$B13)=0,COUNTIF(Control!$D$20:$D$100,W$2)=0),VISUM_Freeway_OD!W13*Control!$B$2,0)</f>
        <v>0</v>
      </c>
      <c r="X13">
        <f>IF(AND(COUNTIF(Control!$D$20:$D$100,$B13)=0,COUNTIF(Control!$D$20:$D$100,X$2)=0),VISUM_Freeway_OD!X13*Control!$B$2,0)</f>
        <v>0</v>
      </c>
      <c r="Y13">
        <f>IF(AND(COUNTIF(Control!$D$20:$D$100,$B13)=0,COUNTIF(Control!$D$20:$D$100,Y$2)=0),VISUM_Freeway_OD!Y13*Control!$B$2,0)</f>
        <v>0</v>
      </c>
      <c r="Z13">
        <f>IF(AND(COUNTIF(Control!$D$20:$D$100,$B13)=0,COUNTIF(Control!$D$20:$D$100,Z$2)=0),VISUM_Freeway_OD!Z13*Control!$B$2,0)</f>
        <v>0</v>
      </c>
      <c r="AA13">
        <f>IF(AND(COUNTIF(Control!$D$20:$D$100,$B13)=0,COUNTIF(Control!$D$20:$D$100,AA$2)=0),VISUM_Freeway_OD!AA13*Control!$B$2,0)</f>
        <v>0</v>
      </c>
      <c r="AB13">
        <f>IF(AND(COUNTIF(Control!$D$20:$D$100,$B13)=0,COUNTIF(Control!$D$20:$D$100,AB$2)=0),VISUM_Freeway_OD!AB13*Control!$B$2,0)</f>
        <v>0</v>
      </c>
      <c r="AC13">
        <f>IF(AND(COUNTIF(Control!$D$20:$D$100,$B13)=0,COUNTIF(Control!$D$20:$D$100,AC$2)=0),VISUM_Freeway_OD!AC13*Control!$B$2,0)</f>
        <v>0</v>
      </c>
      <c r="AD13">
        <f>IF(AND(COUNTIF(Control!$D$20:$D$100,$B13)=0,COUNTIF(Control!$D$20:$D$100,AD$2)=0),VISUM_Freeway_OD!AD13*Control!$B$2,0)</f>
        <v>0</v>
      </c>
      <c r="AE13">
        <f>IF(AND(COUNTIF(Control!$D$20:$D$100,$B13)=0,COUNTIF(Control!$D$20:$D$100,AE$2)=0),VISUM_Freeway_OD!AE13*Control!$B$2,0)</f>
        <v>0</v>
      </c>
      <c r="AF13">
        <f>IF(AND(COUNTIF(Control!$D$20:$D$100,$B13)=0,COUNTIF(Control!$D$20:$D$100,AF$2)=0),VISUM_Freeway_OD!AF13*Control!$B$2,0)</f>
        <v>0</v>
      </c>
      <c r="AG13">
        <f>IF(AND(COUNTIF(Control!$D$20:$D$100,$B13)=0,COUNTIF(Control!$D$20:$D$100,AG$2)=0),VISUM_Freeway_OD!AG13*Control!$B$2,0)</f>
        <v>0</v>
      </c>
      <c r="AH13">
        <f>IF(AND(COUNTIF(Control!$D$20:$D$100,$B13)=0,COUNTIF(Control!$D$20:$D$100,AH$2)=0),VISUM_Freeway_OD!AH13*Control!$B$2,0)</f>
        <v>0</v>
      </c>
      <c r="AI13">
        <f>IF(AND(COUNTIF(Control!$D$20:$D$100,$B13)=0,COUNTIF(Control!$D$20:$D$100,AI$2)=0),VISUM_Freeway_OD!AI13*Control!$B$2,0)</f>
        <v>0</v>
      </c>
      <c r="AJ13">
        <f>IF(AND(COUNTIF(Control!$D$20:$D$100,$B13)=0,COUNTIF(Control!$D$20:$D$100,AJ$2)=0),VISUM_Freeway_OD!AJ13*Control!$B$2,0)</f>
        <v>0</v>
      </c>
      <c r="AK13">
        <f>IF(AND(COUNTIF(Control!$D$20:$D$100,$B13)=0,COUNTIF(Control!$D$20:$D$100,AK$2)=0),VISUM_Freeway_OD!AK13*Control!$B$2,0)</f>
        <v>0</v>
      </c>
      <c r="AL13">
        <f>IF(AND(COUNTIF(Control!$D$20:$D$100,$B13)=0,COUNTIF(Control!$D$20:$D$100,AL$2)=0),VISUM_Freeway_OD!AL13*Control!$B$2,0)</f>
        <v>0</v>
      </c>
      <c r="AM13">
        <f>IF(AND(COUNTIF(Control!$D$20:$D$100,$B13)=0,COUNTIF(Control!$D$20:$D$100,AM$2)=0),VISUM_Freeway_OD!AM13*Control!$B$2,0)</f>
        <v>0</v>
      </c>
      <c r="AN13">
        <f>IF(AND(COUNTIF(Control!$D$20:$D$100,$B13)=0,COUNTIF(Control!$D$20:$D$100,AN$2)=0),VISUM_Freeway_OD!AN13*Control!$B$2,0)</f>
        <v>0</v>
      </c>
      <c r="AO13">
        <f>IF(AND(COUNTIF(Control!$D$20:$D$100,$B13)=0,COUNTIF(Control!$D$20:$D$100,AO$2)=0),VISUM_Freeway_OD!AO13*Control!$B$2,0)</f>
        <v>0</v>
      </c>
      <c r="AP13">
        <f>IF(AND(COUNTIF(Control!$D$20:$D$100,$B13)=0,COUNTIF(Control!$D$20:$D$100,AP$2)=0),VISUM_Freeway_OD!AP13*Control!$B$2,0)</f>
        <v>0</v>
      </c>
      <c r="AQ13">
        <f>IF(AND(COUNTIF(Control!$D$20:$D$100,$B13)=0,COUNTIF(Control!$D$20:$D$100,AQ$2)=0),VISUM_Freeway_OD!AQ13*Control!$B$2,0)</f>
        <v>0</v>
      </c>
      <c r="AR13">
        <f>IF(AND(COUNTIF(Control!$D$20:$D$100,$B13)=0,COUNTIF(Control!$D$20:$D$100,AR$2)=0),VISUM_Freeway_OD!AR13*Control!$B$2,0)</f>
        <v>0</v>
      </c>
      <c r="AS13">
        <f>IF(AND(COUNTIF(Control!$D$20:$D$100,$B13)=0,COUNTIF(Control!$D$20:$D$100,AS$2)=0),VISUM_Freeway_OD!AS13*Control!$B$2,0)</f>
        <v>0</v>
      </c>
      <c r="AT13">
        <f>IF(AND(COUNTIF(Control!$D$20:$D$100,$B13)=0,COUNTIF(Control!$D$20:$D$100,AT$2)=0),VISUM_Freeway_OD!AT13*Control!$B$2,0)</f>
        <v>0</v>
      </c>
      <c r="AU13">
        <f>IF(AND(COUNTIF(Control!$D$20:$D$100,$B13)=0,COUNTIF(Control!$D$20:$D$100,AU$2)=0),VISUM_Freeway_OD!AU13*Control!$B$2,0)</f>
        <v>0</v>
      </c>
      <c r="AV13">
        <f>IF(AND(COUNTIF(Control!$D$20:$D$100,$B13)=0,COUNTIF(Control!$D$20:$D$100,AV$2)=0),VISUM_Freeway_OD!AV13*Control!$B$2,0)</f>
        <v>0</v>
      </c>
      <c r="AW13">
        <f>IF(AND(COUNTIF(Control!$D$20:$D$100,$B13)=0,COUNTIF(Control!$D$20:$D$100,AW$2)=0),VISUM_Freeway_OD!AW13*Control!$B$2,0)</f>
        <v>0</v>
      </c>
      <c r="AX13">
        <f>IF(AND(COUNTIF(Control!$D$20:$D$100,$B13)=0,COUNTIF(Control!$D$20:$D$100,AX$2)=0),VISUM_Freeway_OD!AX13*Control!$B$2,0)</f>
        <v>0</v>
      </c>
      <c r="AY13">
        <f>IF(AND(COUNTIF(Control!$D$20:$D$100,$B13)=0,COUNTIF(Control!$D$20:$D$100,AY$2)=0),VISUM_Freeway_OD!AY13*Control!$B$2,0)</f>
        <v>0</v>
      </c>
    </row>
    <row r="14" spans="1:51" x14ac:dyDescent="0.25">
      <c r="A14" s="4" t="str">
        <f>IF(VLOOKUP(B14,Freeway_Zone_Link_Mapping!$A:$C,2,FALSE)&lt;&gt;"",VLOOKUP(B14,Freeway_Zone_Link_Mapping!$A:$C,2,FALSE),"")</f>
        <v/>
      </c>
      <c r="B14" s="4">
        <v>34</v>
      </c>
      <c r="C14">
        <f>IF(AND(COUNTIF(Control!$D$20:$D$100,$B14)=0,COUNTIF(Control!$D$20:$D$100,C$2)=0),VISUM_Freeway_OD!C14*Control!$B$2,0)</f>
        <v>0</v>
      </c>
      <c r="D14">
        <f>IF(AND(COUNTIF(Control!$D$20:$D$100,$B14)=0,COUNTIF(Control!$D$20:$D$100,D$2)=0),VISUM_Freeway_OD!D14*Control!$B$2,0)</f>
        <v>0</v>
      </c>
      <c r="E14">
        <f>IF(AND(COUNTIF(Control!$D$20:$D$100,$B14)=0,COUNTIF(Control!$D$20:$D$100,E$2)=0),VISUM_Freeway_OD!E14*Control!$B$2,0)</f>
        <v>0</v>
      </c>
      <c r="F14">
        <f>IF(AND(COUNTIF(Control!$D$20:$D$100,$B14)=0,COUNTIF(Control!$D$20:$D$100,F$2)=0),VISUM_Freeway_OD!F14*Control!$B$2,0)</f>
        <v>0</v>
      </c>
      <c r="G14">
        <f>IF(AND(COUNTIF(Control!$D$20:$D$100,$B14)=0,COUNTIF(Control!$D$20:$D$100,G$2)=0),VISUM_Freeway_OD!G14*Control!$B$2,0)</f>
        <v>0</v>
      </c>
      <c r="H14">
        <f>IF(AND(COUNTIF(Control!$D$20:$D$100,$B14)=0,COUNTIF(Control!$D$20:$D$100,H$2)=0),VISUM_Freeway_OD!H14*Control!$B$2,0)</f>
        <v>0</v>
      </c>
      <c r="I14">
        <f>IF(AND(COUNTIF(Control!$D$20:$D$100,$B14)=0,COUNTIF(Control!$D$20:$D$100,I$2)=0),VISUM_Freeway_OD!I14*Control!$B$2,0)</f>
        <v>0</v>
      </c>
      <c r="J14">
        <f>IF(AND(COUNTIF(Control!$D$20:$D$100,$B14)=0,COUNTIF(Control!$D$20:$D$100,J$2)=0),VISUM_Freeway_OD!J14*Control!$B$2,0)</f>
        <v>0</v>
      </c>
      <c r="K14">
        <f>IF(AND(COUNTIF(Control!$D$20:$D$100,$B14)=0,COUNTIF(Control!$D$20:$D$100,K$2)=0),VISUM_Freeway_OD!K14*Control!$B$2,0)</f>
        <v>0</v>
      </c>
      <c r="L14">
        <f>IF(AND(COUNTIF(Control!$D$20:$D$100,$B14)=0,COUNTIF(Control!$D$20:$D$100,L$2)=0),VISUM_Freeway_OD!L14*Control!$B$2,0)</f>
        <v>0</v>
      </c>
      <c r="M14">
        <f>IF(AND(COUNTIF(Control!$D$20:$D$100,$B14)=0,COUNTIF(Control!$D$20:$D$100,M$2)=0),VISUM_Freeway_OD!M14*Control!$B$2,0)</f>
        <v>0</v>
      </c>
      <c r="N14">
        <f>IF(AND(COUNTIF(Control!$D$20:$D$100,$B14)=0,COUNTIF(Control!$D$20:$D$100,N$2)=0),VISUM_Freeway_OD!N14*Control!$B$2,0)</f>
        <v>0</v>
      </c>
      <c r="O14">
        <f>IF(AND(COUNTIF(Control!$D$20:$D$100,$B14)=0,COUNTIF(Control!$D$20:$D$100,O$2)=0),VISUM_Freeway_OD!O14*Control!$B$2,0)</f>
        <v>0</v>
      </c>
      <c r="P14">
        <f>IF(AND(COUNTIF(Control!$D$20:$D$100,$B14)=0,COUNTIF(Control!$D$20:$D$100,P$2)=0),VISUM_Freeway_OD!P14*Control!$B$2,0)</f>
        <v>0</v>
      </c>
      <c r="Q14">
        <f>IF(AND(COUNTIF(Control!$D$20:$D$100,$B14)=0,COUNTIF(Control!$D$20:$D$100,Q$2)=0),VISUM_Freeway_OD!Q14*Control!$B$2,0)</f>
        <v>0</v>
      </c>
      <c r="R14">
        <f>IF(AND(COUNTIF(Control!$D$20:$D$100,$B14)=0,COUNTIF(Control!$D$20:$D$100,R$2)=0),VISUM_Freeway_OD!R14*Control!$B$2,0)</f>
        <v>0</v>
      </c>
      <c r="S14">
        <f>IF(AND(COUNTIF(Control!$D$20:$D$100,$B14)=0,COUNTIF(Control!$D$20:$D$100,S$2)=0),VISUM_Freeway_OD!S14*Control!$B$2,0)</f>
        <v>0</v>
      </c>
      <c r="T14">
        <f>IF(AND(COUNTIF(Control!$D$20:$D$100,$B14)=0,COUNTIF(Control!$D$20:$D$100,T$2)=0),VISUM_Freeway_OD!T14*Control!$B$2,0)</f>
        <v>0</v>
      </c>
      <c r="U14">
        <f>IF(AND(COUNTIF(Control!$D$20:$D$100,$B14)=0,COUNTIF(Control!$D$20:$D$100,U$2)=0),VISUM_Freeway_OD!U14*Control!$B$2,0)</f>
        <v>0</v>
      </c>
      <c r="V14">
        <f>IF(AND(COUNTIF(Control!$D$20:$D$100,$B14)=0,COUNTIF(Control!$D$20:$D$100,V$2)=0),VISUM_Freeway_OD!V14*Control!$B$2,0)</f>
        <v>0</v>
      </c>
      <c r="W14">
        <f>IF(AND(COUNTIF(Control!$D$20:$D$100,$B14)=0,COUNTIF(Control!$D$20:$D$100,W$2)=0),VISUM_Freeway_OD!W14*Control!$B$2,0)</f>
        <v>0</v>
      </c>
      <c r="X14">
        <f>IF(AND(COUNTIF(Control!$D$20:$D$100,$B14)=0,COUNTIF(Control!$D$20:$D$100,X$2)=0),VISUM_Freeway_OD!X14*Control!$B$2,0)</f>
        <v>0</v>
      </c>
      <c r="Y14">
        <f>IF(AND(COUNTIF(Control!$D$20:$D$100,$B14)=0,COUNTIF(Control!$D$20:$D$100,Y$2)=0),VISUM_Freeway_OD!Y14*Control!$B$2,0)</f>
        <v>0</v>
      </c>
      <c r="Z14">
        <f>IF(AND(COUNTIF(Control!$D$20:$D$100,$B14)=0,COUNTIF(Control!$D$20:$D$100,Z$2)=0),VISUM_Freeway_OD!Z14*Control!$B$2,0)</f>
        <v>0</v>
      </c>
      <c r="AA14">
        <f>IF(AND(COUNTIF(Control!$D$20:$D$100,$B14)=0,COUNTIF(Control!$D$20:$D$100,AA$2)=0),VISUM_Freeway_OD!AA14*Control!$B$2,0)</f>
        <v>0</v>
      </c>
      <c r="AB14">
        <f>IF(AND(COUNTIF(Control!$D$20:$D$100,$B14)=0,COUNTIF(Control!$D$20:$D$100,AB$2)=0),VISUM_Freeway_OD!AB14*Control!$B$2,0)</f>
        <v>0</v>
      </c>
      <c r="AC14">
        <f>IF(AND(COUNTIF(Control!$D$20:$D$100,$B14)=0,COUNTIF(Control!$D$20:$D$100,AC$2)=0),VISUM_Freeway_OD!AC14*Control!$B$2,0)</f>
        <v>0</v>
      </c>
      <c r="AD14">
        <f>IF(AND(COUNTIF(Control!$D$20:$D$100,$B14)=0,COUNTIF(Control!$D$20:$D$100,AD$2)=0),VISUM_Freeway_OD!AD14*Control!$B$2,0)</f>
        <v>0</v>
      </c>
      <c r="AE14">
        <f>IF(AND(COUNTIF(Control!$D$20:$D$100,$B14)=0,COUNTIF(Control!$D$20:$D$100,AE$2)=0),VISUM_Freeway_OD!AE14*Control!$B$2,0)</f>
        <v>0</v>
      </c>
      <c r="AF14">
        <f>IF(AND(COUNTIF(Control!$D$20:$D$100,$B14)=0,COUNTIF(Control!$D$20:$D$100,AF$2)=0),VISUM_Freeway_OD!AF14*Control!$B$2,0)</f>
        <v>0</v>
      </c>
      <c r="AG14">
        <f>IF(AND(COUNTIF(Control!$D$20:$D$100,$B14)=0,COUNTIF(Control!$D$20:$D$100,AG$2)=0),VISUM_Freeway_OD!AG14*Control!$B$2,0)</f>
        <v>0</v>
      </c>
      <c r="AH14">
        <f>IF(AND(COUNTIF(Control!$D$20:$D$100,$B14)=0,COUNTIF(Control!$D$20:$D$100,AH$2)=0),VISUM_Freeway_OD!AH14*Control!$B$2,0)</f>
        <v>0</v>
      </c>
      <c r="AI14">
        <f>IF(AND(COUNTIF(Control!$D$20:$D$100,$B14)=0,COUNTIF(Control!$D$20:$D$100,AI$2)=0),VISUM_Freeway_OD!AI14*Control!$B$2,0)</f>
        <v>0</v>
      </c>
      <c r="AJ14">
        <f>IF(AND(COUNTIF(Control!$D$20:$D$100,$B14)=0,COUNTIF(Control!$D$20:$D$100,AJ$2)=0),VISUM_Freeway_OD!AJ14*Control!$B$2,0)</f>
        <v>0</v>
      </c>
      <c r="AK14">
        <f>IF(AND(COUNTIF(Control!$D$20:$D$100,$B14)=0,COUNTIF(Control!$D$20:$D$100,AK$2)=0),VISUM_Freeway_OD!AK14*Control!$B$2,0)</f>
        <v>0</v>
      </c>
      <c r="AL14">
        <f>IF(AND(COUNTIF(Control!$D$20:$D$100,$B14)=0,COUNTIF(Control!$D$20:$D$100,AL$2)=0),VISUM_Freeway_OD!AL14*Control!$B$2,0)</f>
        <v>0</v>
      </c>
      <c r="AM14">
        <f>IF(AND(COUNTIF(Control!$D$20:$D$100,$B14)=0,COUNTIF(Control!$D$20:$D$100,AM$2)=0),VISUM_Freeway_OD!AM14*Control!$B$2,0)</f>
        <v>0</v>
      </c>
      <c r="AN14">
        <f>IF(AND(COUNTIF(Control!$D$20:$D$100,$B14)=0,COUNTIF(Control!$D$20:$D$100,AN$2)=0),VISUM_Freeway_OD!AN14*Control!$B$2,0)</f>
        <v>0</v>
      </c>
      <c r="AO14">
        <f>IF(AND(COUNTIF(Control!$D$20:$D$100,$B14)=0,COUNTIF(Control!$D$20:$D$100,AO$2)=0),VISUM_Freeway_OD!AO14*Control!$B$2,0)</f>
        <v>0</v>
      </c>
      <c r="AP14">
        <f>IF(AND(COUNTIF(Control!$D$20:$D$100,$B14)=0,COUNTIF(Control!$D$20:$D$100,AP$2)=0),VISUM_Freeway_OD!AP14*Control!$B$2,0)</f>
        <v>0</v>
      </c>
      <c r="AQ14">
        <f>IF(AND(COUNTIF(Control!$D$20:$D$100,$B14)=0,COUNTIF(Control!$D$20:$D$100,AQ$2)=0),VISUM_Freeway_OD!AQ14*Control!$B$2,0)</f>
        <v>0</v>
      </c>
      <c r="AR14">
        <f>IF(AND(COUNTIF(Control!$D$20:$D$100,$B14)=0,COUNTIF(Control!$D$20:$D$100,AR$2)=0),VISUM_Freeway_OD!AR14*Control!$B$2,0)</f>
        <v>0</v>
      </c>
      <c r="AS14">
        <f>IF(AND(COUNTIF(Control!$D$20:$D$100,$B14)=0,COUNTIF(Control!$D$20:$D$100,AS$2)=0),VISUM_Freeway_OD!AS14*Control!$B$2,0)</f>
        <v>0</v>
      </c>
      <c r="AT14">
        <f>IF(AND(COUNTIF(Control!$D$20:$D$100,$B14)=0,COUNTIF(Control!$D$20:$D$100,AT$2)=0),VISUM_Freeway_OD!AT14*Control!$B$2,0)</f>
        <v>0</v>
      </c>
      <c r="AU14">
        <f>IF(AND(COUNTIF(Control!$D$20:$D$100,$B14)=0,COUNTIF(Control!$D$20:$D$100,AU$2)=0),VISUM_Freeway_OD!AU14*Control!$B$2,0)</f>
        <v>0</v>
      </c>
      <c r="AV14">
        <f>IF(AND(COUNTIF(Control!$D$20:$D$100,$B14)=0,COUNTIF(Control!$D$20:$D$100,AV$2)=0),VISUM_Freeway_OD!AV14*Control!$B$2,0)</f>
        <v>0</v>
      </c>
      <c r="AW14">
        <f>IF(AND(COUNTIF(Control!$D$20:$D$100,$B14)=0,COUNTIF(Control!$D$20:$D$100,AW$2)=0),VISUM_Freeway_OD!AW14*Control!$B$2,0)</f>
        <v>0</v>
      </c>
      <c r="AX14">
        <f>IF(AND(COUNTIF(Control!$D$20:$D$100,$B14)=0,COUNTIF(Control!$D$20:$D$100,AX$2)=0),VISUM_Freeway_OD!AX14*Control!$B$2,0)</f>
        <v>0</v>
      </c>
      <c r="AY14">
        <f>IF(AND(COUNTIF(Control!$D$20:$D$100,$B14)=0,COUNTIF(Control!$D$20:$D$100,AY$2)=0),VISUM_Freeway_OD!AY14*Control!$B$2,0)</f>
        <v>0</v>
      </c>
    </row>
    <row r="15" spans="1:51" x14ac:dyDescent="0.25">
      <c r="A15" s="4">
        <f>IF(VLOOKUP(B15,Freeway_Zone_Link_Mapping!$A:$C,2,FALSE)&lt;&gt;"",VLOOKUP(B15,Freeway_Zone_Link_Mapping!$A:$C,2,FALSE),"")</f>
        <v>59</v>
      </c>
      <c r="B15" s="4">
        <v>35</v>
      </c>
      <c r="C15">
        <f>IF(AND(COUNTIF(Control!$D$20:$D$100,$B15)=0,COUNTIF(Control!$D$20:$D$100,C$2)=0),VISUM_Freeway_OD!C15*Control!$B$2,0)</f>
        <v>3.8903471999999995</v>
      </c>
      <c r="D15">
        <f>IF(AND(COUNTIF(Control!$D$20:$D$100,$B15)=0,COUNTIF(Control!$D$20:$D$100,D$2)=0),VISUM_Freeway_OD!D15*Control!$B$2,0)</f>
        <v>0</v>
      </c>
      <c r="E15">
        <f>IF(AND(COUNTIF(Control!$D$20:$D$100,$B15)=0,COUNTIF(Control!$D$20:$D$100,E$2)=0),VISUM_Freeway_OD!E15*Control!$B$2,0)</f>
        <v>0.75758868000000001</v>
      </c>
      <c r="F15" s="20">
        <f>IF(AND(COUNTIF(Control!$D$20:$D$100,$B15)=0,COUNTIF(Control!$D$20:$D$100,F$2)=0),VISUM_Freeway_OD!F15*0.1,0)</f>
        <v>154.33362340000002</v>
      </c>
      <c r="G15">
        <f>IF(AND(COUNTIF(Control!$D$20:$D$100,$B15)=0,COUNTIF(Control!$D$20:$D$100,G$2)=0),VISUM_Freeway_OD!G15*Control!$B$2,0)</f>
        <v>0</v>
      </c>
      <c r="H15" s="25">
        <f>IF(AND(COUNTIF(Control!$D$20:$D$100,$B15)=0,COUNTIF(Control!$D$20:$D$100,H$2)=0),VISUM_Freeway_OD!H15*Control!$B$2,0)+300</f>
        <v>338.41460343</v>
      </c>
      <c r="I15">
        <f>IF(AND(COUNTIF(Control!$D$20:$D$100,$B15)=0,COUNTIF(Control!$D$20:$D$100,I$2)=0),VISUM_Freeway_OD!I15*Control!$B$2,0)</f>
        <v>0</v>
      </c>
      <c r="J15">
        <f>IF(AND(COUNTIF(Control!$D$20:$D$100,$B15)=0,COUNTIF(Control!$D$20:$D$100,J$2)=0),VISUM_Freeway_OD!J15*Control!$B$2,0)</f>
        <v>0</v>
      </c>
      <c r="K15">
        <f>IF(AND(COUNTIF(Control!$D$20:$D$100,$B15)=0,COUNTIF(Control!$D$20:$D$100,K$2)=0),VISUM_Freeway_OD!K15*Control!$B$2,0)</f>
        <v>28.825050059999999</v>
      </c>
      <c r="L15">
        <f>IF(AND(COUNTIF(Control!$D$20:$D$100,$B15)=0,COUNTIF(Control!$D$20:$D$100,L$2)=0),VISUM_Freeway_OD!L15*Control!$B$2,0)</f>
        <v>0</v>
      </c>
      <c r="M15">
        <f>IF(AND(COUNTIF(Control!$D$20:$D$100,$B15)=0,COUNTIF(Control!$D$20:$D$100,M$2)=0),VISUM_Freeway_OD!M15*Control!$B$2,0)</f>
        <v>0</v>
      </c>
      <c r="N15">
        <f>IF(AND(COUNTIF(Control!$D$20:$D$100,$B15)=0,COUNTIF(Control!$D$20:$D$100,N$2)=0),VISUM_Freeway_OD!N15*Control!$B$2,0)</f>
        <v>0</v>
      </c>
      <c r="O15">
        <f>IF(AND(COUNTIF(Control!$D$20:$D$100,$B15)=0,COUNTIF(Control!$D$20:$D$100,O$2)=0),VISUM_Freeway_OD!O15*Control!$B$2,0)</f>
        <v>0</v>
      </c>
      <c r="P15">
        <f>IF(AND(COUNTIF(Control!$D$20:$D$100,$B15)=0,COUNTIF(Control!$D$20:$D$100,P$2)=0),VISUM_Freeway_OD!P15*Control!$B$2,0)</f>
        <v>0</v>
      </c>
      <c r="Q15">
        <f>IF(AND(COUNTIF(Control!$D$20:$D$100,$B15)=0,COUNTIF(Control!$D$20:$D$100,Q$2)=0),VISUM_Freeway_OD!Q15*Control!$B$2,0)</f>
        <v>0</v>
      </c>
      <c r="R15">
        <f>IF(AND(COUNTIF(Control!$D$20:$D$100,$B15)=0,COUNTIF(Control!$D$20:$D$100,R$2)=0),VISUM_Freeway_OD!R15*Control!$B$2,0)</f>
        <v>0</v>
      </c>
      <c r="S15">
        <f>IF(AND(COUNTIF(Control!$D$20:$D$100,$B15)=0,COUNTIF(Control!$D$20:$D$100,S$2)=0),VISUM_Freeway_OD!S15*Control!$B$2,0)</f>
        <v>0</v>
      </c>
      <c r="T15">
        <f>IF(AND(COUNTIF(Control!$D$20:$D$100,$B15)=0,COUNTIF(Control!$D$20:$D$100,T$2)=0),VISUM_Freeway_OD!T15*Control!$B$2,0)</f>
        <v>0</v>
      </c>
      <c r="U15">
        <f>IF(AND(COUNTIF(Control!$D$20:$D$100,$B15)=0,COUNTIF(Control!$D$20:$D$100,U$2)=0),VISUM_Freeway_OD!U15*Control!$B$2,0)</f>
        <v>0</v>
      </c>
      <c r="V15">
        <f>IF(AND(COUNTIF(Control!$D$20:$D$100,$B15)=0,COUNTIF(Control!$D$20:$D$100,V$2)=0),VISUM_Freeway_OD!V15*Control!$B$2,0)</f>
        <v>0</v>
      </c>
      <c r="W15">
        <f>IF(AND(COUNTIF(Control!$D$20:$D$100,$B15)=0,COUNTIF(Control!$D$20:$D$100,W$2)=0),VISUM_Freeway_OD!W15*Control!$B$2,0)</f>
        <v>0</v>
      </c>
      <c r="X15">
        <f>IF(AND(COUNTIF(Control!$D$20:$D$100,$B15)=0,COUNTIF(Control!$D$20:$D$100,X$2)=0),VISUM_Freeway_OD!X15*Control!$B$2,0)</f>
        <v>0</v>
      </c>
      <c r="Y15">
        <f>IF(AND(COUNTIF(Control!$D$20:$D$100,$B15)=0,COUNTIF(Control!$D$20:$D$100,Y$2)=0),VISUM_Freeway_OD!Y15*Control!$B$2,0)</f>
        <v>0</v>
      </c>
      <c r="Z15">
        <f>IF(AND(COUNTIF(Control!$D$20:$D$100,$B15)=0,COUNTIF(Control!$D$20:$D$100,Z$2)=0),VISUM_Freeway_OD!Z15*Control!$B$2,0)</f>
        <v>0</v>
      </c>
      <c r="AA15">
        <f>IF(AND(COUNTIF(Control!$D$20:$D$100,$B15)=0,COUNTIF(Control!$D$20:$D$100,AA$2)=0),VISUM_Freeway_OD!AA15*Control!$B$2,0)</f>
        <v>0</v>
      </c>
      <c r="AB15">
        <f>IF(AND(COUNTIF(Control!$D$20:$D$100,$B15)=0,COUNTIF(Control!$D$20:$D$100,AB$2)=0),VISUM_Freeway_OD!AB15*Control!$B$2,0)</f>
        <v>17.889960389999999</v>
      </c>
      <c r="AC15">
        <f>IF(AND(COUNTIF(Control!$D$20:$D$100,$B15)=0,COUNTIF(Control!$D$20:$D$100,AC$2)=0),VISUM_Freeway_OD!AC15*Control!$B$2,0)</f>
        <v>0</v>
      </c>
      <c r="AD15">
        <f>IF(AND(COUNTIF(Control!$D$20:$D$100,$B15)=0,COUNTIF(Control!$D$20:$D$100,AD$2)=0),VISUM_Freeway_OD!AD15*Control!$B$2,0)</f>
        <v>0</v>
      </c>
      <c r="AE15">
        <f>IF(AND(COUNTIF(Control!$D$20:$D$100,$B15)=0,COUNTIF(Control!$D$20:$D$100,AE$2)=0),VISUM_Freeway_OD!AE15*Control!$B$2,0)</f>
        <v>23.565766679999999</v>
      </c>
      <c r="AF15">
        <f>IF(AND(COUNTIF(Control!$D$20:$D$100,$B15)=0,COUNTIF(Control!$D$20:$D$100,AF$2)=0),VISUM_Freeway_OD!AF15*Control!$B$2,0)</f>
        <v>0</v>
      </c>
      <c r="AG15">
        <f>IF(AND(COUNTIF(Control!$D$20:$D$100,$B15)=0,COUNTIF(Control!$D$20:$D$100,AG$2)=0),VISUM_Freeway_OD!AG15*Control!$B$2,0)</f>
        <v>0</v>
      </c>
      <c r="AH15">
        <f>IF(AND(COUNTIF(Control!$D$20:$D$100,$B15)=0,COUNTIF(Control!$D$20:$D$100,AH$2)=0),VISUM_Freeway_OD!AH15*Control!$B$2,0)</f>
        <v>0</v>
      </c>
      <c r="AI15">
        <f>IF(AND(COUNTIF(Control!$D$20:$D$100,$B15)=0,COUNTIF(Control!$D$20:$D$100,AI$2)=0),VISUM_Freeway_OD!AI15*Control!$B$2,0)</f>
        <v>41.123056319999996</v>
      </c>
      <c r="AJ15">
        <f>IF(AND(COUNTIF(Control!$D$20:$D$100,$B15)=0,COUNTIF(Control!$D$20:$D$100,AJ$2)=0),VISUM_Freeway_OD!AJ15*Control!$B$2,0)</f>
        <v>0</v>
      </c>
      <c r="AK15">
        <f>IF(AND(COUNTIF(Control!$D$20:$D$100,$B15)=0,COUNTIF(Control!$D$20:$D$100,AK$2)=0),VISUM_Freeway_OD!AK15*Control!$B$2,0)</f>
        <v>0</v>
      </c>
      <c r="AL15">
        <f>IF(AND(COUNTIF(Control!$D$20:$D$100,$B15)=0,COUNTIF(Control!$D$20:$D$100,AL$2)=0),VISUM_Freeway_OD!AL15*Control!$B$2,0)</f>
        <v>4.6337634899999998</v>
      </c>
      <c r="AM15">
        <f>IF(AND(COUNTIF(Control!$D$20:$D$100,$B15)=0,COUNTIF(Control!$D$20:$D$100,AM$2)=0),VISUM_Freeway_OD!AM15*Control!$B$2,0)</f>
        <v>0</v>
      </c>
      <c r="AN15">
        <f>IF(AND(COUNTIF(Control!$D$20:$D$100,$B15)=0,COUNTIF(Control!$D$20:$D$100,AN$2)=0),VISUM_Freeway_OD!AN15*Control!$B$2,0)</f>
        <v>0</v>
      </c>
      <c r="AO15">
        <f>IF(AND(COUNTIF(Control!$D$20:$D$100,$B15)=0,COUNTIF(Control!$D$20:$D$100,AO$2)=0),VISUM_Freeway_OD!AO15*Control!$B$2,0)</f>
        <v>0</v>
      </c>
      <c r="AP15">
        <f>IF(AND(COUNTIF(Control!$D$20:$D$100,$B15)=0,COUNTIF(Control!$D$20:$D$100,AP$2)=0),VISUM_Freeway_OD!AP15*Control!$B$2,0)</f>
        <v>0</v>
      </c>
      <c r="AQ15">
        <f>IF(AND(COUNTIF(Control!$D$20:$D$100,$B15)=0,COUNTIF(Control!$D$20:$D$100,AQ$2)=0),VISUM_Freeway_OD!AQ15*Control!$B$2,0)</f>
        <v>0</v>
      </c>
      <c r="AR15">
        <f>IF(AND(COUNTIF(Control!$D$20:$D$100,$B15)=0,COUNTIF(Control!$D$20:$D$100,AR$2)=0),VISUM_Freeway_OD!AR15*Control!$B$2,0)</f>
        <v>0</v>
      </c>
      <c r="AS15">
        <f>IF(AND(COUNTIF(Control!$D$20:$D$100,$B15)=0,COUNTIF(Control!$D$20:$D$100,AS$2)=0),VISUM_Freeway_OD!AS15*Control!$B$2,0)</f>
        <v>0</v>
      </c>
      <c r="AT15">
        <f>IF(AND(COUNTIF(Control!$D$20:$D$100,$B15)=0,COUNTIF(Control!$D$20:$D$100,AT$2)=0),VISUM_Freeway_OD!AT15*Control!$B$2,0)</f>
        <v>0</v>
      </c>
      <c r="AU15">
        <f>IF(AND(COUNTIF(Control!$D$20:$D$100,$B15)=0,COUNTIF(Control!$D$20:$D$100,AU$2)=0),VISUM_Freeway_OD!AU15*Control!$B$2,0)</f>
        <v>28.259668859999998</v>
      </c>
      <c r="AV15">
        <f>IF(AND(COUNTIF(Control!$D$20:$D$100,$B15)=0,COUNTIF(Control!$D$20:$D$100,AV$2)=0),VISUM_Freeway_OD!AV15*Control!$B$2,0)</f>
        <v>0</v>
      </c>
      <c r="AW15">
        <f>IF(AND(COUNTIF(Control!$D$20:$D$100,$B15)=0,COUNTIF(Control!$D$20:$D$100,AW$2)=0),VISUM_Freeway_OD!AW15*Control!$B$2,0)</f>
        <v>0</v>
      </c>
      <c r="AX15">
        <f>IF(AND(COUNTIF(Control!$D$20:$D$100,$B15)=0,COUNTIF(Control!$D$20:$D$100,AX$2)=0),VISUM_Freeway_OD!AX15*Control!$B$2,0)</f>
        <v>0</v>
      </c>
      <c r="AY15">
        <f>IF(AND(COUNTIF(Control!$D$20:$D$100,$B15)=0,COUNTIF(Control!$D$20:$D$100,AY$2)=0),VISUM_Freeway_OD!AY15*Control!$B$2,0)</f>
        <v>0</v>
      </c>
    </row>
    <row r="16" spans="1:51" x14ac:dyDescent="0.25">
      <c r="A16" s="4" t="str">
        <f>IF(VLOOKUP(B16,Freeway_Zone_Link_Mapping!$A:$C,2,FALSE)&lt;&gt;"",VLOOKUP(B16,Freeway_Zone_Link_Mapping!$A:$C,2,FALSE),"")</f>
        <v/>
      </c>
      <c r="B16" s="4">
        <v>36</v>
      </c>
      <c r="C16">
        <f>IF(AND(COUNTIF(Control!$D$20:$D$100,$B16)=0,COUNTIF(Control!$D$20:$D$100,C$2)=0),VISUM_Freeway_OD!C16*Control!$B$2,0)</f>
        <v>0</v>
      </c>
      <c r="D16">
        <f>IF(AND(COUNTIF(Control!$D$20:$D$100,$B16)=0,COUNTIF(Control!$D$20:$D$100,D$2)=0),VISUM_Freeway_OD!D16*Control!$B$2,0)</f>
        <v>0</v>
      </c>
      <c r="E16">
        <f>IF(AND(COUNTIF(Control!$D$20:$D$100,$B16)=0,COUNTIF(Control!$D$20:$D$100,E$2)=0),VISUM_Freeway_OD!E16*Control!$B$2,0)</f>
        <v>0</v>
      </c>
      <c r="F16">
        <f>IF(AND(COUNTIF(Control!$D$20:$D$100,$B16)=0,COUNTIF(Control!$D$20:$D$100,F$2)=0),VISUM_Freeway_OD!F16*Control!$B$2,0)</f>
        <v>0</v>
      </c>
      <c r="G16">
        <f>IF(AND(COUNTIF(Control!$D$20:$D$100,$B16)=0,COUNTIF(Control!$D$20:$D$100,G$2)=0),VISUM_Freeway_OD!G16*Control!$B$2,0)</f>
        <v>0</v>
      </c>
      <c r="H16">
        <f>IF(AND(COUNTIF(Control!$D$20:$D$100,$B16)=0,COUNTIF(Control!$D$20:$D$100,H$2)=0),VISUM_Freeway_OD!H16*Control!$B$2,0)</f>
        <v>0</v>
      </c>
      <c r="I16">
        <f>IF(AND(COUNTIF(Control!$D$20:$D$100,$B16)=0,COUNTIF(Control!$D$20:$D$100,I$2)=0),VISUM_Freeway_OD!I16*Control!$B$2,0)</f>
        <v>0</v>
      </c>
      <c r="J16">
        <f>IF(AND(COUNTIF(Control!$D$20:$D$100,$B16)=0,COUNTIF(Control!$D$20:$D$100,J$2)=0),VISUM_Freeway_OD!J16*Control!$B$2,0)</f>
        <v>0</v>
      </c>
      <c r="K16">
        <f>IF(AND(COUNTIF(Control!$D$20:$D$100,$B16)=0,COUNTIF(Control!$D$20:$D$100,K$2)=0),VISUM_Freeway_OD!K16*Control!$B$2,0)</f>
        <v>0</v>
      </c>
      <c r="L16">
        <f>IF(AND(COUNTIF(Control!$D$20:$D$100,$B16)=0,COUNTIF(Control!$D$20:$D$100,L$2)=0),VISUM_Freeway_OD!L16*Control!$B$2,0)</f>
        <v>0</v>
      </c>
      <c r="M16">
        <f>IF(AND(COUNTIF(Control!$D$20:$D$100,$B16)=0,COUNTIF(Control!$D$20:$D$100,M$2)=0),VISUM_Freeway_OD!M16*Control!$B$2,0)</f>
        <v>0</v>
      </c>
      <c r="N16">
        <f>IF(AND(COUNTIF(Control!$D$20:$D$100,$B16)=0,COUNTIF(Control!$D$20:$D$100,N$2)=0),VISUM_Freeway_OD!N16*Control!$B$2,0)</f>
        <v>0</v>
      </c>
      <c r="O16">
        <f>IF(AND(COUNTIF(Control!$D$20:$D$100,$B16)=0,COUNTIF(Control!$D$20:$D$100,O$2)=0),VISUM_Freeway_OD!O16*Control!$B$2,0)</f>
        <v>0</v>
      </c>
      <c r="P16">
        <f>IF(AND(COUNTIF(Control!$D$20:$D$100,$B16)=0,COUNTIF(Control!$D$20:$D$100,P$2)=0),VISUM_Freeway_OD!P16*Control!$B$2,0)</f>
        <v>0</v>
      </c>
      <c r="Q16">
        <f>IF(AND(COUNTIF(Control!$D$20:$D$100,$B16)=0,COUNTIF(Control!$D$20:$D$100,Q$2)=0),VISUM_Freeway_OD!Q16*Control!$B$2,0)</f>
        <v>0</v>
      </c>
      <c r="R16">
        <f>IF(AND(COUNTIF(Control!$D$20:$D$100,$B16)=0,COUNTIF(Control!$D$20:$D$100,R$2)=0),VISUM_Freeway_OD!R16*Control!$B$2,0)</f>
        <v>0</v>
      </c>
      <c r="S16">
        <f>IF(AND(COUNTIF(Control!$D$20:$D$100,$B16)=0,COUNTIF(Control!$D$20:$D$100,S$2)=0),VISUM_Freeway_OD!S16*Control!$B$2,0)</f>
        <v>0</v>
      </c>
      <c r="T16">
        <f>IF(AND(COUNTIF(Control!$D$20:$D$100,$B16)=0,COUNTIF(Control!$D$20:$D$100,T$2)=0),VISUM_Freeway_OD!T16*Control!$B$2,0)</f>
        <v>0</v>
      </c>
      <c r="U16">
        <f>IF(AND(COUNTIF(Control!$D$20:$D$100,$B16)=0,COUNTIF(Control!$D$20:$D$100,U$2)=0),VISUM_Freeway_OD!U16*Control!$B$2,0)</f>
        <v>0</v>
      </c>
      <c r="V16">
        <f>IF(AND(COUNTIF(Control!$D$20:$D$100,$B16)=0,COUNTIF(Control!$D$20:$D$100,V$2)=0),VISUM_Freeway_OD!V16*Control!$B$2,0)</f>
        <v>0</v>
      </c>
      <c r="W16">
        <f>IF(AND(COUNTIF(Control!$D$20:$D$100,$B16)=0,COUNTIF(Control!$D$20:$D$100,W$2)=0),VISUM_Freeway_OD!W16*Control!$B$2,0)</f>
        <v>0</v>
      </c>
      <c r="X16">
        <f>IF(AND(COUNTIF(Control!$D$20:$D$100,$B16)=0,COUNTIF(Control!$D$20:$D$100,X$2)=0),VISUM_Freeway_OD!X16*Control!$B$2,0)</f>
        <v>0</v>
      </c>
      <c r="Y16">
        <f>IF(AND(COUNTIF(Control!$D$20:$D$100,$B16)=0,COUNTIF(Control!$D$20:$D$100,Y$2)=0),VISUM_Freeway_OD!Y16*Control!$B$2,0)</f>
        <v>0</v>
      </c>
      <c r="Z16">
        <f>IF(AND(COUNTIF(Control!$D$20:$D$100,$B16)=0,COUNTIF(Control!$D$20:$D$100,Z$2)=0),VISUM_Freeway_OD!Z16*Control!$B$2,0)</f>
        <v>0</v>
      </c>
      <c r="AA16">
        <f>IF(AND(COUNTIF(Control!$D$20:$D$100,$B16)=0,COUNTIF(Control!$D$20:$D$100,AA$2)=0),VISUM_Freeway_OD!AA16*Control!$B$2,0)</f>
        <v>0</v>
      </c>
      <c r="AB16">
        <f>IF(AND(COUNTIF(Control!$D$20:$D$100,$B16)=0,COUNTIF(Control!$D$20:$D$100,AB$2)=0),VISUM_Freeway_OD!AB16*Control!$B$2,0)</f>
        <v>0</v>
      </c>
      <c r="AC16">
        <f>IF(AND(COUNTIF(Control!$D$20:$D$100,$B16)=0,COUNTIF(Control!$D$20:$D$100,AC$2)=0),VISUM_Freeway_OD!AC16*Control!$B$2,0)</f>
        <v>0</v>
      </c>
      <c r="AD16">
        <f>IF(AND(COUNTIF(Control!$D$20:$D$100,$B16)=0,COUNTIF(Control!$D$20:$D$100,AD$2)=0),VISUM_Freeway_OD!AD16*Control!$B$2,0)</f>
        <v>0</v>
      </c>
      <c r="AE16">
        <f>IF(AND(COUNTIF(Control!$D$20:$D$100,$B16)=0,COUNTIF(Control!$D$20:$D$100,AE$2)=0),VISUM_Freeway_OD!AE16*Control!$B$2,0)</f>
        <v>0</v>
      </c>
      <c r="AF16">
        <f>IF(AND(COUNTIF(Control!$D$20:$D$100,$B16)=0,COUNTIF(Control!$D$20:$D$100,AF$2)=0),VISUM_Freeway_OD!AF16*Control!$B$2,0)</f>
        <v>0</v>
      </c>
      <c r="AG16">
        <f>IF(AND(COUNTIF(Control!$D$20:$D$100,$B16)=0,COUNTIF(Control!$D$20:$D$100,AG$2)=0),VISUM_Freeway_OD!AG16*Control!$B$2,0)</f>
        <v>0</v>
      </c>
      <c r="AH16">
        <f>IF(AND(COUNTIF(Control!$D$20:$D$100,$B16)=0,COUNTIF(Control!$D$20:$D$100,AH$2)=0),VISUM_Freeway_OD!AH16*Control!$B$2,0)</f>
        <v>0</v>
      </c>
      <c r="AI16">
        <f>IF(AND(COUNTIF(Control!$D$20:$D$100,$B16)=0,COUNTIF(Control!$D$20:$D$100,AI$2)=0),VISUM_Freeway_OD!AI16*Control!$B$2,0)</f>
        <v>0</v>
      </c>
      <c r="AJ16">
        <f>IF(AND(COUNTIF(Control!$D$20:$D$100,$B16)=0,COUNTIF(Control!$D$20:$D$100,AJ$2)=0),VISUM_Freeway_OD!AJ16*Control!$B$2,0)</f>
        <v>0</v>
      </c>
      <c r="AK16">
        <f>IF(AND(COUNTIF(Control!$D$20:$D$100,$B16)=0,COUNTIF(Control!$D$20:$D$100,AK$2)=0),VISUM_Freeway_OD!AK16*Control!$B$2,0)</f>
        <v>0</v>
      </c>
      <c r="AL16">
        <f>IF(AND(COUNTIF(Control!$D$20:$D$100,$B16)=0,COUNTIF(Control!$D$20:$D$100,AL$2)=0),VISUM_Freeway_OD!AL16*Control!$B$2,0)</f>
        <v>0</v>
      </c>
      <c r="AM16">
        <f>IF(AND(COUNTIF(Control!$D$20:$D$100,$B16)=0,COUNTIF(Control!$D$20:$D$100,AM$2)=0),VISUM_Freeway_OD!AM16*Control!$B$2,0)</f>
        <v>0</v>
      </c>
      <c r="AN16">
        <f>IF(AND(COUNTIF(Control!$D$20:$D$100,$B16)=0,COUNTIF(Control!$D$20:$D$100,AN$2)=0),VISUM_Freeway_OD!AN16*Control!$B$2,0)</f>
        <v>0</v>
      </c>
      <c r="AO16">
        <f>IF(AND(COUNTIF(Control!$D$20:$D$100,$B16)=0,COUNTIF(Control!$D$20:$D$100,AO$2)=0),VISUM_Freeway_OD!AO16*Control!$B$2,0)</f>
        <v>0</v>
      </c>
      <c r="AP16">
        <f>IF(AND(COUNTIF(Control!$D$20:$D$100,$B16)=0,COUNTIF(Control!$D$20:$D$100,AP$2)=0),VISUM_Freeway_OD!AP16*Control!$B$2,0)</f>
        <v>0</v>
      </c>
      <c r="AQ16">
        <f>IF(AND(COUNTIF(Control!$D$20:$D$100,$B16)=0,COUNTIF(Control!$D$20:$D$100,AQ$2)=0),VISUM_Freeway_OD!AQ16*Control!$B$2,0)</f>
        <v>0</v>
      </c>
      <c r="AR16">
        <f>IF(AND(COUNTIF(Control!$D$20:$D$100,$B16)=0,COUNTIF(Control!$D$20:$D$100,AR$2)=0),VISUM_Freeway_OD!AR16*Control!$B$2,0)</f>
        <v>0</v>
      </c>
      <c r="AS16">
        <f>IF(AND(COUNTIF(Control!$D$20:$D$100,$B16)=0,COUNTIF(Control!$D$20:$D$100,AS$2)=0),VISUM_Freeway_OD!AS16*Control!$B$2,0)</f>
        <v>0</v>
      </c>
      <c r="AT16">
        <f>IF(AND(COUNTIF(Control!$D$20:$D$100,$B16)=0,COUNTIF(Control!$D$20:$D$100,AT$2)=0),VISUM_Freeway_OD!AT16*Control!$B$2,0)</f>
        <v>0</v>
      </c>
      <c r="AU16">
        <f>IF(AND(COUNTIF(Control!$D$20:$D$100,$B16)=0,COUNTIF(Control!$D$20:$D$100,AU$2)=0),VISUM_Freeway_OD!AU16*Control!$B$2,0)</f>
        <v>0</v>
      </c>
      <c r="AV16">
        <f>IF(AND(COUNTIF(Control!$D$20:$D$100,$B16)=0,COUNTIF(Control!$D$20:$D$100,AV$2)=0),VISUM_Freeway_OD!AV16*Control!$B$2,0)</f>
        <v>0</v>
      </c>
      <c r="AW16">
        <f>IF(AND(COUNTIF(Control!$D$20:$D$100,$B16)=0,COUNTIF(Control!$D$20:$D$100,AW$2)=0),VISUM_Freeway_OD!AW16*Control!$B$2,0)</f>
        <v>0</v>
      </c>
      <c r="AX16">
        <f>IF(AND(COUNTIF(Control!$D$20:$D$100,$B16)=0,COUNTIF(Control!$D$20:$D$100,AX$2)=0),VISUM_Freeway_OD!AX16*Control!$B$2,0)</f>
        <v>0</v>
      </c>
      <c r="AY16">
        <f>IF(AND(COUNTIF(Control!$D$20:$D$100,$B16)=0,COUNTIF(Control!$D$20:$D$100,AY$2)=0),VISUM_Freeway_OD!AY16*Control!$B$2,0)</f>
        <v>0</v>
      </c>
    </row>
    <row r="17" spans="1:51" x14ac:dyDescent="0.25">
      <c r="A17" s="4">
        <f>IF(VLOOKUP(B17,Freeway_Zone_Link_Mapping!$A:$C,2,FALSE)&lt;&gt;"",VLOOKUP(B17,Freeway_Zone_Link_Mapping!$A:$C,2,FALSE),"")</f>
        <v>245</v>
      </c>
      <c r="B17" s="4">
        <v>37</v>
      </c>
      <c r="C17">
        <f>IF(AND(COUNTIF(Control!$D$20:$D$100,$B17)=0,COUNTIF(Control!$D$20:$D$100,C$2)=0),VISUM_Freeway_OD!C17*Control!$B$2,0)</f>
        <v>0</v>
      </c>
      <c r="D17">
        <f>IF(AND(COUNTIF(Control!$D$20:$D$100,$B17)=0,COUNTIF(Control!$D$20:$D$100,D$2)=0),VISUM_Freeway_OD!D17*Control!$B$2,0)</f>
        <v>0</v>
      </c>
      <c r="E17">
        <f>IF(AND(COUNTIF(Control!$D$20:$D$100,$B17)=0,COUNTIF(Control!$D$20:$D$100,E$2)=0),VISUM_Freeway_OD!E17*Control!$B$2,0)</f>
        <v>0</v>
      </c>
      <c r="F17">
        <f>IF(AND(COUNTIF(Control!$D$20:$D$100,$B17)=0,COUNTIF(Control!$D$20:$D$100,F$2)=0),VISUM_Freeway_OD!F17*Control!$B$2,0)</f>
        <v>0</v>
      </c>
      <c r="G17">
        <f>IF(AND(COUNTIF(Control!$D$20:$D$100,$B17)=0,COUNTIF(Control!$D$20:$D$100,G$2)=0),VISUM_Freeway_OD!G17*Control!$B$2,0)</f>
        <v>0</v>
      </c>
      <c r="H17">
        <f>IF(AND(COUNTIF(Control!$D$20:$D$100,$B17)=0,COUNTIF(Control!$D$20:$D$100,H$2)=0),VISUM_Freeway_OD!H17*Control!$B$2,0)</f>
        <v>0</v>
      </c>
      <c r="I17">
        <f>IF(AND(COUNTIF(Control!$D$20:$D$100,$B17)=0,COUNTIF(Control!$D$20:$D$100,I$2)=0),VISUM_Freeway_OD!I17*Control!$B$2,0)</f>
        <v>0</v>
      </c>
      <c r="J17">
        <f>IF(AND(COUNTIF(Control!$D$20:$D$100,$B17)=0,COUNTIF(Control!$D$20:$D$100,J$2)=0),VISUM_Freeway_OD!J17*Control!$B$2,0)</f>
        <v>0</v>
      </c>
      <c r="K17">
        <f>IF(AND(COUNTIF(Control!$D$20:$D$100,$B17)=0,COUNTIF(Control!$D$20:$D$100,K$2)=0),VISUM_Freeway_OD!K17*Control!$B$2,0)</f>
        <v>0</v>
      </c>
      <c r="L17">
        <f>IF(AND(COUNTIF(Control!$D$20:$D$100,$B17)=0,COUNTIF(Control!$D$20:$D$100,L$2)=0),VISUM_Freeway_OD!L17*Control!$B$2,0)</f>
        <v>0</v>
      </c>
      <c r="M17">
        <f>IF(AND(COUNTIF(Control!$D$20:$D$100,$B17)=0,COUNTIF(Control!$D$20:$D$100,M$2)=0),VISUM_Freeway_OD!M17*Control!$B$2,0)</f>
        <v>0</v>
      </c>
      <c r="N17">
        <f>IF(AND(COUNTIF(Control!$D$20:$D$100,$B17)=0,COUNTIF(Control!$D$20:$D$100,N$2)=0),VISUM_Freeway_OD!N17*Control!$B$2,0)</f>
        <v>0</v>
      </c>
      <c r="O17">
        <f>IF(AND(COUNTIF(Control!$D$20:$D$100,$B17)=0,COUNTIF(Control!$D$20:$D$100,O$2)=0),VISUM_Freeway_OD!O17*Control!$B$2,0)</f>
        <v>0</v>
      </c>
      <c r="P17">
        <f>IF(AND(COUNTIF(Control!$D$20:$D$100,$B17)=0,COUNTIF(Control!$D$20:$D$100,P$2)=0),VISUM_Freeway_OD!P17*Control!$B$2,0)</f>
        <v>0</v>
      </c>
      <c r="Q17">
        <f>IF(AND(COUNTIF(Control!$D$20:$D$100,$B17)=0,COUNTIF(Control!$D$20:$D$100,Q$2)=0),VISUM_Freeway_OD!Q17*Control!$B$2,0)</f>
        <v>0</v>
      </c>
      <c r="R17">
        <f>IF(AND(COUNTIF(Control!$D$20:$D$100,$B17)=0,COUNTIF(Control!$D$20:$D$100,R$2)=0),VISUM_Freeway_OD!R17*Control!$B$2,0)</f>
        <v>0</v>
      </c>
      <c r="S17">
        <f>IF(AND(COUNTIF(Control!$D$20:$D$100,$B17)=0,COUNTIF(Control!$D$20:$D$100,S$2)=0),VISUM_Freeway_OD!S17*Control!$B$2,0)</f>
        <v>0</v>
      </c>
      <c r="T17">
        <f>IF(AND(COUNTIF(Control!$D$20:$D$100,$B17)=0,COUNTIF(Control!$D$20:$D$100,T$2)=0),VISUM_Freeway_OD!T17*Control!$B$2,0)</f>
        <v>0</v>
      </c>
      <c r="U17">
        <f>IF(AND(COUNTIF(Control!$D$20:$D$100,$B17)=0,COUNTIF(Control!$D$20:$D$100,U$2)=0),VISUM_Freeway_OD!U17*Control!$B$2,0)</f>
        <v>0</v>
      </c>
      <c r="V17">
        <f>IF(AND(COUNTIF(Control!$D$20:$D$100,$B17)=0,COUNTIF(Control!$D$20:$D$100,V$2)=0),VISUM_Freeway_OD!V17*Control!$B$2,0)</f>
        <v>0</v>
      </c>
      <c r="W17">
        <f>IF(AND(COUNTIF(Control!$D$20:$D$100,$B17)=0,COUNTIF(Control!$D$20:$D$100,W$2)=0),VISUM_Freeway_OD!W17*Control!$B$2,0)</f>
        <v>0</v>
      </c>
      <c r="X17">
        <f>IF(AND(COUNTIF(Control!$D$20:$D$100,$B17)=0,COUNTIF(Control!$D$20:$D$100,X$2)=0),VISUM_Freeway_OD!X17*Control!$B$2,0)</f>
        <v>0</v>
      </c>
      <c r="Y17">
        <f>IF(AND(COUNTIF(Control!$D$20:$D$100,$B17)=0,COUNTIF(Control!$D$20:$D$100,Y$2)=0),VISUM_Freeway_OD!Y17*Control!$B$2,0)</f>
        <v>0</v>
      </c>
      <c r="Z17">
        <f>IF(AND(COUNTIF(Control!$D$20:$D$100,$B17)=0,COUNTIF(Control!$D$20:$D$100,Z$2)=0),VISUM_Freeway_OD!Z17*Control!$B$2,0)</f>
        <v>0</v>
      </c>
      <c r="AA17">
        <f>IF(AND(COUNTIF(Control!$D$20:$D$100,$B17)=0,COUNTIF(Control!$D$20:$D$100,AA$2)=0),VISUM_Freeway_OD!AA17*Control!$B$2,0)</f>
        <v>0</v>
      </c>
      <c r="AB17">
        <f>IF(AND(COUNTIF(Control!$D$20:$D$100,$B17)=0,COUNTIF(Control!$D$20:$D$100,AB$2)=0),VISUM_Freeway_OD!AB17*Control!$B$2,0)</f>
        <v>0</v>
      </c>
      <c r="AC17">
        <f>IF(AND(COUNTIF(Control!$D$20:$D$100,$B17)=0,COUNTIF(Control!$D$20:$D$100,AC$2)=0),VISUM_Freeway_OD!AC17*Control!$B$2,0)</f>
        <v>0</v>
      </c>
      <c r="AD17">
        <f>IF(AND(COUNTIF(Control!$D$20:$D$100,$B17)=0,COUNTIF(Control!$D$20:$D$100,AD$2)=0),VISUM_Freeway_OD!AD17*Control!$B$2,0)</f>
        <v>0</v>
      </c>
      <c r="AE17">
        <f>IF(AND(COUNTIF(Control!$D$20:$D$100,$B17)=0,COUNTIF(Control!$D$20:$D$100,AE$2)=0),VISUM_Freeway_OD!AE17*Control!$B$2,0)</f>
        <v>0</v>
      </c>
      <c r="AF17">
        <f>IF(AND(COUNTIF(Control!$D$20:$D$100,$B17)=0,COUNTIF(Control!$D$20:$D$100,AF$2)=0),VISUM_Freeway_OD!AF17*Control!$B$2,0)</f>
        <v>0</v>
      </c>
      <c r="AG17">
        <f>IF(AND(COUNTIF(Control!$D$20:$D$100,$B17)=0,COUNTIF(Control!$D$20:$D$100,AG$2)=0),VISUM_Freeway_OD!AG17*Control!$B$2,0)</f>
        <v>0</v>
      </c>
      <c r="AH17">
        <f>IF(AND(COUNTIF(Control!$D$20:$D$100,$B17)=0,COUNTIF(Control!$D$20:$D$100,AH$2)=0),VISUM_Freeway_OD!AH17*Control!$B$2,0)</f>
        <v>0</v>
      </c>
      <c r="AI17">
        <f>IF(AND(COUNTIF(Control!$D$20:$D$100,$B17)=0,COUNTIF(Control!$D$20:$D$100,AI$2)=0),VISUM_Freeway_OD!AI17*Control!$B$2,0)</f>
        <v>0</v>
      </c>
      <c r="AJ17">
        <f>IF(AND(COUNTIF(Control!$D$20:$D$100,$B17)=0,COUNTIF(Control!$D$20:$D$100,AJ$2)=0),VISUM_Freeway_OD!AJ17*Control!$B$2,0)</f>
        <v>0</v>
      </c>
      <c r="AK17">
        <f>IF(AND(COUNTIF(Control!$D$20:$D$100,$B17)=0,COUNTIF(Control!$D$20:$D$100,AK$2)=0),VISUM_Freeway_OD!AK17*Control!$B$2,0)</f>
        <v>0</v>
      </c>
      <c r="AL17">
        <f>IF(AND(COUNTIF(Control!$D$20:$D$100,$B17)=0,COUNTIF(Control!$D$20:$D$100,AL$2)=0),VISUM_Freeway_OD!AL17*Control!$B$2,0)</f>
        <v>0</v>
      </c>
      <c r="AM17">
        <f>IF(AND(COUNTIF(Control!$D$20:$D$100,$B17)=0,COUNTIF(Control!$D$20:$D$100,AM$2)=0),VISUM_Freeway_OD!AM17*Control!$B$2,0)</f>
        <v>0</v>
      </c>
      <c r="AN17">
        <f>IF(AND(COUNTIF(Control!$D$20:$D$100,$B17)=0,COUNTIF(Control!$D$20:$D$100,AN$2)=0),VISUM_Freeway_OD!AN17*Control!$B$2,0)</f>
        <v>0</v>
      </c>
      <c r="AO17">
        <f>IF(AND(COUNTIF(Control!$D$20:$D$100,$B17)=0,COUNTIF(Control!$D$20:$D$100,AO$2)=0),VISUM_Freeway_OD!AO17*Control!$B$2,0)</f>
        <v>0</v>
      </c>
      <c r="AP17">
        <f>IF(AND(COUNTIF(Control!$D$20:$D$100,$B17)=0,COUNTIF(Control!$D$20:$D$100,AP$2)=0),VISUM_Freeway_OD!AP17*Control!$B$2,0)</f>
        <v>0</v>
      </c>
      <c r="AQ17">
        <f>IF(AND(COUNTIF(Control!$D$20:$D$100,$B17)=0,COUNTIF(Control!$D$20:$D$100,AQ$2)=0),VISUM_Freeway_OD!AQ17*Control!$B$2,0)</f>
        <v>0</v>
      </c>
      <c r="AR17">
        <f>IF(AND(COUNTIF(Control!$D$20:$D$100,$B17)=0,COUNTIF(Control!$D$20:$D$100,AR$2)=0),VISUM_Freeway_OD!AR17*Control!$B$2,0)</f>
        <v>0</v>
      </c>
      <c r="AS17">
        <f>IF(AND(COUNTIF(Control!$D$20:$D$100,$B17)=0,COUNTIF(Control!$D$20:$D$100,AS$2)=0),VISUM_Freeway_OD!AS17*Control!$B$2,0)</f>
        <v>0</v>
      </c>
      <c r="AT17">
        <f>IF(AND(COUNTIF(Control!$D$20:$D$100,$B17)=0,COUNTIF(Control!$D$20:$D$100,AT$2)=0),VISUM_Freeway_OD!AT17*Control!$B$2,0)</f>
        <v>0</v>
      </c>
      <c r="AU17">
        <f>IF(AND(COUNTIF(Control!$D$20:$D$100,$B17)=0,COUNTIF(Control!$D$20:$D$100,AU$2)=0),VISUM_Freeway_OD!AU17*Control!$B$2,0)</f>
        <v>0</v>
      </c>
      <c r="AV17">
        <f>IF(AND(COUNTIF(Control!$D$20:$D$100,$B17)=0,COUNTIF(Control!$D$20:$D$100,AV$2)=0),VISUM_Freeway_OD!AV17*Control!$B$2,0)</f>
        <v>0</v>
      </c>
      <c r="AW17">
        <f>IF(AND(COUNTIF(Control!$D$20:$D$100,$B17)=0,COUNTIF(Control!$D$20:$D$100,AW$2)=0),VISUM_Freeway_OD!AW17*Control!$B$2,0)</f>
        <v>0</v>
      </c>
      <c r="AX17">
        <f>IF(AND(COUNTIF(Control!$D$20:$D$100,$B17)=0,COUNTIF(Control!$D$20:$D$100,AX$2)=0),VISUM_Freeway_OD!AX17*Control!$B$2,0)</f>
        <v>0</v>
      </c>
      <c r="AY17">
        <f>IF(AND(COUNTIF(Control!$D$20:$D$100,$B17)=0,COUNTIF(Control!$D$20:$D$100,AY$2)=0),VISUM_Freeway_OD!AY17*Control!$B$2,0)</f>
        <v>0</v>
      </c>
    </row>
    <row r="18" spans="1:51" x14ac:dyDescent="0.25">
      <c r="A18" s="4">
        <f>IF(VLOOKUP(B18,Freeway_Zone_Link_Mapping!$A:$C,2,FALSE)&lt;&gt;"",VLOOKUP(B18,Freeway_Zone_Link_Mapping!$A:$C,2,FALSE),"")</f>
        <v>183</v>
      </c>
      <c r="B18" s="4">
        <v>38</v>
      </c>
      <c r="C18">
        <f>IF(AND(COUNTIF(Control!$D$20:$D$100,$B18)=0,COUNTIF(Control!$D$20:$D$100,C$2)=0),VISUM_Freeway_OD!C18*Control!$B$2,0)</f>
        <v>0</v>
      </c>
      <c r="D18">
        <f>IF(AND(COUNTIF(Control!$D$20:$D$100,$B18)=0,COUNTIF(Control!$D$20:$D$100,D$2)=0),VISUM_Freeway_OD!D18*Control!$B$2,0)</f>
        <v>0</v>
      </c>
      <c r="E18">
        <f>IF(AND(COUNTIF(Control!$D$20:$D$100,$B18)=0,COUNTIF(Control!$D$20:$D$100,E$2)=0),VISUM_Freeway_OD!E18*Control!$B$2,0)</f>
        <v>0</v>
      </c>
      <c r="F18">
        <f>IF(AND(COUNTIF(Control!$D$20:$D$100,$B18)=0,COUNTIF(Control!$D$20:$D$100,F$2)=0),VISUM_Freeway_OD!F18*Control!$B$2,0)</f>
        <v>0</v>
      </c>
      <c r="G18">
        <f>IF(AND(COUNTIF(Control!$D$20:$D$100,$B18)=0,COUNTIF(Control!$D$20:$D$100,G$2)=0),VISUM_Freeway_OD!G18*Control!$B$2,0)</f>
        <v>0</v>
      </c>
      <c r="H18">
        <f>IF(AND(COUNTIF(Control!$D$20:$D$100,$B18)=0,COUNTIF(Control!$D$20:$D$100,H$2)=0),VISUM_Freeway_OD!H18*Control!$B$2,0)</f>
        <v>18.593324129999999</v>
      </c>
      <c r="I18">
        <f>IF(AND(COUNTIF(Control!$D$20:$D$100,$B18)=0,COUNTIF(Control!$D$20:$D$100,I$2)=0),VISUM_Freeway_OD!I18*Control!$B$2,0)</f>
        <v>0</v>
      </c>
      <c r="J18">
        <f>IF(AND(COUNTIF(Control!$D$20:$D$100,$B18)=0,COUNTIF(Control!$D$20:$D$100,J$2)=0),VISUM_Freeway_OD!J18*Control!$B$2,0)</f>
        <v>0</v>
      </c>
      <c r="K18">
        <f>IF(AND(COUNTIF(Control!$D$20:$D$100,$B18)=0,COUNTIF(Control!$D$20:$D$100,K$2)=0),VISUM_Freeway_OD!K18*Control!$B$2,0)</f>
        <v>0</v>
      </c>
      <c r="L18">
        <f>IF(AND(COUNTIF(Control!$D$20:$D$100,$B18)=0,COUNTIF(Control!$D$20:$D$100,L$2)=0),VISUM_Freeway_OD!L18*Control!$B$2,0)</f>
        <v>0</v>
      </c>
      <c r="M18">
        <f>IF(AND(COUNTIF(Control!$D$20:$D$100,$B18)=0,COUNTIF(Control!$D$20:$D$100,M$2)=0),VISUM_Freeway_OD!M18*Control!$B$2,0)</f>
        <v>0</v>
      </c>
      <c r="N18">
        <f>IF(AND(COUNTIF(Control!$D$20:$D$100,$B18)=0,COUNTIF(Control!$D$20:$D$100,N$2)=0),VISUM_Freeway_OD!N18*Control!$B$2,0)</f>
        <v>0</v>
      </c>
      <c r="O18">
        <f>IF(AND(COUNTIF(Control!$D$20:$D$100,$B18)=0,COUNTIF(Control!$D$20:$D$100,O$2)=0),VISUM_Freeway_OD!O18*Control!$B$2,0)</f>
        <v>0</v>
      </c>
      <c r="P18">
        <f>IF(AND(COUNTIF(Control!$D$20:$D$100,$B18)=0,COUNTIF(Control!$D$20:$D$100,P$2)=0),VISUM_Freeway_OD!P18*Control!$B$2,0)</f>
        <v>0</v>
      </c>
      <c r="Q18">
        <f>IF(AND(COUNTIF(Control!$D$20:$D$100,$B18)=0,COUNTIF(Control!$D$20:$D$100,Q$2)=0),VISUM_Freeway_OD!Q18*Control!$B$2,0)</f>
        <v>0</v>
      </c>
      <c r="R18">
        <f>IF(AND(COUNTIF(Control!$D$20:$D$100,$B18)=0,COUNTIF(Control!$D$20:$D$100,R$2)=0),VISUM_Freeway_OD!R18*Control!$B$2,0)</f>
        <v>0</v>
      </c>
      <c r="S18">
        <f>IF(AND(COUNTIF(Control!$D$20:$D$100,$B18)=0,COUNTIF(Control!$D$20:$D$100,S$2)=0),VISUM_Freeway_OD!S18*Control!$B$2,0)</f>
        <v>0</v>
      </c>
      <c r="T18">
        <f>IF(AND(COUNTIF(Control!$D$20:$D$100,$B18)=0,COUNTIF(Control!$D$20:$D$100,T$2)=0),VISUM_Freeway_OD!T18*Control!$B$2,0)</f>
        <v>0</v>
      </c>
      <c r="U18">
        <f>IF(AND(COUNTIF(Control!$D$20:$D$100,$B18)=0,COUNTIF(Control!$D$20:$D$100,U$2)=0),VISUM_Freeway_OD!U18*Control!$B$2,0)</f>
        <v>0</v>
      </c>
      <c r="V18">
        <f>IF(AND(COUNTIF(Control!$D$20:$D$100,$B18)=0,COUNTIF(Control!$D$20:$D$100,V$2)=0),VISUM_Freeway_OD!V18*Control!$B$2,0)</f>
        <v>0</v>
      </c>
      <c r="W18">
        <f>IF(AND(COUNTIF(Control!$D$20:$D$100,$B18)=0,COUNTIF(Control!$D$20:$D$100,W$2)=0),VISUM_Freeway_OD!W18*Control!$B$2,0)</f>
        <v>0</v>
      </c>
      <c r="X18">
        <f>IF(AND(COUNTIF(Control!$D$20:$D$100,$B18)=0,COUNTIF(Control!$D$20:$D$100,X$2)=0),VISUM_Freeway_OD!X18*Control!$B$2,0)</f>
        <v>0</v>
      </c>
      <c r="Y18">
        <f>IF(AND(COUNTIF(Control!$D$20:$D$100,$B18)=0,COUNTIF(Control!$D$20:$D$100,Y$2)=0),VISUM_Freeway_OD!Y18*Control!$B$2,0)</f>
        <v>0</v>
      </c>
      <c r="Z18">
        <f>IF(AND(COUNTIF(Control!$D$20:$D$100,$B18)=0,COUNTIF(Control!$D$20:$D$100,Z$2)=0),VISUM_Freeway_OD!Z18*Control!$B$2,0)</f>
        <v>0</v>
      </c>
      <c r="AA18">
        <f>IF(AND(COUNTIF(Control!$D$20:$D$100,$B18)=0,COUNTIF(Control!$D$20:$D$100,AA$2)=0),VISUM_Freeway_OD!AA18*Control!$B$2,0)</f>
        <v>0</v>
      </c>
      <c r="AB18">
        <f>IF(AND(COUNTIF(Control!$D$20:$D$100,$B18)=0,COUNTIF(Control!$D$20:$D$100,AB$2)=0),VISUM_Freeway_OD!AB18*Control!$B$2,0)</f>
        <v>0</v>
      </c>
      <c r="AC18">
        <f>IF(AND(COUNTIF(Control!$D$20:$D$100,$B18)=0,COUNTIF(Control!$D$20:$D$100,AC$2)=0),VISUM_Freeway_OD!AC18*Control!$B$2,0)</f>
        <v>0</v>
      </c>
      <c r="AD18">
        <f>IF(AND(COUNTIF(Control!$D$20:$D$100,$B18)=0,COUNTIF(Control!$D$20:$D$100,AD$2)=0),VISUM_Freeway_OD!AD18*Control!$B$2,0)</f>
        <v>0</v>
      </c>
      <c r="AE18">
        <f>IF(AND(COUNTIF(Control!$D$20:$D$100,$B18)=0,COUNTIF(Control!$D$20:$D$100,AE$2)=0),VISUM_Freeway_OD!AE18*Control!$B$2,0)</f>
        <v>0</v>
      </c>
      <c r="AF18">
        <f>IF(AND(COUNTIF(Control!$D$20:$D$100,$B18)=0,COUNTIF(Control!$D$20:$D$100,AF$2)=0),VISUM_Freeway_OD!AF18*Control!$B$2,0)</f>
        <v>0</v>
      </c>
      <c r="AG18">
        <f>IF(AND(COUNTIF(Control!$D$20:$D$100,$B18)=0,COUNTIF(Control!$D$20:$D$100,AG$2)=0),VISUM_Freeway_OD!AG18*Control!$B$2,0)</f>
        <v>0</v>
      </c>
      <c r="AH18">
        <f>IF(AND(COUNTIF(Control!$D$20:$D$100,$B18)=0,COUNTIF(Control!$D$20:$D$100,AH$2)=0),VISUM_Freeway_OD!AH18*Control!$B$2,0)</f>
        <v>0</v>
      </c>
      <c r="AI18">
        <f>IF(AND(COUNTIF(Control!$D$20:$D$100,$B18)=0,COUNTIF(Control!$D$20:$D$100,AI$2)=0),VISUM_Freeway_OD!AI18*Control!$B$2,0)</f>
        <v>0</v>
      </c>
      <c r="AJ18">
        <f>IF(AND(COUNTIF(Control!$D$20:$D$100,$B18)=0,COUNTIF(Control!$D$20:$D$100,AJ$2)=0),VISUM_Freeway_OD!AJ18*Control!$B$2,0)</f>
        <v>0</v>
      </c>
      <c r="AK18">
        <f>IF(AND(COUNTIF(Control!$D$20:$D$100,$B18)=0,COUNTIF(Control!$D$20:$D$100,AK$2)=0),VISUM_Freeway_OD!AK18*Control!$B$2,0)</f>
        <v>0</v>
      </c>
      <c r="AL18">
        <f>IF(AND(COUNTIF(Control!$D$20:$D$100,$B18)=0,COUNTIF(Control!$D$20:$D$100,AL$2)=0),VISUM_Freeway_OD!AL18*Control!$B$2,0)</f>
        <v>0</v>
      </c>
      <c r="AM18">
        <f>IF(AND(COUNTIF(Control!$D$20:$D$100,$B18)=0,COUNTIF(Control!$D$20:$D$100,AM$2)=0),VISUM_Freeway_OD!AM18*Control!$B$2,0)</f>
        <v>0</v>
      </c>
      <c r="AN18">
        <f>IF(AND(COUNTIF(Control!$D$20:$D$100,$B18)=0,COUNTIF(Control!$D$20:$D$100,AN$2)=0),VISUM_Freeway_OD!AN18*Control!$B$2,0)</f>
        <v>0</v>
      </c>
      <c r="AO18">
        <f>IF(AND(COUNTIF(Control!$D$20:$D$100,$B18)=0,COUNTIF(Control!$D$20:$D$100,AO$2)=0),VISUM_Freeway_OD!AO18*Control!$B$2,0)</f>
        <v>0</v>
      </c>
      <c r="AP18">
        <f>IF(AND(COUNTIF(Control!$D$20:$D$100,$B18)=0,COUNTIF(Control!$D$20:$D$100,AP$2)=0),VISUM_Freeway_OD!AP18*Control!$B$2,0)</f>
        <v>0</v>
      </c>
      <c r="AQ18">
        <f>IF(AND(COUNTIF(Control!$D$20:$D$100,$B18)=0,COUNTIF(Control!$D$20:$D$100,AQ$2)=0),VISUM_Freeway_OD!AQ18*Control!$B$2,0)</f>
        <v>0</v>
      </c>
      <c r="AR18">
        <f>IF(AND(COUNTIF(Control!$D$20:$D$100,$B18)=0,COUNTIF(Control!$D$20:$D$100,AR$2)=0),VISUM_Freeway_OD!AR18*Control!$B$2,0)</f>
        <v>0</v>
      </c>
      <c r="AS18">
        <f>IF(AND(COUNTIF(Control!$D$20:$D$100,$B18)=0,COUNTIF(Control!$D$20:$D$100,AS$2)=0),VISUM_Freeway_OD!AS18*Control!$B$2,0)</f>
        <v>0</v>
      </c>
      <c r="AT18">
        <f>IF(AND(COUNTIF(Control!$D$20:$D$100,$B18)=0,COUNTIF(Control!$D$20:$D$100,AT$2)=0),VISUM_Freeway_OD!AT18*Control!$B$2,0)</f>
        <v>0</v>
      </c>
      <c r="AU18">
        <f>IF(AND(COUNTIF(Control!$D$20:$D$100,$B18)=0,COUNTIF(Control!$D$20:$D$100,AU$2)=0),VISUM_Freeway_OD!AU18*Control!$B$2,0)</f>
        <v>0</v>
      </c>
      <c r="AV18">
        <f>IF(AND(COUNTIF(Control!$D$20:$D$100,$B18)=0,COUNTIF(Control!$D$20:$D$100,AV$2)=0),VISUM_Freeway_OD!AV18*Control!$B$2,0)</f>
        <v>0</v>
      </c>
      <c r="AW18">
        <f>IF(AND(COUNTIF(Control!$D$20:$D$100,$B18)=0,COUNTIF(Control!$D$20:$D$100,AW$2)=0),VISUM_Freeway_OD!AW18*Control!$B$2,0)</f>
        <v>0</v>
      </c>
      <c r="AX18">
        <f>IF(AND(COUNTIF(Control!$D$20:$D$100,$B18)=0,COUNTIF(Control!$D$20:$D$100,AX$2)=0),VISUM_Freeway_OD!AX18*Control!$B$2,0)</f>
        <v>0</v>
      </c>
      <c r="AY18">
        <f>IF(AND(COUNTIF(Control!$D$20:$D$100,$B18)=0,COUNTIF(Control!$D$20:$D$100,AY$2)=0),VISUM_Freeway_OD!AY18*Control!$B$2,0)</f>
        <v>0</v>
      </c>
    </row>
    <row r="19" spans="1:51" x14ac:dyDescent="0.25">
      <c r="A19" s="4" t="str">
        <f>IF(VLOOKUP(B19,Freeway_Zone_Link_Mapping!$A:$C,2,FALSE)&lt;&gt;"",VLOOKUP(B19,Freeway_Zone_Link_Mapping!$A:$C,2,FALSE),"")</f>
        <v/>
      </c>
      <c r="B19" s="4">
        <v>39</v>
      </c>
      <c r="C19">
        <f>IF(AND(COUNTIF(Control!$D$20:$D$100,$B19)=0,COUNTIF(Control!$D$20:$D$100,C$2)=0),VISUM_Freeway_OD!C19*Control!$B$2,0)</f>
        <v>0</v>
      </c>
      <c r="D19">
        <f>IF(AND(COUNTIF(Control!$D$20:$D$100,$B19)=0,COUNTIF(Control!$D$20:$D$100,D$2)=0),VISUM_Freeway_OD!D19*Control!$B$2,0)</f>
        <v>0</v>
      </c>
      <c r="E19">
        <f>IF(AND(COUNTIF(Control!$D$20:$D$100,$B19)=0,COUNTIF(Control!$D$20:$D$100,E$2)=0),VISUM_Freeway_OD!E19*Control!$B$2,0)</f>
        <v>0</v>
      </c>
      <c r="F19">
        <f>IF(AND(COUNTIF(Control!$D$20:$D$100,$B19)=0,COUNTIF(Control!$D$20:$D$100,F$2)=0),VISUM_Freeway_OD!F19*Control!$B$2,0)</f>
        <v>0</v>
      </c>
      <c r="G19">
        <f>IF(AND(COUNTIF(Control!$D$20:$D$100,$B19)=0,COUNTIF(Control!$D$20:$D$100,G$2)=0),VISUM_Freeway_OD!G19*Control!$B$2,0)</f>
        <v>0</v>
      </c>
      <c r="H19">
        <f>IF(AND(COUNTIF(Control!$D$20:$D$100,$B19)=0,COUNTIF(Control!$D$20:$D$100,H$2)=0),VISUM_Freeway_OD!H19*Control!$B$2,0)</f>
        <v>0</v>
      </c>
      <c r="I19">
        <f>IF(AND(COUNTIF(Control!$D$20:$D$100,$B19)=0,COUNTIF(Control!$D$20:$D$100,I$2)=0),VISUM_Freeway_OD!I19*Control!$B$2,0)</f>
        <v>0</v>
      </c>
      <c r="J19">
        <f>IF(AND(COUNTIF(Control!$D$20:$D$100,$B19)=0,COUNTIF(Control!$D$20:$D$100,J$2)=0),VISUM_Freeway_OD!J19*Control!$B$2,0)</f>
        <v>0</v>
      </c>
      <c r="K19">
        <f>IF(AND(COUNTIF(Control!$D$20:$D$100,$B19)=0,COUNTIF(Control!$D$20:$D$100,K$2)=0),VISUM_Freeway_OD!K19*Control!$B$2,0)</f>
        <v>0</v>
      </c>
      <c r="L19">
        <f>IF(AND(COUNTIF(Control!$D$20:$D$100,$B19)=0,COUNTIF(Control!$D$20:$D$100,L$2)=0),VISUM_Freeway_OD!L19*Control!$B$2,0)</f>
        <v>0</v>
      </c>
      <c r="M19">
        <f>IF(AND(COUNTIF(Control!$D$20:$D$100,$B19)=0,COUNTIF(Control!$D$20:$D$100,M$2)=0),VISUM_Freeway_OD!M19*Control!$B$2,0)</f>
        <v>0</v>
      </c>
      <c r="N19">
        <f>IF(AND(COUNTIF(Control!$D$20:$D$100,$B19)=0,COUNTIF(Control!$D$20:$D$100,N$2)=0),VISUM_Freeway_OD!N19*Control!$B$2,0)</f>
        <v>0</v>
      </c>
      <c r="O19">
        <f>IF(AND(COUNTIF(Control!$D$20:$D$100,$B19)=0,COUNTIF(Control!$D$20:$D$100,O$2)=0),VISUM_Freeway_OD!O19*Control!$B$2,0)</f>
        <v>0</v>
      </c>
      <c r="P19">
        <f>IF(AND(COUNTIF(Control!$D$20:$D$100,$B19)=0,COUNTIF(Control!$D$20:$D$100,P$2)=0),VISUM_Freeway_OD!P19*Control!$B$2,0)</f>
        <v>0</v>
      </c>
      <c r="Q19">
        <f>IF(AND(COUNTIF(Control!$D$20:$D$100,$B19)=0,COUNTIF(Control!$D$20:$D$100,Q$2)=0),VISUM_Freeway_OD!Q19*Control!$B$2,0)</f>
        <v>0</v>
      </c>
      <c r="R19">
        <f>IF(AND(COUNTIF(Control!$D$20:$D$100,$B19)=0,COUNTIF(Control!$D$20:$D$100,R$2)=0),VISUM_Freeway_OD!R19*Control!$B$2,0)</f>
        <v>0</v>
      </c>
      <c r="S19">
        <f>IF(AND(COUNTIF(Control!$D$20:$D$100,$B19)=0,COUNTIF(Control!$D$20:$D$100,S$2)=0),VISUM_Freeway_OD!S19*Control!$B$2,0)</f>
        <v>0</v>
      </c>
      <c r="T19">
        <f>IF(AND(COUNTIF(Control!$D$20:$D$100,$B19)=0,COUNTIF(Control!$D$20:$D$100,T$2)=0),VISUM_Freeway_OD!T19*Control!$B$2,0)</f>
        <v>0</v>
      </c>
      <c r="U19">
        <f>IF(AND(COUNTIF(Control!$D$20:$D$100,$B19)=0,COUNTIF(Control!$D$20:$D$100,U$2)=0),VISUM_Freeway_OD!U19*Control!$B$2,0)</f>
        <v>0</v>
      </c>
      <c r="V19">
        <f>IF(AND(COUNTIF(Control!$D$20:$D$100,$B19)=0,COUNTIF(Control!$D$20:$D$100,V$2)=0),VISUM_Freeway_OD!V19*Control!$B$2,0)</f>
        <v>0</v>
      </c>
      <c r="W19">
        <f>IF(AND(COUNTIF(Control!$D$20:$D$100,$B19)=0,COUNTIF(Control!$D$20:$D$100,W$2)=0),VISUM_Freeway_OD!W19*Control!$B$2,0)</f>
        <v>0</v>
      </c>
      <c r="X19">
        <f>IF(AND(COUNTIF(Control!$D$20:$D$100,$B19)=0,COUNTIF(Control!$D$20:$D$100,X$2)=0),VISUM_Freeway_OD!X19*Control!$B$2,0)</f>
        <v>0</v>
      </c>
      <c r="Y19">
        <f>IF(AND(COUNTIF(Control!$D$20:$D$100,$B19)=0,COUNTIF(Control!$D$20:$D$100,Y$2)=0),VISUM_Freeway_OD!Y19*Control!$B$2,0)</f>
        <v>0</v>
      </c>
      <c r="Z19">
        <f>IF(AND(COUNTIF(Control!$D$20:$D$100,$B19)=0,COUNTIF(Control!$D$20:$D$100,Z$2)=0),VISUM_Freeway_OD!Z19*Control!$B$2,0)</f>
        <v>0</v>
      </c>
      <c r="AA19">
        <f>IF(AND(COUNTIF(Control!$D$20:$D$100,$B19)=0,COUNTIF(Control!$D$20:$D$100,AA$2)=0),VISUM_Freeway_OD!AA19*Control!$B$2,0)</f>
        <v>0</v>
      </c>
      <c r="AB19">
        <f>IF(AND(COUNTIF(Control!$D$20:$D$100,$B19)=0,COUNTIF(Control!$D$20:$D$100,AB$2)=0),VISUM_Freeway_OD!AB19*Control!$B$2,0)</f>
        <v>0</v>
      </c>
      <c r="AC19">
        <f>IF(AND(COUNTIF(Control!$D$20:$D$100,$B19)=0,COUNTIF(Control!$D$20:$D$100,AC$2)=0),VISUM_Freeway_OD!AC19*Control!$B$2,0)</f>
        <v>0</v>
      </c>
      <c r="AD19">
        <f>IF(AND(COUNTIF(Control!$D$20:$D$100,$B19)=0,COUNTIF(Control!$D$20:$D$100,AD$2)=0),VISUM_Freeway_OD!AD19*Control!$B$2,0)</f>
        <v>0</v>
      </c>
      <c r="AE19">
        <f>IF(AND(COUNTIF(Control!$D$20:$D$100,$B19)=0,COUNTIF(Control!$D$20:$D$100,AE$2)=0),VISUM_Freeway_OD!AE19*Control!$B$2,0)</f>
        <v>0</v>
      </c>
      <c r="AF19">
        <f>IF(AND(COUNTIF(Control!$D$20:$D$100,$B19)=0,COUNTIF(Control!$D$20:$D$100,AF$2)=0),VISUM_Freeway_OD!AF19*Control!$B$2,0)</f>
        <v>0</v>
      </c>
      <c r="AG19">
        <f>IF(AND(COUNTIF(Control!$D$20:$D$100,$B19)=0,COUNTIF(Control!$D$20:$D$100,AG$2)=0),VISUM_Freeway_OD!AG19*Control!$B$2,0)</f>
        <v>0</v>
      </c>
      <c r="AH19">
        <f>IF(AND(COUNTIF(Control!$D$20:$D$100,$B19)=0,COUNTIF(Control!$D$20:$D$100,AH$2)=0),VISUM_Freeway_OD!AH19*Control!$B$2,0)</f>
        <v>0</v>
      </c>
      <c r="AI19">
        <f>IF(AND(COUNTIF(Control!$D$20:$D$100,$B19)=0,COUNTIF(Control!$D$20:$D$100,AI$2)=0),VISUM_Freeway_OD!AI19*Control!$B$2,0)</f>
        <v>0</v>
      </c>
      <c r="AJ19">
        <f>IF(AND(COUNTIF(Control!$D$20:$D$100,$B19)=0,COUNTIF(Control!$D$20:$D$100,AJ$2)=0),VISUM_Freeway_OD!AJ19*Control!$B$2,0)</f>
        <v>0</v>
      </c>
      <c r="AK19">
        <f>IF(AND(COUNTIF(Control!$D$20:$D$100,$B19)=0,COUNTIF(Control!$D$20:$D$100,AK$2)=0),VISUM_Freeway_OD!AK19*Control!$B$2,0)</f>
        <v>0</v>
      </c>
      <c r="AL19">
        <f>IF(AND(COUNTIF(Control!$D$20:$D$100,$B19)=0,COUNTIF(Control!$D$20:$D$100,AL$2)=0),VISUM_Freeway_OD!AL19*Control!$B$2,0)</f>
        <v>0</v>
      </c>
      <c r="AM19">
        <f>IF(AND(COUNTIF(Control!$D$20:$D$100,$B19)=0,COUNTIF(Control!$D$20:$D$100,AM$2)=0),VISUM_Freeway_OD!AM19*Control!$B$2,0)</f>
        <v>0</v>
      </c>
      <c r="AN19">
        <f>IF(AND(COUNTIF(Control!$D$20:$D$100,$B19)=0,COUNTIF(Control!$D$20:$D$100,AN$2)=0),VISUM_Freeway_OD!AN19*Control!$B$2,0)</f>
        <v>0</v>
      </c>
      <c r="AO19">
        <f>IF(AND(COUNTIF(Control!$D$20:$D$100,$B19)=0,COUNTIF(Control!$D$20:$D$100,AO$2)=0),VISUM_Freeway_OD!AO19*Control!$B$2,0)</f>
        <v>0</v>
      </c>
      <c r="AP19">
        <f>IF(AND(COUNTIF(Control!$D$20:$D$100,$B19)=0,COUNTIF(Control!$D$20:$D$100,AP$2)=0),VISUM_Freeway_OD!AP19*Control!$B$2,0)</f>
        <v>0</v>
      </c>
      <c r="AQ19">
        <f>IF(AND(COUNTIF(Control!$D$20:$D$100,$B19)=0,COUNTIF(Control!$D$20:$D$100,AQ$2)=0),VISUM_Freeway_OD!AQ19*Control!$B$2,0)</f>
        <v>0</v>
      </c>
      <c r="AR19">
        <f>IF(AND(COUNTIF(Control!$D$20:$D$100,$B19)=0,COUNTIF(Control!$D$20:$D$100,AR$2)=0),VISUM_Freeway_OD!AR19*Control!$B$2,0)</f>
        <v>0</v>
      </c>
      <c r="AS19">
        <f>IF(AND(COUNTIF(Control!$D$20:$D$100,$B19)=0,COUNTIF(Control!$D$20:$D$100,AS$2)=0),VISUM_Freeway_OD!AS19*Control!$B$2,0)</f>
        <v>0</v>
      </c>
      <c r="AT19">
        <f>IF(AND(COUNTIF(Control!$D$20:$D$100,$B19)=0,COUNTIF(Control!$D$20:$D$100,AT$2)=0),VISUM_Freeway_OD!AT19*Control!$B$2,0)</f>
        <v>0</v>
      </c>
      <c r="AU19">
        <f>IF(AND(COUNTIF(Control!$D$20:$D$100,$B19)=0,COUNTIF(Control!$D$20:$D$100,AU$2)=0),VISUM_Freeway_OD!AU19*Control!$B$2,0)</f>
        <v>0</v>
      </c>
      <c r="AV19">
        <f>IF(AND(COUNTIF(Control!$D$20:$D$100,$B19)=0,COUNTIF(Control!$D$20:$D$100,AV$2)=0),VISUM_Freeway_OD!AV19*Control!$B$2,0)</f>
        <v>0</v>
      </c>
      <c r="AW19">
        <f>IF(AND(COUNTIF(Control!$D$20:$D$100,$B19)=0,COUNTIF(Control!$D$20:$D$100,AW$2)=0),VISUM_Freeway_OD!AW19*Control!$B$2,0)</f>
        <v>0</v>
      </c>
      <c r="AX19">
        <f>IF(AND(COUNTIF(Control!$D$20:$D$100,$B19)=0,COUNTIF(Control!$D$20:$D$100,AX$2)=0),VISUM_Freeway_OD!AX19*Control!$B$2,0)</f>
        <v>0</v>
      </c>
      <c r="AY19">
        <f>IF(AND(COUNTIF(Control!$D$20:$D$100,$B19)=0,COUNTIF(Control!$D$20:$D$100,AY$2)=0),VISUM_Freeway_OD!AY19*Control!$B$2,0)</f>
        <v>0</v>
      </c>
    </row>
    <row r="20" spans="1:51" x14ac:dyDescent="0.25">
      <c r="A20" s="4" t="str">
        <f>IF(VLOOKUP(B20,Freeway_Zone_Link_Mapping!$A:$C,2,FALSE)&lt;&gt;"",VLOOKUP(B20,Freeway_Zone_Link_Mapping!$A:$C,2,FALSE),"")</f>
        <v/>
      </c>
      <c r="B20" s="4">
        <v>40</v>
      </c>
      <c r="C20">
        <f>IF(AND(COUNTIF(Control!$D$20:$D$100,$B20)=0,COUNTIF(Control!$D$20:$D$100,C$2)=0),VISUM_Freeway_OD!C20*Control!$B$2,0)</f>
        <v>0</v>
      </c>
      <c r="D20">
        <f>IF(AND(COUNTIF(Control!$D$20:$D$100,$B20)=0,COUNTIF(Control!$D$20:$D$100,D$2)=0),VISUM_Freeway_OD!D20*Control!$B$2,0)</f>
        <v>0</v>
      </c>
      <c r="E20">
        <f>IF(AND(COUNTIF(Control!$D$20:$D$100,$B20)=0,COUNTIF(Control!$D$20:$D$100,E$2)=0),VISUM_Freeway_OD!E20*Control!$B$2,0)</f>
        <v>0</v>
      </c>
      <c r="F20">
        <f>IF(AND(COUNTIF(Control!$D$20:$D$100,$B20)=0,COUNTIF(Control!$D$20:$D$100,F$2)=0),VISUM_Freeway_OD!F20*Control!$B$2,0)</f>
        <v>0</v>
      </c>
      <c r="G20">
        <f>IF(AND(COUNTIF(Control!$D$20:$D$100,$B20)=0,COUNTIF(Control!$D$20:$D$100,G$2)=0),VISUM_Freeway_OD!G20*Control!$B$2,0)</f>
        <v>0</v>
      </c>
      <c r="H20">
        <f>IF(AND(COUNTIF(Control!$D$20:$D$100,$B20)=0,COUNTIF(Control!$D$20:$D$100,H$2)=0),VISUM_Freeway_OD!H20*Control!$B$2,0)</f>
        <v>0</v>
      </c>
      <c r="I20">
        <f>IF(AND(COUNTIF(Control!$D$20:$D$100,$B20)=0,COUNTIF(Control!$D$20:$D$100,I$2)=0),VISUM_Freeway_OD!I20*Control!$B$2,0)</f>
        <v>0</v>
      </c>
      <c r="J20">
        <f>IF(AND(COUNTIF(Control!$D$20:$D$100,$B20)=0,COUNTIF(Control!$D$20:$D$100,J$2)=0),VISUM_Freeway_OD!J20*Control!$B$2,0)</f>
        <v>0</v>
      </c>
      <c r="K20">
        <f>IF(AND(COUNTIF(Control!$D$20:$D$100,$B20)=0,COUNTIF(Control!$D$20:$D$100,K$2)=0),VISUM_Freeway_OD!K20*Control!$B$2,0)</f>
        <v>0</v>
      </c>
      <c r="L20">
        <f>IF(AND(COUNTIF(Control!$D$20:$D$100,$B20)=0,COUNTIF(Control!$D$20:$D$100,L$2)=0),VISUM_Freeway_OD!L20*Control!$B$2,0)</f>
        <v>0</v>
      </c>
      <c r="M20">
        <f>IF(AND(COUNTIF(Control!$D$20:$D$100,$B20)=0,COUNTIF(Control!$D$20:$D$100,M$2)=0),VISUM_Freeway_OD!M20*Control!$B$2,0)</f>
        <v>0</v>
      </c>
      <c r="N20">
        <f>IF(AND(COUNTIF(Control!$D$20:$D$100,$B20)=0,COUNTIF(Control!$D$20:$D$100,N$2)=0),VISUM_Freeway_OD!N20*Control!$B$2,0)</f>
        <v>0</v>
      </c>
      <c r="O20">
        <f>IF(AND(COUNTIF(Control!$D$20:$D$100,$B20)=0,COUNTIF(Control!$D$20:$D$100,O$2)=0),VISUM_Freeway_OD!O20*Control!$B$2,0)</f>
        <v>0</v>
      </c>
      <c r="P20">
        <f>IF(AND(COUNTIF(Control!$D$20:$D$100,$B20)=0,COUNTIF(Control!$D$20:$D$100,P$2)=0),VISUM_Freeway_OD!P20*Control!$B$2,0)</f>
        <v>0</v>
      </c>
      <c r="Q20">
        <f>IF(AND(COUNTIF(Control!$D$20:$D$100,$B20)=0,COUNTIF(Control!$D$20:$D$100,Q$2)=0),VISUM_Freeway_OD!Q20*Control!$B$2,0)</f>
        <v>0</v>
      </c>
      <c r="R20">
        <f>IF(AND(COUNTIF(Control!$D$20:$D$100,$B20)=0,COUNTIF(Control!$D$20:$D$100,R$2)=0),VISUM_Freeway_OD!R20*Control!$B$2,0)</f>
        <v>0</v>
      </c>
      <c r="S20">
        <f>IF(AND(COUNTIF(Control!$D$20:$D$100,$B20)=0,COUNTIF(Control!$D$20:$D$100,S$2)=0),VISUM_Freeway_OD!S20*Control!$B$2,0)</f>
        <v>0</v>
      </c>
      <c r="T20">
        <f>IF(AND(COUNTIF(Control!$D$20:$D$100,$B20)=0,COUNTIF(Control!$D$20:$D$100,T$2)=0),VISUM_Freeway_OD!T20*Control!$B$2,0)</f>
        <v>0</v>
      </c>
      <c r="U20">
        <f>IF(AND(COUNTIF(Control!$D$20:$D$100,$B20)=0,COUNTIF(Control!$D$20:$D$100,U$2)=0),VISUM_Freeway_OD!U20*Control!$B$2,0)</f>
        <v>0</v>
      </c>
      <c r="V20">
        <f>IF(AND(COUNTIF(Control!$D$20:$D$100,$B20)=0,COUNTIF(Control!$D$20:$D$100,V$2)=0),VISUM_Freeway_OD!V20*Control!$B$2,0)</f>
        <v>0</v>
      </c>
      <c r="W20">
        <f>IF(AND(COUNTIF(Control!$D$20:$D$100,$B20)=0,COUNTIF(Control!$D$20:$D$100,W$2)=0),VISUM_Freeway_OD!W20*Control!$B$2,0)</f>
        <v>0</v>
      </c>
      <c r="X20">
        <f>IF(AND(COUNTIF(Control!$D$20:$D$100,$B20)=0,COUNTIF(Control!$D$20:$D$100,X$2)=0),VISUM_Freeway_OD!X20*Control!$B$2,0)</f>
        <v>0</v>
      </c>
      <c r="Y20">
        <f>IF(AND(COUNTIF(Control!$D$20:$D$100,$B20)=0,COUNTIF(Control!$D$20:$D$100,Y$2)=0),VISUM_Freeway_OD!Y20*Control!$B$2,0)</f>
        <v>0</v>
      </c>
      <c r="Z20">
        <f>IF(AND(COUNTIF(Control!$D$20:$D$100,$B20)=0,COUNTIF(Control!$D$20:$D$100,Z$2)=0),VISUM_Freeway_OD!Z20*Control!$B$2,0)</f>
        <v>0</v>
      </c>
      <c r="AA20">
        <f>IF(AND(COUNTIF(Control!$D$20:$D$100,$B20)=0,COUNTIF(Control!$D$20:$D$100,AA$2)=0),VISUM_Freeway_OD!AA20*Control!$B$2,0)</f>
        <v>0</v>
      </c>
      <c r="AB20">
        <f>IF(AND(COUNTIF(Control!$D$20:$D$100,$B20)=0,COUNTIF(Control!$D$20:$D$100,AB$2)=0),VISUM_Freeway_OD!AB20*Control!$B$2,0)</f>
        <v>0</v>
      </c>
      <c r="AC20">
        <f>IF(AND(COUNTIF(Control!$D$20:$D$100,$B20)=0,COUNTIF(Control!$D$20:$D$100,AC$2)=0),VISUM_Freeway_OD!AC20*Control!$B$2,0)</f>
        <v>0</v>
      </c>
      <c r="AD20">
        <f>IF(AND(COUNTIF(Control!$D$20:$D$100,$B20)=0,COUNTIF(Control!$D$20:$D$100,AD$2)=0),VISUM_Freeway_OD!AD20*Control!$B$2,0)</f>
        <v>0</v>
      </c>
      <c r="AE20">
        <f>IF(AND(COUNTIF(Control!$D$20:$D$100,$B20)=0,COUNTIF(Control!$D$20:$D$100,AE$2)=0),VISUM_Freeway_OD!AE20*Control!$B$2,0)</f>
        <v>0</v>
      </c>
      <c r="AF20">
        <f>IF(AND(COUNTIF(Control!$D$20:$D$100,$B20)=0,COUNTIF(Control!$D$20:$D$100,AF$2)=0),VISUM_Freeway_OD!AF20*Control!$B$2,0)</f>
        <v>0</v>
      </c>
      <c r="AG20">
        <f>IF(AND(COUNTIF(Control!$D$20:$D$100,$B20)=0,COUNTIF(Control!$D$20:$D$100,AG$2)=0),VISUM_Freeway_OD!AG20*Control!$B$2,0)</f>
        <v>0</v>
      </c>
      <c r="AH20">
        <f>IF(AND(COUNTIF(Control!$D$20:$D$100,$B20)=0,COUNTIF(Control!$D$20:$D$100,AH$2)=0),VISUM_Freeway_OD!AH20*Control!$B$2,0)</f>
        <v>0</v>
      </c>
      <c r="AI20">
        <f>IF(AND(COUNTIF(Control!$D$20:$D$100,$B20)=0,COUNTIF(Control!$D$20:$D$100,AI$2)=0),VISUM_Freeway_OD!AI20*Control!$B$2,0)</f>
        <v>0</v>
      </c>
      <c r="AJ20">
        <f>IF(AND(COUNTIF(Control!$D$20:$D$100,$B20)=0,COUNTIF(Control!$D$20:$D$100,AJ$2)=0),VISUM_Freeway_OD!AJ20*Control!$B$2,0)</f>
        <v>0</v>
      </c>
      <c r="AK20">
        <f>IF(AND(COUNTIF(Control!$D$20:$D$100,$B20)=0,COUNTIF(Control!$D$20:$D$100,AK$2)=0),VISUM_Freeway_OD!AK20*Control!$B$2,0)</f>
        <v>0</v>
      </c>
      <c r="AL20">
        <f>IF(AND(COUNTIF(Control!$D$20:$D$100,$B20)=0,COUNTIF(Control!$D$20:$D$100,AL$2)=0),VISUM_Freeway_OD!AL20*Control!$B$2,0)</f>
        <v>0</v>
      </c>
      <c r="AM20">
        <f>IF(AND(COUNTIF(Control!$D$20:$D$100,$B20)=0,COUNTIF(Control!$D$20:$D$100,AM$2)=0),VISUM_Freeway_OD!AM20*Control!$B$2,0)</f>
        <v>0</v>
      </c>
      <c r="AN20">
        <f>IF(AND(COUNTIF(Control!$D$20:$D$100,$B20)=0,COUNTIF(Control!$D$20:$D$100,AN$2)=0),VISUM_Freeway_OD!AN20*Control!$B$2,0)</f>
        <v>0</v>
      </c>
      <c r="AO20">
        <f>IF(AND(COUNTIF(Control!$D$20:$D$100,$B20)=0,COUNTIF(Control!$D$20:$D$100,AO$2)=0),VISUM_Freeway_OD!AO20*Control!$B$2,0)</f>
        <v>0</v>
      </c>
      <c r="AP20">
        <f>IF(AND(COUNTIF(Control!$D$20:$D$100,$B20)=0,COUNTIF(Control!$D$20:$D$100,AP$2)=0),VISUM_Freeway_OD!AP20*Control!$B$2,0)</f>
        <v>0</v>
      </c>
      <c r="AQ20">
        <f>IF(AND(COUNTIF(Control!$D$20:$D$100,$B20)=0,COUNTIF(Control!$D$20:$D$100,AQ$2)=0),VISUM_Freeway_OD!AQ20*Control!$B$2,0)</f>
        <v>0</v>
      </c>
      <c r="AR20">
        <f>IF(AND(COUNTIF(Control!$D$20:$D$100,$B20)=0,COUNTIF(Control!$D$20:$D$100,AR$2)=0),VISUM_Freeway_OD!AR20*Control!$B$2,0)</f>
        <v>0</v>
      </c>
      <c r="AS20">
        <f>IF(AND(COUNTIF(Control!$D$20:$D$100,$B20)=0,COUNTIF(Control!$D$20:$D$100,AS$2)=0),VISUM_Freeway_OD!AS20*Control!$B$2,0)</f>
        <v>0</v>
      </c>
      <c r="AT20">
        <f>IF(AND(COUNTIF(Control!$D$20:$D$100,$B20)=0,COUNTIF(Control!$D$20:$D$100,AT$2)=0),VISUM_Freeway_OD!AT20*Control!$B$2,0)</f>
        <v>0</v>
      </c>
      <c r="AU20">
        <f>IF(AND(COUNTIF(Control!$D$20:$D$100,$B20)=0,COUNTIF(Control!$D$20:$D$100,AU$2)=0),VISUM_Freeway_OD!AU20*Control!$B$2,0)</f>
        <v>0</v>
      </c>
      <c r="AV20">
        <f>IF(AND(COUNTIF(Control!$D$20:$D$100,$B20)=0,COUNTIF(Control!$D$20:$D$100,AV$2)=0),VISUM_Freeway_OD!AV20*Control!$B$2,0)</f>
        <v>0</v>
      </c>
      <c r="AW20">
        <f>IF(AND(COUNTIF(Control!$D$20:$D$100,$B20)=0,COUNTIF(Control!$D$20:$D$100,AW$2)=0),VISUM_Freeway_OD!AW20*Control!$B$2,0)</f>
        <v>0</v>
      </c>
      <c r="AX20">
        <f>IF(AND(COUNTIF(Control!$D$20:$D$100,$B20)=0,COUNTIF(Control!$D$20:$D$100,AX$2)=0),VISUM_Freeway_OD!AX20*Control!$B$2,0)</f>
        <v>0</v>
      </c>
      <c r="AY20">
        <f>IF(AND(COUNTIF(Control!$D$20:$D$100,$B20)=0,COUNTIF(Control!$D$20:$D$100,AY$2)=0),VISUM_Freeway_OD!AY20*Control!$B$2,0)</f>
        <v>0</v>
      </c>
    </row>
    <row r="21" spans="1:51" x14ac:dyDescent="0.25">
      <c r="A21" s="4">
        <f>IF(VLOOKUP(B21,Freeway_Zone_Link_Mapping!$A:$C,2,FALSE)&lt;&gt;"",VLOOKUP(B21,Freeway_Zone_Link_Mapping!$A:$C,2,FALSE),"")</f>
        <v>179</v>
      </c>
      <c r="B21" s="4">
        <v>41</v>
      </c>
      <c r="C21">
        <f>IF(AND(COUNTIF(Control!$D$20:$D$100,$B21)=0,COUNTIF(Control!$D$20:$D$100,C$2)=0),VISUM_Freeway_OD!C21*Control!$B$2,0)</f>
        <v>0</v>
      </c>
      <c r="D21">
        <f>IF(AND(COUNTIF(Control!$D$20:$D$100,$B21)=0,COUNTIF(Control!$D$20:$D$100,D$2)=0),VISUM_Freeway_OD!D21*Control!$B$2,0)</f>
        <v>0</v>
      </c>
      <c r="E21">
        <f>IF(AND(COUNTIF(Control!$D$20:$D$100,$B21)=0,COUNTIF(Control!$D$20:$D$100,E$2)=0),VISUM_Freeway_OD!E21*Control!$B$2,0)</f>
        <v>0</v>
      </c>
      <c r="F21">
        <f>IF(AND(COUNTIF(Control!$D$20:$D$100,$B21)=0,COUNTIF(Control!$D$20:$D$100,F$2)=0),VISUM_Freeway_OD!F21*Control!$B$2,0)</f>
        <v>0</v>
      </c>
      <c r="G21">
        <f>IF(AND(COUNTIF(Control!$D$20:$D$100,$B21)=0,COUNTIF(Control!$D$20:$D$100,G$2)=0),VISUM_Freeway_OD!G21*Control!$B$2,0)</f>
        <v>0</v>
      </c>
      <c r="H21">
        <f>IF(AND(COUNTIF(Control!$D$20:$D$100,$B21)=0,COUNTIF(Control!$D$20:$D$100,H$2)=0),VISUM_Freeway_OD!H21*Control!$B$2,0)</f>
        <v>18.58535247</v>
      </c>
      <c r="I21">
        <f>IF(AND(COUNTIF(Control!$D$20:$D$100,$B21)=0,COUNTIF(Control!$D$20:$D$100,I$2)=0),VISUM_Freeway_OD!I21*Control!$B$2,0)</f>
        <v>0</v>
      </c>
      <c r="J21">
        <f>IF(AND(COUNTIF(Control!$D$20:$D$100,$B21)=0,COUNTIF(Control!$D$20:$D$100,J$2)=0),VISUM_Freeway_OD!J21*Control!$B$2,0)</f>
        <v>0</v>
      </c>
      <c r="K21">
        <f>IF(AND(COUNTIF(Control!$D$20:$D$100,$B21)=0,COUNTIF(Control!$D$20:$D$100,K$2)=0),VISUM_Freeway_OD!K21*Control!$B$2,0)</f>
        <v>0</v>
      </c>
      <c r="L21">
        <f>IF(AND(COUNTIF(Control!$D$20:$D$100,$B21)=0,COUNTIF(Control!$D$20:$D$100,L$2)=0),VISUM_Freeway_OD!L21*Control!$B$2,0)</f>
        <v>0</v>
      </c>
      <c r="M21">
        <f>IF(AND(COUNTIF(Control!$D$20:$D$100,$B21)=0,COUNTIF(Control!$D$20:$D$100,M$2)=0),VISUM_Freeway_OD!M21*Control!$B$2,0)</f>
        <v>0</v>
      </c>
      <c r="N21">
        <f>IF(AND(COUNTIF(Control!$D$20:$D$100,$B21)=0,COUNTIF(Control!$D$20:$D$100,N$2)=0),VISUM_Freeway_OD!N21*Control!$B$2,0)</f>
        <v>0</v>
      </c>
      <c r="O21">
        <f>IF(AND(COUNTIF(Control!$D$20:$D$100,$B21)=0,COUNTIF(Control!$D$20:$D$100,O$2)=0),VISUM_Freeway_OD!O21*Control!$B$2,0)</f>
        <v>0</v>
      </c>
      <c r="P21">
        <f>IF(AND(COUNTIF(Control!$D$20:$D$100,$B21)=0,COUNTIF(Control!$D$20:$D$100,P$2)=0),VISUM_Freeway_OD!P21*Control!$B$2,0)</f>
        <v>0</v>
      </c>
      <c r="Q21">
        <f>IF(AND(COUNTIF(Control!$D$20:$D$100,$B21)=0,COUNTIF(Control!$D$20:$D$100,Q$2)=0),VISUM_Freeway_OD!Q21*Control!$B$2,0)</f>
        <v>0</v>
      </c>
      <c r="R21">
        <f>IF(AND(COUNTIF(Control!$D$20:$D$100,$B21)=0,COUNTIF(Control!$D$20:$D$100,R$2)=0),VISUM_Freeway_OD!R21*Control!$B$2,0)</f>
        <v>0</v>
      </c>
      <c r="S21">
        <f>IF(AND(COUNTIF(Control!$D$20:$D$100,$B21)=0,COUNTIF(Control!$D$20:$D$100,S$2)=0),VISUM_Freeway_OD!S21*Control!$B$2,0)</f>
        <v>0</v>
      </c>
      <c r="T21">
        <f>IF(AND(COUNTIF(Control!$D$20:$D$100,$B21)=0,COUNTIF(Control!$D$20:$D$100,T$2)=0),VISUM_Freeway_OD!T21*Control!$B$2,0)</f>
        <v>0</v>
      </c>
      <c r="U21">
        <f>IF(AND(COUNTIF(Control!$D$20:$D$100,$B21)=0,COUNTIF(Control!$D$20:$D$100,U$2)=0),VISUM_Freeway_OD!U21*Control!$B$2,0)</f>
        <v>0</v>
      </c>
      <c r="V21">
        <f>IF(AND(COUNTIF(Control!$D$20:$D$100,$B21)=0,COUNTIF(Control!$D$20:$D$100,V$2)=0),VISUM_Freeway_OD!V21*Control!$B$2,0)</f>
        <v>0</v>
      </c>
      <c r="W21">
        <f>IF(AND(COUNTIF(Control!$D$20:$D$100,$B21)=0,COUNTIF(Control!$D$20:$D$100,W$2)=0),VISUM_Freeway_OD!W21*Control!$B$2,0)</f>
        <v>0</v>
      </c>
      <c r="X21">
        <f>IF(AND(COUNTIF(Control!$D$20:$D$100,$B21)=0,COUNTIF(Control!$D$20:$D$100,X$2)=0),VISUM_Freeway_OD!X21*Control!$B$2,0)</f>
        <v>0</v>
      </c>
      <c r="Y21">
        <f>IF(AND(COUNTIF(Control!$D$20:$D$100,$B21)=0,COUNTIF(Control!$D$20:$D$100,Y$2)=0),VISUM_Freeway_OD!Y21*Control!$B$2,0)</f>
        <v>0</v>
      </c>
      <c r="Z21">
        <f>IF(AND(COUNTIF(Control!$D$20:$D$100,$B21)=0,COUNTIF(Control!$D$20:$D$100,Z$2)=0),VISUM_Freeway_OD!Z21*Control!$B$2,0)</f>
        <v>0</v>
      </c>
      <c r="AA21">
        <f>IF(AND(COUNTIF(Control!$D$20:$D$100,$B21)=0,COUNTIF(Control!$D$20:$D$100,AA$2)=0),VISUM_Freeway_OD!AA21*Control!$B$2,0)</f>
        <v>0</v>
      </c>
      <c r="AB21">
        <f>IF(AND(COUNTIF(Control!$D$20:$D$100,$B21)=0,COUNTIF(Control!$D$20:$D$100,AB$2)=0),VISUM_Freeway_OD!AB21*Control!$B$2,0)</f>
        <v>0</v>
      </c>
      <c r="AC21">
        <f>IF(AND(COUNTIF(Control!$D$20:$D$100,$B21)=0,COUNTIF(Control!$D$20:$D$100,AC$2)=0),VISUM_Freeway_OD!AC21*Control!$B$2,0)</f>
        <v>0</v>
      </c>
      <c r="AD21">
        <f>IF(AND(COUNTIF(Control!$D$20:$D$100,$B21)=0,COUNTIF(Control!$D$20:$D$100,AD$2)=0),VISUM_Freeway_OD!AD21*Control!$B$2,0)</f>
        <v>0</v>
      </c>
      <c r="AE21">
        <f>IF(AND(COUNTIF(Control!$D$20:$D$100,$B21)=0,COUNTIF(Control!$D$20:$D$100,AE$2)=0),VISUM_Freeway_OD!AE21*Control!$B$2,0)</f>
        <v>0</v>
      </c>
      <c r="AF21">
        <f>IF(AND(COUNTIF(Control!$D$20:$D$100,$B21)=0,COUNTIF(Control!$D$20:$D$100,AF$2)=0),VISUM_Freeway_OD!AF21*Control!$B$2,0)</f>
        <v>0</v>
      </c>
      <c r="AG21">
        <f>IF(AND(COUNTIF(Control!$D$20:$D$100,$B21)=0,COUNTIF(Control!$D$20:$D$100,AG$2)=0),VISUM_Freeway_OD!AG21*Control!$B$2,0)</f>
        <v>0</v>
      </c>
      <c r="AH21">
        <f>IF(AND(COUNTIF(Control!$D$20:$D$100,$B21)=0,COUNTIF(Control!$D$20:$D$100,AH$2)=0),VISUM_Freeway_OD!AH21*Control!$B$2,0)</f>
        <v>0</v>
      </c>
      <c r="AI21">
        <f>IF(AND(COUNTIF(Control!$D$20:$D$100,$B21)=0,COUNTIF(Control!$D$20:$D$100,AI$2)=0),VISUM_Freeway_OD!AI21*Control!$B$2,0)</f>
        <v>0</v>
      </c>
      <c r="AJ21">
        <f>IF(AND(COUNTIF(Control!$D$20:$D$100,$B21)=0,COUNTIF(Control!$D$20:$D$100,AJ$2)=0),VISUM_Freeway_OD!AJ21*Control!$B$2,0)</f>
        <v>0</v>
      </c>
      <c r="AK21">
        <f>IF(AND(COUNTIF(Control!$D$20:$D$100,$B21)=0,COUNTIF(Control!$D$20:$D$100,AK$2)=0),VISUM_Freeway_OD!AK21*Control!$B$2,0)</f>
        <v>0</v>
      </c>
      <c r="AL21">
        <f>IF(AND(COUNTIF(Control!$D$20:$D$100,$B21)=0,COUNTIF(Control!$D$20:$D$100,AL$2)=0),VISUM_Freeway_OD!AL21*Control!$B$2,0)</f>
        <v>0</v>
      </c>
      <c r="AM21">
        <f>IF(AND(COUNTIF(Control!$D$20:$D$100,$B21)=0,COUNTIF(Control!$D$20:$D$100,AM$2)=0),VISUM_Freeway_OD!AM21*Control!$B$2,0)</f>
        <v>0</v>
      </c>
      <c r="AN21">
        <f>IF(AND(COUNTIF(Control!$D$20:$D$100,$B21)=0,COUNTIF(Control!$D$20:$D$100,AN$2)=0),VISUM_Freeway_OD!AN21*Control!$B$2,0)</f>
        <v>0</v>
      </c>
      <c r="AO21">
        <f>IF(AND(COUNTIF(Control!$D$20:$D$100,$B21)=0,COUNTIF(Control!$D$20:$D$100,AO$2)=0),VISUM_Freeway_OD!AO21*Control!$B$2,0)</f>
        <v>0</v>
      </c>
      <c r="AP21">
        <f>IF(AND(COUNTIF(Control!$D$20:$D$100,$B21)=0,COUNTIF(Control!$D$20:$D$100,AP$2)=0),VISUM_Freeway_OD!AP21*Control!$B$2,0)</f>
        <v>0</v>
      </c>
      <c r="AQ21">
        <f>IF(AND(COUNTIF(Control!$D$20:$D$100,$B21)=0,COUNTIF(Control!$D$20:$D$100,AQ$2)=0),VISUM_Freeway_OD!AQ21*Control!$B$2,0)</f>
        <v>0</v>
      </c>
      <c r="AR21">
        <f>IF(AND(COUNTIF(Control!$D$20:$D$100,$B21)=0,COUNTIF(Control!$D$20:$D$100,AR$2)=0),VISUM_Freeway_OD!AR21*Control!$B$2,0)</f>
        <v>0</v>
      </c>
      <c r="AS21">
        <f>IF(AND(COUNTIF(Control!$D$20:$D$100,$B21)=0,COUNTIF(Control!$D$20:$D$100,AS$2)=0),VISUM_Freeway_OD!AS21*Control!$B$2,0)</f>
        <v>0</v>
      </c>
      <c r="AT21">
        <f>IF(AND(COUNTIF(Control!$D$20:$D$100,$B21)=0,COUNTIF(Control!$D$20:$D$100,AT$2)=0),VISUM_Freeway_OD!AT21*Control!$B$2,0)</f>
        <v>0</v>
      </c>
      <c r="AU21">
        <f>IF(AND(COUNTIF(Control!$D$20:$D$100,$B21)=0,COUNTIF(Control!$D$20:$D$100,AU$2)=0),VISUM_Freeway_OD!AU21*Control!$B$2,0)</f>
        <v>0</v>
      </c>
      <c r="AV21">
        <f>IF(AND(COUNTIF(Control!$D$20:$D$100,$B21)=0,COUNTIF(Control!$D$20:$D$100,AV$2)=0),VISUM_Freeway_OD!AV21*Control!$B$2,0)</f>
        <v>0</v>
      </c>
      <c r="AW21">
        <f>IF(AND(COUNTIF(Control!$D$20:$D$100,$B21)=0,COUNTIF(Control!$D$20:$D$100,AW$2)=0),VISUM_Freeway_OD!AW21*Control!$B$2,0)</f>
        <v>0</v>
      </c>
      <c r="AX21">
        <f>IF(AND(COUNTIF(Control!$D$20:$D$100,$B21)=0,COUNTIF(Control!$D$20:$D$100,AX$2)=0),VISUM_Freeway_OD!AX21*Control!$B$2,0)</f>
        <v>0</v>
      </c>
      <c r="AY21">
        <f>IF(AND(COUNTIF(Control!$D$20:$D$100,$B21)=0,COUNTIF(Control!$D$20:$D$100,AY$2)=0),VISUM_Freeway_OD!AY21*Control!$B$2,0)</f>
        <v>0</v>
      </c>
    </row>
    <row r="22" spans="1:51" x14ac:dyDescent="0.25">
      <c r="A22" s="4" t="str">
        <f>IF(VLOOKUP(B22,Freeway_Zone_Link_Mapping!$A:$C,2,FALSE)&lt;&gt;"",VLOOKUP(B22,Freeway_Zone_Link_Mapping!$A:$C,2,FALSE),"")</f>
        <v/>
      </c>
      <c r="B22" s="4">
        <v>42</v>
      </c>
      <c r="C22">
        <f>IF(AND(COUNTIF(Control!$D$20:$D$100,$B22)=0,COUNTIF(Control!$D$20:$D$100,C$2)=0),VISUM_Freeway_OD!C22*Control!$B$2,0)</f>
        <v>0</v>
      </c>
      <c r="D22">
        <f>IF(AND(COUNTIF(Control!$D$20:$D$100,$B22)=0,COUNTIF(Control!$D$20:$D$100,D$2)=0),VISUM_Freeway_OD!D22*Control!$B$2,0)</f>
        <v>0</v>
      </c>
      <c r="E22">
        <f>IF(AND(COUNTIF(Control!$D$20:$D$100,$B22)=0,COUNTIF(Control!$D$20:$D$100,E$2)=0),VISUM_Freeway_OD!E22*Control!$B$2,0)</f>
        <v>0</v>
      </c>
      <c r="F22">
        <f>IF(AND(COUNTIF(Control!$D$20:$D$100,$B22)=0,COUNTIF(Control!$D$20:$D$100,F$2)=0),VISUM_Freeway_OD!F22*Control!$B$2,0)</f>
        <v>0</v>
      </c>
      <c r="G22">
        <f>IF(AND(COUNTIF(Control!$D$20:$D$100,$B22)=0,COUNTIF(Control!$D$20:$D$100,G$2)=0),VISUM_Freeway_OD!G22*Control!$B$2,0)</f>
        <v>0</v>
      </c>
      <c r="H22">
        <f>IF(AND(COUNTIF(Control!$D$20:$D$100,$B22)=0,COUNTIF(Control!$D$20:$D$100,H$2)=0),VISUM_Freeway_OD!H22*Control!$B$2,0)</f>
        <v>0</v>
      </c>
      <c r="I22">
        <f>IF(AND(COUNTIF(Control!$D$20:$D$100,$B22)=0,COUNTIF(Control!$D$20:$D$100,I$2)=0),VISUM_Freeway_OD!I22*Control!$B$2,0)</f>
        <v>0</v>
      </c>
      <c r="J22">
        <f>IF(AND(COUNTIF(Control!$D$20:$D$100,$B22)=0,COUNTIF(Control!$D$20:$D$100,J$2)=0),VISUM_Freeway_OD!J22*Control!$B$2,0)</f>
        <v>0</v>
      </c>
      <c r="K22">
        <f>IF(AND(COUNTIF(Control!$D$20:$D$100,$B22)=0,COUNTIF(Control!$D$20:$D$100,K$2)=0),VISUM_Freeway_OD!K22*Control!$B$2,0)</f>
        <v>0</v>
      </c>
      <c r="L22">
        <f>IF(AND(COUNTIF(Control!$D$20:$D$100,$B22)=0,COUNTIF(Control!$D$20:$D$100,L$2)=0),VISUM_Freeway_OD!L22*Control!$B$2,0)</f>
        <v>0</v>
      </c>
      <c r="M22">
        <f>IF(AND(COUNTIF(Control!$D$20:$D$100,$B22)=0,COUNTIF(Control!$D$20:$D$100,M$2)=0),VISUM_Freeway_OD!M22*Control!$B$2,0)</f>
        <v>0</v>
      </c>
      <c r="N22">
        <f>IF(AND(COUNTIF(Control!$D$20:$D$100,$B22)=0,COUNTIF(Control!$D$20:$D$100,N$2)=0),VISUM_Freeway_OD!N22*Control!$B$2,0)</f>
        <v>0</v>
      </c>
      <c r="O22">
        <f>IF(AND(COUNTIF(Control!$D$20:$D$100,$B22)=0,COUNTIF(Control!$D$20:$D$100,O$2)=0),VISUM_Freeway_OD!O22*Control!$B$2,0)</f>
        <v>0</v>
      </c>
      <c r="P22">
        <f>IF(AND(COUNTIF(Control!$D$20:$D$100,$B22)=0,COUNTIF(Control!$D$20:$D$100,P$2)=0),VISUM_Freeway_OD!P22*Control!$B$2,0)</f>
        <v>0</v>
      </c>
      <c r="Q22">
        <f>IF(AND(COUNTIF(Control!$D$20:$D$100,$B22)=0,COUNTIF(Control!$D$20:$D$100,Q$2)=0),VISUM_Freeway_OD!Q22*Control!$B$2,0)</f>
        <v>0</v>
      </c>
      <c r="R22">
        <f>IF(AND(COUNTIF(Control!$D$20:$D$100,$B22)=0,COUNTIF(Control!$D$20:$D$100,R$2)=0),VISUM_Freeway_OD!R22*Control!$B$2,0)</f>
        <v>0</v>
      </c>
      <c r="S22">
        <f>IF(AND(COUNTIF(Control!$D$20:$D$100,$B22)=0,COUNTIF(Control!$D$20:$D$100,S$2)=0),VISUM_Freeway_OD!S22*Control!$B$2,0)</f>
        <v>0</v>
      </c>
      <c r="T22">
        <f>IF(AND(COUNTIF(Control!$D$20:$D$100,$B22)=0,COUNTIF(Control!$D$20:$D$100,T$2)=0),VISUM_Freeway_OD!T22*Control!$B$2,0)</f>
        <v>0</v>
      </c>
      <c r="U22">
        <f>IF(AND(COUNTIF(Control!$D$20:$D$100,$B22)=0,COUNTIF(Control!$D$20:$D$100,U$2)=0),VISUM_Freeway_OD!U22*Control!$B$2,0)</f>
        <v>0</v>
      </c>
      <c r="V22">
        <f>IF(AND(COUNTIF(Control!$D$20:$D$100,$B22)=0,COUNTIF(Control!$D$20:$D$100,V$2)=0),VISUM_Freeway_OD!V22*Control!$B$2,0)</f>
        <v>0</v>
      </c>
      <c r="W22">
        <f>IF(AND(COUNTIF(Control!$D$20:$D$100,$B22)=0,COUNTIF(Control!$D$20:$D$100,W$2)=0),VISUM_Freeway_OD!W22*Control!$B$2,0)</f>
        <v>0</v>
      </c>
      <c r="X22">
        <f>IF(AND(COUNTIF(Control!$D$20:$D$100,$B22)=0,COUNTIF(Control!$D$20:$D$100,X$2)=0),VISUM_Freeway_OD!X22*Control!$B$2,0)</f>
        <v>0</v>
      </c>
      <c r="Y22">
        <f>IF(AND(COUNTIF(Control!$D$20:$D$100,$B22)=0,COUNTIF(Control!$D$20:$D$100,Y$2)=0),VISUM_Freeway_OD!Y22*Control!$B$2,0)</f>
        <v>0</v>
      </c>
      <c r="Z22">
        <f>IF(AND(COUNTIF(Control!$D$20:$D$100,$B22)=0,COUNTIF(Control!$D$20:$D$100,Z$2)=0),VISUM_Freeway_OD!Z22*Control!$B$2,0)</f>
        <v>0</v>
      </c>
      <c r="AA22">
        <f>IF(AND(COUNTIF(Control!$D$20:$D$100,$B22)=0,COUNTIF(Control!$D$20:$D$100,AA$2)=0),VISUM_Freeway_OD!AA22*Control!$B$2,0)</f>
        <v>0</v>
      </c>
      <c r="AB22">
        <f>IF(AND(COUNTIF(Control!$D$20:$D$100,$B22)=0,COUNTIF(Control!$D$20:$D$100,AB$2)=0),VISUM_Freeway_OD!AB22*Control!$B$2,0)</f>
        <v>0</v>
      </c>
      <c r="AC22">
        <f>IF(AND(COUNTIF(Control!$D$20:$D$100,$B22)=0,COUNTIF(Control!$D$20:$D$100,AC$2)=0),VISUM_Freeway_OD!AC22*Control!$B$2,0)</f>
        <v>0</v>
      </c>
      <c r="AD22">
        <f>IF(AND(COUNTIF(Control!$D$20:$D$100,$B22)=0,COUNTIF(Control!$D$20:$D$100,AD$2)=0),VISUM_Freeway_OD!AD22*Control!$B$2,0)</f>
        <v>0</v>
      </c>
      <c r="AE22">
        <f>IF(AND(COUNTIF(Control!$D$20:$D$100,$B22)=0,COUNTIF(Control!$D$20:$D$100,AE$2)=0),VISUM_Freeway_OD!AE22*Control!$B$2,0)</f>
        <v>0</v>
      </c>
      <c r="AF22">
        <f>IF(AND(COUNTIF(Control!$D$20:$D$100,$B22)=0,COUNTIF(Control!$D$20:$D$100,AF$2)=0),VISUM_Freeway_OD!AF22*Control!$B$2,0)</f>
        <v>0</v>
      </c>
      <c r="AG22">
        <f>IF(AND(COUNTIF(Control!$D$20:$D$100,$B22)=0,COUNTIF(Control!$D$20:$D$100,AG$2)=0),VISUM_Freeway_OD!AG22*Control!$B$2,0)</f>
        <v>0</v>
      </c>
      <c r="AH22">
        <f>IF(AND(COUNTIF(Control!$D$20:$D$100,$B22)=0,COUNTIF(Control!$D$20:$D$100,AH$2)=0),VISUM_Freeway_OD!AH22*Control!$B$2,0)</f>
        <v>0</v>
      </c>
      <c r="AI22">
        <f>IF(AND(COUNTIF(Control!$D$20:$D$100,$B22)=0,COUNTIF(Control!$D$20:$D$100,AI$2)=0),VISUM_Freeway_OD!AI22*Control!$B$2,0)</f>
        <v>0</v>
      </c>
      <c r="AJ22">
        <f>IF(AND(COUNTIF(Control!$D$20:$D$100,$B22)=0,COUNTIF(Control!$D$20:$D$100,AJ$2)=0),VISUM_Freeway_OD!AJ22*Control!$B$2,0)</f>
        <v>0</v>
      </c>
      <c r="AK22">
        <f>IF(AND(COUNTIF(Control!$D$20:$D$100,$B22)=0,COUNTIF(Control!$D$20:$D$100,AK$2)=0),VISUM_Freeway_OD!AK22*Control!$B$2,0)</f>
        <v>0</v>
      </c>
      <c r="AL22">
        <f>IF(AND(COUNTIF(Control!$D$20:$D$100,$B22)=0,COUNTIF(Control!$D$20:$D$100,AL$2)=0),VISUM_Freeway_OD!AL22*Control!$B$2,0)</f>
        <v>0</v>
      </c>
      <c r="AM22">
        <f>IF(AND(COUNTIF(Control!$D$20:$D$100,$B22)=0,COUNTIF(Control!$D$20:$D$100,AM$2)=0),VISUM_Freeway_OD!AM22*Control!$B$2,0)</f>
        <v>0</v>
      </c>
      <c r="AN22">
        <f>IF(AND(COUNTIF(Control!$D$20:$D$100,$B22)=0,COUNTIF(Control!$D$20:$D$100,AN$2)=0),VISUM_Freeway_OD!AN22*Control!$B$2,0)</f>
        <v>0</v>
      </c>
      <c r="AO22">
        <f>IF(AND(COUNTIF(Control!$D$20:$D$100,$B22)=0,COUNTIF(Control!$D$20:$D$100,AO$2)=0),VISUM_Freeway_OD!AO22*Control!$B$2,0)</f>
        <v>0</v>
      </c>
      <c r="AP22">
        <f>IF(AND(COUNTIF(Control!$D$20:$D$100,$B22)=0,COUNTIF(Control!$D$20:$D$100,AP$2)=0),VISUM_Freeway_OD!AP22*Control!$B$2,0)</f>
        <v>0</v>
      </c>
      <c r="AQ22">
        <f>IF(AND(COUNTIF(Control!$D$20:$D$100,$B22)=0,COUNTIF(Control!$D$20:$D$100,AQ$2)=0),VISUM_Freeway_OD!AQ22*Control!$B$2,0)</f>
        <v>0</v>
      </c>
      <c r="AR22">
        <f>IF(AND(COUNTIF(Control!$D$20:$D$100,$B22)=0,COUNTIF(Control!$D$20:$D$100,AR$2)=0),VISUM_Freeway_OD!AR22*Control!$B$2,0)</f>
        <v>0</v>
      </c>
      <c r="AS22">
        <f>IF(AND(COUNTIF(Control!$D$20:$D$100,$B22)=0,COUNTIF(Control!$D$20:$D$100,AS$2)=0),VISUM_Freeway_OD!AS22*Control!$B$2,0)</f>
        <v>0</v>
      </c>
      <c r="AT22">
        <f>IF(AND(COUNTIF(Control!$D$20:$D$100,$B22)=0,COUNTIF(Control!$D$20:$D$100,AT$2)=0),VISUM_Freeway_OD!AT22*Control!$B$2,0)</f>
        <v>0</v>
      </c>
      <c r="AU22">
        <f>IF(AND(COUNTIF(Control!$D$20:$D$100,$B22)=0,COUNTIF(Control!$D$20:$D$100,AU$2)=0),VISUM_Freeway_OD!AU22*Control!$B$2,0)</f>
        <v>0</v>
      </c>
      <c r="AV22">
        <f>IF(AND(COUNTIF(Control!$D$20:$D$100,$B22)=0,COUNTIF(Control!$D$20:$D$100,AV$2)=0),VISUM_Freeway_OD!AV22*Control!$B$2,0)</f>
        <v>0</v>
      </c>
      <c r="AW22">
        <f>IF(AND(COUNTIF(Control!$D$20:$D$100,$B22)=0,COUNTIF(Control!$D$20:$D$100,AW$2)=0),VISUM_Freeway_OD!AW22*Control!$B$2,0)</f>
        <v>0</v>
      </c>
      <c r="AX22">
        <f>IF(AND(COUNTIF(Control!$D$20:$D$100,$B22)=0,COUNTIF(Control!$D$20:$D$100,AX$2)=0),VISUM_Freeway_OD!AX22*Control!$B$2,0)</f>
        <v>0</v>
      </c>
      <c r="AY22">
        <f>IF(AND(COUNTIF(Control!$D$20:$D$100,$B22)=0,COUNTIF(Control!$D$20:$D$100,AY$2)=0),VISUM_Freeway_OD!AY22*Control!$B$2,0)</f>
        <v>0</v>
      </c>
    </row>
    <row r="23" spans="1:51" x14ac:dyDescent="0.25">
      <c r="A23" s="4">
        <f>IF(VLOOKUP(B23,Freeway_Zone_Link_Mapping!$A:$C,2,FALSE)&lt;&gt;"",VLOOKUP(B23,Freeway_Zone_Link_Mapping!$A:$C,2,FALSE),"")</f>
        <v>105920110</v>
      </c>
      <c r="B23" s="4">
        <v>43</v>
      </c>
      <c r="C23">
        <f>IF(AND(COUNTIF(Control!$D$20:$D$100,$B23)=0,COUNTIF(Control!$D$20:$D$100,C$2)=0),VISUM_Freeway_OD!C23*Control!$B$2,0)</f>
        <v>0</v>
      </c>
      <c r="D23">
        <f>IF(AND(COUNTIF(Control!$D$20:$D$100,$B23)=0,COUNTIF(Control!$D$20:$D$100,D$2)=0),VISUM_Freeway_OD!D23*Control!$B$2,0)</f>
        <v>0</v>
      </c>
      <c r="E23">
        <f>IF(AND(COUNTIF(Control!$D$20:$D$100,$B23)=0,COUNTIF(Control!$D$20:$D$100,E$2)=0),VISUM_Freeway_OD!E23*Control!$B$2,0)</f>
        <v>0</v>
      </c>
      <c r="F23">
        <f>IF(AND(COUNTIF(Control!$D$20:$D$100,$B23)=0,COUNTIF(Control!$D$20:$D$100,F$2)=0),VISUM_Freeway_OD!F23*Control!$B$2,0)</f>
        <v>0</v>
      </c>
      <c r="G23">
        <f>IF(AND(COUNTIF(Control!$D$20:$D$100,$B23)=0,COUNTIF(Control!$D$20:$D$100,G$2)=0),VISUM_Freeway_OD!G23*Control!$B$2,0)</f>
        <v>0</v>
      </c>
      <c r="H23">
        <f>IF(AND(COUNTIF(Control!$D$20:$D$100,$B23)=0,COUNTIF(Control!$D$20:$D$100,H$2)=0),VISUM_Freeway_OD!H23*Control!$B$2,0)</f>
        <v>0</v>
      </c>
      <c r="I23">
        <f>IF(AND(COUNTIF(Control!$D$20:$D$100,$B23)=0,COUNTIF(Control!$D$20:$D$100,I$2)=0),VISUM_Freeway_OD!I23*Control!$B$2,0)</f>
        <v>0</v>
      </c>
      <c r="J23">
        <f>IF(AND(COUNTIF(Control!$D$20:$D$100,$B23)=0,COUNTIF(Control!$D$20:$D$100,J$2)=0),VISUM_Freeway_OD!J23*Control!$B$2,0)</f>
        <v>0</v>
      </c>
      <c r="K23">
        <f>IF(AND(COUNTIF(Control!$D$20:$D$100,$B23)=0,COUNTIF(Control!$D$20:$D$100,K$2)=0),VISUM_Freeway_OD!K23*Control!$B$2,0)</f>
        <v>0</v>
      </c>
      <c r="L23">
        <f>IF(AND(COUNTIF(Control!$D$20:$D$100,$B23)=0,COUNTIF(Control!$D$20:$D$100,L$2)=0),VISUM_Freeway_OD!L23*Control!$B$2,0)</f>
        <v>0</v>
      </c>
      <c r="M23">
        <f>IF(AND(COUNTIF(Control!$D$20:$D$100,$B23)=0,COUNTIF(Control!$D$20:$D$100,M$2)=0),VISUM_Freeway_OD!M23*Control!$B$2,0)</f>
        <v>2.3353986599999996</v>
      </c>
      <c r="N23">
        <f>IF(AND(COUNTIF(Control!$D$20:$D$100,$B23)=0,COUNTIF(Control!$D$20:$D$100,N$2)=0),VISUM_Freeway_OD!N23*Control!$B$2,0)</f>
        <v>8.9190770399999995</v>
      </c>
      <c r="O23">
        <f>IF(AND(COUNTIF(Control!$D$20:$D$100,$B23)=0,COUNTIF(Control!$D$20:$D$100,O$2)=0),VISUM_Freeway_OD!O23*Control!$B$2,0)</f>
        <v>0</v>
      </c>
      <c r="P23">
        <f>IF(AND(COUNTIF(Control!$D$20:$D$100,$B23)=0,COUNTIF(Control!$D$20:$D$100,P$2)=0),VISUM_Freeway_OD!P23*Control!$B$2,0)</f>
        <v>0</v>
      </c>
      <c r="Q23">
        <f>IF(AND(COUNTIF(Control!$D$20:$D$100,$B23)=0,COUNTIF(Control!$D$20:$D$100,Q$2)=0),VISUM_Freeway_OD!Q23*Control!$B$2,0)</f>
        <v>0</v>
      </c>
      <c r="R23">
        <f>IF(AND(COUNTIF(Control!$D$20:$D$100,$B23)=0,COUNTIF(Control!$D$20:$D$100,R$2)=0),VISUM_Freeway_OD!R23*Control!$B$2,0)</f>
        <v>0</v>
      </c>
      <c r="S23">
        <f>IF(AND(COUNTIF(Control!$D$20:$D$100,$B23)=0,COUNTIF(Control!$D$20:$D$100,S$2)=0),VISUM_Freeway_OD!S23*Control!$B$2,0)</f>
        <v>0</v>
      </c>
      <c r="T23">
        <f>IF(AND(COUNTIF(Control!$D$20:$D$100,$B23)=0,COUNTIF(Control!$D$20:$D$100,T$2)=0),VISUM_Freeway_OD!T23*Control!$B$2,0)</f>
        <v>0</v>
      </c>
      <c r="U23">
        <f>IF(AND(COUNTIF(Control!$D$20:$D$100,$B23)=0,COUNTIF(Control!$D$20:$D$100,U$2)=0),VISUM_Freeway_OD!U23*Control!$B$2,0)</f>
        <v>0</v>
      </c>
      <c r="V23">
        <f>IF(AND(COUNTIF(Control!$D$20:$D$100,$B23)=0,COUNTIF(Control!$D$20:$D$100,V$2)=0),VISUM_Freeway_OD!V23*Control!$B$2,0)</f>
        <v>0</v>
      </c>
      <c r="W23">
        <f>IF(AND(COUNTIF(Control!$D$20:$D$100,$B23)=0,COUNTIF(Control!$D$20:$D$100,W$2)=0),VISUM_Freeway_OD!W23*Control!$B$2,0)</f>
        <v>0</v>
      </c>
      <c r="X23">
        <f>IF(AND(COUNTIF(Control!$D$20:$D$100,$B23)=0,COUNTIF(Control!$D$20:$D$100,X$2)=0),VISUM_Freeway_OD!X23*Control!$B$2,0)</f>
        <v>0</v>
      </c>
      <c r="Y23">
        <f>IF(AND(COUNTIF(Control!$D$20:$D$100,$B23)=0,COUNTIF(Control!$D$20:$D$100,Y$2)=0),VISUM_Freeway_OD!Y23*Control!$B$2,0)</f>
        <v>0</v>
      </c>
      <c r="Z23">
        <f>IF(AND(COUNTIF(Control!$D$20:$D$100,$B23)=0,COUNTIF(Control!$D$20:$D$100,Z$2)=0),VISUM_Freeway_OD!Z23*Control!$B$2,0)</f>
        <v>0</v>
      </c>
      <c r="AA23">
        <f>IF(AND(COUNTIF(Control!$D$20:$D$100,$B23)=0,COUNTIF(Control!$D$20:$D$100,AA$2)=0),VISUM_Freeway_OD!AA23*Control!$B$2,0)</f>
        <v>0</v>
      </c>
      <c r="AB23">
        <f>IF(AND(COUNTIF(Control!$D$20:$D$100,$B23)=0,COUNTIF(Control!$D$20:$D$100,AB$2)=0),VISUM_Freeway_OD!AB23*Control!$B$2,0)</f>
        <v>0</v>
      </c>
      <c r="AC23">
        <f>IF(AND(COUNTIF(Control!$D$20:$D$100,$B23)=0,COUNTIF(Control!$D$20:$D$100,AC$2)=0),VISUM_Freeway_OD!AC23*Control!$B$2,0)</f>
        <v>0</v>
      </c>
      <c r="AD23">
        <f>IF(AND(COUNTIF(Control!$D$20:$D$100,$B23)=0,COUNTIF(Control!$D$20:$D$100,AD$2)=0),VISUM_Freeway_OD!AD23*Control!$B$2,0)</f>
        <v>0</v>
      </c>
      <c r="AE23">
        <f>IF(AND(COUNTIF(Control!$D$20:$D$100,$B23)=0,COUNTIF(Control!$D$20:$D$100,AE$2)=0),VISUM_Freeway_OD!AE23*Control!$B$2,0)</f>
        <v>0</v>
      </c>
      <c r="AF23">
        <f>IF(AND(COUNTIF(Control!$D$20:$D$100,$B23)=0,COUNTIF(Control!$D$20:$D$100,AF$2)=0),VISUM_Freeway_OD!AF23*Control!$B$2,0)</f>
        <v>0</v>
      </c>
      <c r="AG23">
        <f>IF(AND(COUNTIF(Control!$D$20:$D$100,$B23)=0,COUNTIF(Control!$D$20:$D$100,AG$2)=0),VISUM_Freeway_OD!AG23*Control!$B$2,0)</f>
        <v>0</v>
      </c>
      <c r="AH23">
        <f>IF(AND(COUNTIF(Control!$D$20:$D$100,$B23)=0,COUNTIF(Control!$D$20:$D$100,AH$2)=0),VISUM_Freeway_OD!AH23*Control!$B$2,0)</f>
        <v>0</v>
      </c>
      <c r="AI23">
        <f>IF(AND(COUNTIF(Control!$D$20:$D$100,$B23)=0,COUNTIF(Control!$D$20:$D$100,AI$2)=0),VISUM_Freeway_OD!AI23*Control!$B$2,0)</f>
        <v>0</v>
      </c>
      <c r="AJ23">
        <f>IF(AND(COUNTIF(Control!$D$20:$D$100,$B23)=0,COUNTIF(Control!$D$20:$D$100,AJ$2)=0),VISUM_Freeway_OD!AJ23*Control!$B$2,0)</f>
        <v>4.02424347</v>
      </c>
      <c r="AK23">
        <f>IF(AND(COUNTIF(Control!$D$20:$D$100,$B23)=0,COUNTIF(Control!$D$20:$D$100,AK$2)=0),VISUM_Freeway_OD!AK23*Control!$B$2,0)</f>
        <v>0</v>
      </c>
      <c r="AL23">
        <f>IF(AND(COUNTIF(Control!$D$20:$D$100,$B23)=0,COUNTIF(Control!$D$20:$D$100,AL$2)=0),VISUM_Freeway_OD!AL23*Control!$B$2,0)</f>
        <v>0</v>
      </c>
      <c r="AM23">
        <f>IF(AND(COUNTIF(Control!$D$20:$D$100,$B23)=0,COUNTIF(Control!$D$20:$D$100,AM$2)=0),VISUM_Freeway_OD!AM23*Control!$B$2,0)</f>
        <v>0</v>
      </c>
      <c r="AN23">
        <f>IF(AND(COUNTIF(Control!$D$20:$D$100,$B23)=0,COUNTIF(Control!$D$20:$D$100,AN$2)=0),VISUM_Freeway_OD!AN23*Control!$B$2,0)</f>
        <v>0</v>
      </c>
      <c r="AO23">
        <f>IF(AND(COUNTIF(Control!$D$20:$D$100,$B23)=0,COUNTIF(Control!$D$20:$D$100,AO$2)=0),VISUM_Freeway_OD!AO23*Control!$B$2,0)</f>
        <v>0</v>
      </c>
      <c r="AP23">
        <f>IF(AND(COUNTIF(Control!$D$20:$D$100,$B23)=0,COUNTIF(Control!$D$20:$D$100,AP$2)=0),VISUM_Freeway_OD!AP23*Control!$B$2,0)</f>
        <v>0</v>
      </c>
      <c r="AQ23">
        <f>IF(AND(COUNTIF(Control!$D$20:$D$100,$B23)=0,COUNTIF(Control!$D$20:$D$100,AQ$2)=0),VISUM_Freeway_OD!AQ23*Control!$B$2,0)</f>
        <v>0</v>
      </c>
      <c r="AR23">
        <f>IF(AND(COUNTIF(Control!$D$20:$D$100,$B23)=0,COUNTIF(Control!$D$20:$D$100,AR$2)=0),VISUM_Freeway_OD!AR23*Control!$B$2,0)</f>
        <v>0.52080041999999993</v>
      </c>
      <c r="AS23">
        <f>IF(AND(COUNTIF(Control!$D$20:$D$100,$B23)=0,COUNTIF(Control!$D$20:$D$100,AS$2)=0),VISUM_Freeway_OD!AS23*Control!$B$2,0)</f>
        <v>3.3603468899999998</v>
      </c>
      <c r="AT23">
        <f>IF(AND(COUNTIF(Control!$D$20:$D$100,$B23)=0,COUNTIF(Control!$D$20:$D$100,AT$2)=0),VISUM_Freeway_OD!AT23*Control!$B$2,0)</f>
        <v>0</v>
      </c>
      <c r="AU23">
        <f>IF(AND(COUNTIF(Control!$D$20:$D$100,$B23)=0,COUNTIF(Control!$D$20:$D$100,AU$2)=0),VISUM_Freeway_OD!AU23*Control!$B$2,0)</f>
        <v>0</v>
      </c>
      <c r="AV23">
        <f>IF(AND(COUNTIF(Control!$D$20:$D$100,$B23)=0,COUNTIF(Control!$D$20:$D$100,AV$2)=0),VISUM_Freeway_OD!AV23*Control!$B$2,0)</f>
        <v>0</v>
      </c>
      <c r="AW23">
        <f>IF(AND(COUNTIF(Control!$D$20:$D$100,$B23)=0,COUNTIF(Control!$D$20:$D$100,AW$2)=0),VISUM_Freeway_OD!AW23*Control!$B$2,0)</f>
        <v>0</v>
      </c>
      <c r="AX23">
        <f>IF(AND(COUNTIF(Control!$D$20:$D$100,$B23)=0,COUNTIF(Control!$D$20:$D$100,AX$2)=0),VISUM_Freeway_OD!AX23*Control!$B$2,0)</f>
        <v>0</v>
      </c>
      <c r="AY23">
        <f>IF(AND(COUNTIF(Control!$D$20:$D$100,$B23)=0,COUNTIF(Control!$D$20:$D$100,AY$2)=0),VISUM_Freeway_OD!AY23*Control!$B$2,0)</f>
        <v>0</v>
      </c>
    </row>
    <row r="24" spans="1:51" x14ac:dyDescent="0.25">
      <c r="A24" s="4" t="str">
        <f>IF(VLOOKUP(B24,Freeway_Zone_Link_Mapping!$A:$C,2,FALSE)&lt;&gt;"",VLOOKUP(B24,Freeway_Zone_Link_Mapping!$A:$C,2,FALSE),"")</f>
        <v/>
      </c>
      <c r="B24" s="4">
        <v>44</v>
      </c>
      <c r="C24">
        <f>IF(AND(COUNTIF(Control!$D$20:$D$100,$B24)=0,COUNTIF(Control!$D$20:$D$100,C$2)=0),VISUM_Freeway_OD!C24*Control!$B$2,0)</f>
        <v>0</v>
      </c>
      <c r="D24">
        <f>IF(AND(COUNTIF(Control!$D$20:$D$100,$B24)=0,COUNTIF(Control!$D$20:$D$100,D$2)=0),VISUM_Freeway_OD!D24*Control!$B$2,0)</f>
        <v>0</v>
      </c>
      <c r="E24">
        <f>IF(AND(COUNTIF(Control!$D$20:$D$100,$B24)=0,COUNTIF(Control!$D$20:$D$100,E$2)=0),VISUM_Freeway_OD!E24*Control!$B$2,0)</f>
        <v>0</v>
      </c>
      <c r="F24">
        <f>IF(AND(COUNTIF(Control!$D$20:$D$100,$B24)=0,COUNTIF(Control!$D$20:$D$100,F$2)=0),VISUM_Freeway_OD!F24*Control!$B$2,0)</f>
        <v>0</v>
      </c>
      <c r="G24">
        <f>IF(AND(COUNTIF(Control!$D$20:$D$100,$B24)=0,COUNTIF(Control!$D$20:$D$100,G$2)=0),VISUM_Freeway_OD!G24*Control!$B$2,0)</f>
        <v>0</v>
      </c>
      <c r="H24">
        <f>IF(AND(COUNTIF(Control!$D$20:$D$100,$B24)=0,COUNTIF(Control!$D$20:$D$100,H$2)=0),VISUM_Freeway_OD!H24*Control!$B$2,0)</f>
        <v>0</v>
      </c>
      <c r="I24">
        <f>IF(AND(COUNTIF(Control!$D$20:$D$100,$B24)=0,COUNTIF(Control!$D$20:$D$100,I$2)=0),VISUM_Freeway_OD!I24*Control!$B$2,0)</f>
        <v>0</v>
      </c>
      <c r="J24">
        <f>IF(AND(COUNTIF(Control!$D$20:$D$100,$B24)=0,COUNTIF(Control!$D$20:$D$100,J$2)=0),VISUM_Freeway_OD!J24*Control!$B$2,0)</f>
        <v>0</v>
      </c>
      <c r="K24">
        <f>IF(AND(COUNTIF(Control!$D$20:$D$100,$B24)=0,COUNTIF(Control!$D$20:$D$100,K$2)=0),VISUM_Freeway_OD!K24*Control!$B$2,0)</f>
        <v>0</v>
      </c>
      <c r="L24">
        <f>IF(AND(COUNTIF(Control!$D$20:$D$100,$B24)=0,COUNTIF(Control!$D$20:$D$100,L$2)=0),VISUM_Freeway_OD!L24*Control!$B$2,0)</f>
        <v>0</v>
      </c>
      <c r="M24">
        <f>IF(AND(COUNTIF(Control!$D$20:$D$100,$B24)=0,COUNTIF(Control!$D$20:$D$100,M$2)=0),VISUM_Freeway_OD!M24*Control!$B$2,0)</f>
        <v>0</v>
      </c>
      <c r="N24">
        <f>IF(AND(COUNTIF(Control!$D$20:$D$100,$B24)=0,COUNTIF(Control!$D$20:$D$100,N$2)=0),VISUM_Freeway_OD!N24*Control!$B$2,0)</f>
        <v>0</v>
      </c>
      <c r="O24">
        <f>IF(AND(COUNTIF(Control!$D$20:$D$100,$B24)=0,COUNTIF(Control!$D$20:$D$100,O$2)=0),VISUM_Freeway_OD!O24*Control!$B$2,0)</f>
        <v>0</v>
      </c>
      <c r="P24">
        <f>IF(AND(COUNTIF(Control!$D$20:$D$100,$B24)=0,COUNTIF(Control!$D$20:$D$100,P$2)=0),VISUM_Freeway_OD!P24*Control!$B$2,0)</f>
        <v>0</v>
      </c>
      <c r="Q24">
        <f>IF(AND(COUNTIF(Control!$D$20:$D$100,$B24)=0,COUNTIF(Control!$D$20:$D$100,Q$2)=0),VISUM_Freeway_OD!Q24*Control!$B$2,0)</f>
        <v>0</v>
      </c>
      <c r="R24">
        <f>IF(AND(COUNTIF(Control!$D$20:$D$100,$B24)=0,COUNTIF(Control!$D$20:$D$100,R$2)=0),VISUM_Freeway_OD!R24*Control!$B$2,0)</f>
        <v>0</v>
      </c>
      <c r="S24">
        <f>IF(AND(COUNTIF(Control!$D$20:$D$100,$B24)=0,COUNTIF(Control!$D$20:$D$100,S$2)=0),VISUM_Freeway_OD!S24*Control!$B$2,0)</f>
        <v>0</v>
      </c>
      <c r="T24">
        <f>IF(AND(COUNTIF(Control!$D$20:$D$100,$B24)=0,COUNTIF(Control!$D$20:$D$100,T$2)=0),VISUM_Freeway_OD!T24*Control!$B$2,0)</f>
        <v>0</v>
      </c>
      <c r="U24">
        <f>IF(AND(COUNTIF(Control!$D$20:$D$100,$B24)=0,COUNTIF(Control!$D$20:$D$100,U$2)=0),VISUM_Freeway_OD!U24*Control!$B$2,0)</f>
        <v>0</v>
      </c>
      <c r="V24">
        <f>IF(AND(COUNTIF(Control!$D$20:$D$100,$B24)=0,COUNTIF(Control!$D$20:$D$100,V$2)=0),VISUM_Freeway_OD!V24*Control!$B$2,0)</f>
        <v>0</v>
      </c>
      <c r="W24">
        <f>IF(AND(COUNTIF(Control!$D$20:$D$100,$B24)=0,COUNTIF(Control!$D$20:$D$100,W$2)=0),VISUM_Freeway_OD!W24*Control!$B$2,0)</f>
        <v>0</v>
      </c>
      <c r="X24">
        <f>IF(AND(COUNTIF(Control!$D$20:$D$100,$B24)=0,COUNTIF(Control!$D$20:$D$100,X$2)=0),VISUM_Freeway_OD!X24*Control!$B$2,0)</f>
        <v>0</v>
      </c>
      <c r="Y24">
        <f>IF(AND(COUNTIF(Control!$D$20:$D$100,$B24)=0,COUNTIF(Control!$D$20:$D$100,Y$2)=0),VISUM_Freeway_OD!Y24*Control!$B$2,0)</f>
        <v>0</v>
      </c>
      <c r="Z24">
        <f>IF(AND(COUNTIF(Control!$D$20:$D$100,$B24)=0,COUNTIF(Control!$D$20:$D$100,Z$2)=0),VISUM_Freeway_OD!Z24*Control!$B$2,0)</f>
        <v>0</v>
      </c>
      <c r="AA24">
        <f>IF(AND(COUNTIF(Control!$D$20:$D$100,$B24)=0,COUNTIF(Control!$D$20:$D$100,AA$2)=0),VISUM_Freeway_OD!AA24*Control!$B$2,0)</f>
        <v>0</v>
      </c>
      <c r="AB24">
        <f>IF(AND(COUNTIF(Control!$D$20:$D$100,$B24)=0,COUNTIF(Control!$D$20:$D$100,AB$2)=0),VISUM_Freeway_OD!AB24*Control!$B$2,0)</f>
        <v>0</v>
      </c>
      <c r="AC24">
        <f>IF(AND(COUNTIF(Control!$D$20:$D$100,$B24)=0,COUNTIF(Control!$D$20:$D$100,AC$2)=0),VISUM_Freeway_OD!AC24*Control!$B$2,0)</f>
        <v>0</v>
      </c>
      <c r="AD24">
        <f>IF(AND(COUNTIF(Control!$D$20:$D$100,$B24)=0,COUNTIF(Control!$D$20:$D$100,AD$2)=0),VISUM_Freeway_OD!AD24*Control!$B$2,0)</f>
        <v>0</v>
      </c>
      <c r="AE24">
        <f>IF(AND(COUNTIF(Control!$D$20:$D$100,$B24)=0,COUNTIF(Control!$D$20:$D$100,AE$2)=0),VISUM_Freeway_OD!AE24*Control!$B$2,0)</f>
        <v>0</v>
      </c>
      <c r="AF24">
        <f>IF(AND(COUNTIF(Control!$D$20:$D$100,$B24)=0,COUNTIF(Control!$D$20:$D$100,AF$2)=0),VISUM_Freeway_OD!AF24*Control!$B$2,0)</f>
        <v>0</v>
      </c>
      <c r="AG24">
        <f>IF(AND(COUNTIF(Control!$D$20:$D$100,$B24)=0,COUNTIF(Control!$D$20:$D$100,AG$2)=0),VISUM_Freeway_OD!AG24*Control!$B$2,0)</f>
        <v>0</v>
      </c>
      <c r="AH24">
        <f>IF(AND(COUNTIF(Control!$D$20:$D$100,$B24)=0,COUNTIF(Control!$D$20:$D$100,AH$2)=0),VISUM_Freeway_OD!AH24*Control!$B$2,0)</f>
        <v>0</v>
      </c>
      <c r="AI24">
        <f>IF(AND(COUNTIF(Control!$D$20:$D$100,$B24)=0,COUNTIF(Control!$D$20:$D$100,AI$2)=0),VISUM_Freeway_OD!AI24*Control!$B$2,0)</f>
        <v>0</v>
      </c>
      <c r="AJ24">
        <f>IF(AND(COUNTIF(Control!$D$20:$D$100,$B24)=0,COUNTIF(Control!$D$20:$D$100,AJ$2)=0),VISUM_Freeway_OD!AJ24*Control!$B$2,0)</f>
        <v>0</v>
      </c>
      <c r="AK24">
        <f>IF(AND(COUNTIF(Control!$D$20:$D$100,$B24)=0,COUNTIF(Control!$D$20:$D$100,AK$2)=0),VISUM_Freeway_OD!AK24*Control!$B$2,0)</f>
        <v>0</v>
      </c>
      <c r="AL24">
        <f>IF(AND(COUNTIF(Control!$D$20:$D$100,$B24)=0,COUNTIF(Control!$D$20:$D$100,AL$2)=0),VISUM_Freeway_OD!AL24*Control!$B$2,0)</f>
        <v>0</v>
      </c>
      <c r="AM24">
        <f>IF(AND(COUNTIF(Control!$D$20:$D$100,$B24)=0,COUNTIF(Control!$D$20:$D$100,AM$2)=0),VISUM_Freeway_OD!AM24*Control!$B$2,0)</f>
        <v>0</v>
      </c>
      <c r="AN24">
        <f>IF(AND(COUNTIF(Control!$D$20:$D$100,$B24)=0,COUNTIF(Control!$D$20:$D$100,AN$2)=0),VISUM_Freeway_OD!AN24*Control!$B$2,0)</f>
        <v>0</v>
      </c>
      <c r="AO24">
        <f>IF(AND(COUNTIF(Control!$D$20:$D$100,$B24)=0,COUNTIF(Control!$D$20:$D$100,AO$2)=0),VISUM_Freeway_OD!AO24*Control!$B$2,0)</f>
        <v>0</v>
      </c>
      <c r="AP24">
        <f>IF(AND(COUNTIF(Control!$D$20:$D$100,$B24)=0,COUNTIF(Control!$D$20:$D$100,AP$2)=0),VISUM_Freeway_OD!AP24*Control!$B$2,0)</f>
        <v>0</v>
      </c>
      <c r="AQ24">
        <f>IF(AND(COUNTIF(Control!$D$20:$D$100,$B24)=0,COUNTIF(Control!$D$20:$D$100,AQ$2)=0),VISUM_Freeway_OD!AQ24*Control!$B$2,0)</f>
        <v>0</v>
      </c>
      <c r="AR24">
        <f>IF(AND(COUNTIF(Control!$D$20:$D$100,$B24)=0,COUNTIF(Control!$D$20:$D$100,AR$2)=0),VISUM_Freeway_OD!AR24*Control!$B$2,0)</f>
        <v>0</v>
      </c>
      <c r="AS24">
        <f>IF(AND(COUNTIF(Control!$D$20:$D$100,$B24)=0,COUNTIF(Control!$D$20:$D$100,AS$2)=0),VISUM_Freeway_OD!AS24*Control!$B$2,0)</f>
        <v>0</v>
      </c>
      <c r="AT24">
        <f>IF(AND(COUNTIF(Control!$D$20:$D$100,$B24)=0,COUNTIF(Control!$D$20:$D$100,AT$2)=0),VISUM_Freeway_OD!AT24*Control!$B$2,0)</f>
        <v>0</v>
      </c>
      <c r="AU24">
        <f>IF(AND(COUNTIF(Control!$D$20:$D$100,$B24)=0,COUNTIF(Control!$D$20:$D$100,AU$2)=0),VISUM_Freeway_OD!AU24*Control!$B$2,0)</f>
        <v>0</v>
      </c>
      <c r="AV24">
        <f>IF(AND(COUNTIF(Control!$D$20:$D$100,$B24)=0,COUNTIF(Control!$D$20:$D$100,AV$2)=0),VISUM_Freeway_OD!AV24*Control!$B$2,0)</f>
        <v>0</v>
      </c>
      <c r="AW24">
        <f>IF(AND(COUNTIF(Control!$D$20:$D$100,$B24)=0,COUNTIF(Control!$D$20:$D$100,AW$2)=0),VISUM_Freeway_OD!AW24*Control!$B$2,0)</f>
        <v>0</v>
      </c>
      <c r="AX24">
        <f>IF(AND(COUNTIF(Control!$D$20:$D$100,$B24)=0,COUNTIF(Control!$D$20:$D$100,AX$2)=0),VISUM_Freeway_OD!AX24*Control!$B$2,0)</f>
        <v>0</v>
      </c>
      <c r="AY24">
        <f>IF(AND(COUNTIF(Control!$D$20:$D$100,$B24)=0,COUNTIF(Control!$D$20:$D$100,AY$2)=0),VISUM_Freeway_OD!AY24*Control!$B$2,0)</f>
        <v>0</v>
      </c>
    </row>
    <row r="25" spans="1:51" x14ac:dyDescent="0.25">
      <c r="A25" s="4">
        <f>IF(VLOOKUP(B25,Freeway_Zone_Link_Mapping!$A:$C,2,FALSE)&lt;&gt;"",VLOOKUP(B25,Freeway_Zone_Link_Mapping!$A:$C,2,FALSE),"")</f>
        <v>214</v>
      </c>
      <c r="B25" s="4">
        <v>45</v>
      </c>
      <c r="C25">
        <f>IF(AND(COUNTIF(Control!$D$20:$D$100,$B25)=0,COUNTIF(Control!$D$20:$D$100,C$2)=0),VISUM_Freeway_OD!C25*Control!$B$2,0)</f>
        <v>0</v>
      </c>
      <c r="D25">
        <f>IF(AND(COUNTIF(Control!$D$20:$D$100,$B25)=0,COUNTIF(Control!$D$20:$D$100,D$2)=0),VISUM_Freeway_OD!D25*Control!$B$2,0)</f>
        <v>0</v>
      </c>
      <c r="E25">
        <f>IF(AND(COUNTIF(Control!$D$20:$D$100,$B25)=0,COUNTIF(Control!$D$20:$D$100,E$2)=0),VISUM_Freeway_OD!E25*Control!$B$2,0)</f>
        <v>0</v>
      </c>
      <c r="F25">
        <f>IF(AND(COUNTIF(Control!$D$20:$D$100,$B25)=0,COUNTIF(Control!$D$20:$D$100,F$2)=0),VISUM_Freeway_OD!F25*Control!$B$2,0)</f>
        <v>0</v>
      </c>
      <c r="G25">
        <f>IF(AND(COUNTIF(Control!$D$20:$D$100,$B25)=0,COUNTIF(Control!$D$20:$D$100,G$2)=0),VISUM_Freeway_OD!G25*Control!$B$2,0)</f>
        <v>0</v>
      </c>
      <c r="H25">
        <f>IF(AND(COUNTIF(Control!$D$20:$D$100,$B25)=0,COUNTIF(Control!$D$20:$D$100,H$2)=0),VISUM_Freeway_OD!H25*Control!$B$2,0)</f>
        <v>0</v>
      </c>
      <c r="I25">
        <f>IF(AND(COUNTIF(Control!$D$20:$D$100,$B25)=0,COUNTIF(Control!$D$20:$D$100,I$2)=0),VISUM_Freeway_OD!I25*Control!$B$2,0)</f>
        <v>0</v>
      </c>
      <c r="J25">
        <f>IF(AND(COUNTIF(Control!$D$20:$D$100,$B25)=0,COUNTIF(Control!$D$20:$D$100,J$2)=0),VISUM_Freeway_OD!J25*Control!$B$2,0)</f>
        <v>0</v>
      </c>
      <c r="K25">
        <f>IF(AND(COUNTIF(Control!$D$20:$D$100,$B25)=0,COUNTIF(Control!$D$20:$D$100,K$2)=0),VISUM_Freeway_OD!K25*Control!$B$2,0)</f>
        <v>0</v>
      </c>
      <c r="L25">
        <f>IF(AND(COUNTIF(Control!$D$20:$D$100,$B25)=0,COUNTIF(Control!$D$20:$D$100,L$2)=0),VISUM_Freeway_OD!L25*Control!$B$2,0)</f>
        <v>0</v>
      </c>
      <c r="M25">
        <f>IF(AND(COUNTIF(Control!$D$20:$D$100,$B25)=0,COUNTIF(Control!$D$20:$D$100,M$2)=0),VISUM_Freeway_OD!M25*Control!$B$2,0)</f>
        <v>1.57696836</v>
      </c>
      <c r="N25">
        <f>IF(AND(COUNTIF(Control!$D$20:$D$100,$B25)=0,COUNTIF(Control!$D$20:$D$100,N$2)=0),VISUM_Freeway_OD!N25*Control!$B$2,0)</f>
        <v>5.8918971299999994</v>
      </c>
      <c r="O25">
        <f>IF(AND(COUNTIF(Control!$D$20:$D$100,$B25)=0,COUNTIF(Control!$D$20:$D$100,O$2)=0),VISUM_Freeway_OD!O25*Control!$B$2,0)</f>
        <v>0</v>
      </c>
      <c r="P25">
        <f>IF(AND(COUNTIF(Control!$D$20:$D$100,$B25)=0,COUNTIF(Control!$D$20:$D$100,P$2)=0),VISUM_Freeway_OD!P25*Control!$B$2,0)</f>
        <v>0</v>
      </c>
      <c r="Q25">
        <f>IF(AND(COUNTIF(Control!$D$20:$D$100,$B25)=0,COUNTIF(Control!$D$20:$D$100,Q$2)=0),VISUM_Freeway_OD!Q25*Control!$B$2,0)</f>
        <v>0</v>
      </c>
      <c r="R25">
        <f>IF(AND(COUNTIF(Control!$D$20:$D$100,$B25)=0,COUNTIF(Control!$D$20:$D$100,R$2)=0),VISUM_Freeway_OD!R25*Control!$B$2,0)</f>
        <v>0</v>
      </c>
      <c r="S25">
        <f>IF(AND(COUNTIF(Control!$D$20:$D$100,$B25)=0,COUNTIF(Control!$D$20:$D$100,S$2)=0),VISUM_Freeway_OD!S25*Control!$B$2,0)</f>
        <v>0</v>
      </c>
      <c r="T25">
        <f>IF(AND(COUNTIF(Control!$D$20:$D$100,$B25)=0,COUNTIF(Control!$D$20:$D$100,T$2)=0),VISUM_Freeway_OD!T25*Control!$B$2,0)</f>
        <v>0</v>
      </c>
      <c r="U25">
        <f>IF(AND(COUNTIF(Control!$D$20:$D$100,$B25)=0,COUNTIF(Control!$D$20:$D$100,U$2)=0),VISUM_Freeway_OD!U25*Control!$B$2,0)</f>
        <v>0</v>
      </c>
      <c r="V25">
        <f>IF(AND(COUNTIF(Control!$D$20:$D$100,$B25)=0,COUNTIF(Control!$D$20:$D$100,V$2)=0),VISUM_Freeway_OD!V25*Control!$B$2,0)</f>
        <v>0</v>
      </c>
      <c r="W25">
        <f>IF(AND(COUNTIF(Control!$D$20:$D$100,$B25)=0,COUNTIF(Control!$D$20:$D$100,W$2)=0),VISUM_Freeway_OD!W25*Control!$B$2,0)</f>
        <v>0</v>
      </c>
      <c r="X25">
        <f>IF(AND(COUNTIF(Control!$D$20:$D$100,$B25)=0,COUNTIF(Control!$D$20:$D$100,X$2)=0),VISUM_Freeway_OD!X25*Control!$B$2,0)</f>
        <v>0</v>
      </c>
      <c r="Y25">
        <f>IF(AND(COUNTIF(Control!$D$20:$D$100,$B25)=0,COUNTIF(Control!$D$20:$D$100,Y$2)=0),VISUM_Freeway_OD!Y25*Control!$B$2,0)</f>
        <v>0</v>
      </c>
      <c r="Z25">
        <f>IF(AND(COUNTIF(Control!$D$20:$D$100,$B25)=0,COUNTIF(Control!$D$20:$D$100,Z$2)=0),VISUM_Freeway_OD!Z25*Control!$B$2,0)</f>
        <v>0</v>
      </c>
      <c r="AA25">
        <f>IF(AND(COUNTIF(Control!$D$20:$D$100,$B25)=0,COUNTIF(Control!$D$20:$D$100,AA$2)=0),VISUM_Freeway_OD!AA25*Control!$B$2,0)</f>
        <v>0</v>
      </c>
      <c r="AB25">
        <f>IF(AND(COUNTIF(Control!$D$20:$D$100,$B25)=0,COUNTIF(Control!$D$20:$D$100,AB$2)=0),VISUM_Freeway_OD!AB25*Control!$B$2,0)</f>
        <v>0</v>
      </c>
      <c r="AC25">
        <f>IF(AND(COUNTIF(Control!$D$20:$D$100,$B25)=0,COUNTIF(Control!$D$20:$D$100,AC$2)=0),VISUM_Freeway_OD!AC25*Control!$B$2,0)</f>
        <v>0</v>
      </c>
      <c r="AD25">
        <f>IF(AND(COUNTIF(Control!$D$20:$D$100,$B25)=0,COUNTIF(Control!$D$20:$D$100,AD$2)=0),VISUM_Freeway_OD!AD25*Control!$B$2,0)</f>
        <v>0</v>
      </c>
      <c r="AE25">
        <f>IF(AND(COUNTIF(Control!$D$20:$D$100,$B25)=0,COUNTIF(Control!$D$20:$D$100,AE$2)=0),VISUM_Freeway_OD!AE25*Control!$B$2,0)</f>
        <v>0</v>
      </c>
      <c r="AF25">
        <f>IF(AND(COUNTIF(Control!$D$20:$D$100,$B25)=0,COUNTIF(Control!$D$20:$D$100,AF$2)=0),VISUM_Freeway_OD!AF25*Control!$B$2,0)</f>
        <v>0</v>
      </c>
      <c r="AG25">
        <f>IF(AND(COUNTIF(Control!$D$20:$D$100,$B25)=0,COUNTIF(Control!$D$20:$D$100,AG$2)=0),VISUM_Freeway_OD!AG25*Control!$B$2,0)</f>
        <v>0</v>
      </c>
      <c r="AH25">
        <f>IF(AND(COUNTIF(Control!$D$20:$D$100,$B25)=0,COUNTIF(Control!$D$20:$D$100,AH$2)=0),VISUM_Freeway_OD!AH25*Control!$B$2,0)</f>
        <v>0</v>
      </c>
      <c r="AI25">
        <f>IF(AND(COUNTIF(Control!$D$20:$D$100,$B25)=0,COUNTIF(Control!$D$20:$D$100,AI$2)=0),VISUM_Freeway_OD!AI25*Control!$B$2,0)</f>
        <v>0</v>
      </c>
      <c r="AJ25">
        <f>IF(AND(COUNTIF(Control!$D$20:$D$100,$B25)=0,COUNTIF(Control!$D$20:$D$100,AJ$2)=0),VISUM_Freeway_OD!AJ25*Control!$B$2,0)</f>
        <v>9.1896804299999992</v>
      </c>
      <c r="AK25">
        <f>IF(AND(COUNTIF(Control!$D$20:$D$100,$B25)=0,COUNTIF(Control!$D$20:$D$100,AK$2)=0),VISUM_Freeway_OD!AK25*Control!$B$2,0)</f>
        <v>0</v>
      </c>
      <c r="AL25">
        <f>IF(AND(COUNTIF(Control!$D$20:$D$100,$B25)=0,COUNTIF(Control!$D$20:$D$100,AL$2)=0),VISUM_Freeway_OD!AL25*Control!$B$2,0)</f>
        <v>0</v>
      </c>
      <c r="AM25">
        <f>IF(AND(COUNTIF(Control!$D$20:$D$100,$B25)=0,COUNTIF(Control!$D$20:$D$100,AM$2)=0),VISUM_Freeway_OD!AM25*Control!$B$2,0)</f>
        <v>0</v>
      </c>
      <c r="AN25">
        <f>IF(AND(COUNTIF(Control!$D$20:$D$100,$B25)=0,COUNTIF(Control!$D$20:$D$100,AN$2)=0),VISUM_Freeway_OD!AN25*Control!$B$2,0)</f>
        <v>0</v>
      </c>
      <c r="AO25">
        <f>IF(AND(COUNTIF(Control!$D$20:$D$100,$B25)=0,COUNTIF(Control!$D$20:$D$100,AO$2)=0),VISUM_Freeway_OD!AO25*Control!$B$2,0)</f>
        <v>0</v>
      </c>
      <c r="AP25">
        <f>IF(AND(COUNTIF(Control!$D$20:$D$100,$B25)=0,COUNTIF(Control!$D$20:$D$100,AP$2)=0),VISUM_Freeway_OD!AP25*Control!$B$2,0)</f>
        <v>0</v>
      </c>
      <c r="AQ25">
        <f>IF(AND(COUNTIF(Control!$D$20:$D$100,$B25)=0,COUNTIF(Control!$D$20:$D$100,AQ$2)=0),VISUM_Freeway_OD!AQ25*Control!$B$2,0)</f>
        <v>0</v>
      </c>
      <c r="AR25">
        <f>IF(AND(COUNTIF(Control!$D$20:$D$100,$B25)=0,COUNTIF(Control!$D$20:$D$100,AR$2)=0),VISUM_Freeway_OD!AR25*Control!$B$2,0)</f>
        <v>1.1892893099999999</v>
      </c>
      <c r="AS25">
        <f>IF(AND(COUNTIF(Control!$D$20:$D$100,$B25)=0,COUNTIF(Control!$D$20:$D$100,AS$2)=0),VISUM_Freeway_OD!AS25*Control!$B$2,0)</f>
        <v>2.2066269899999997</v>
      </c>
      <c r="AT25">
        <f>IF(AND(COUNTIF(Control!$D$20:$D$100,$B25)=0,COUNTIF(Control!$D$20:$D$100,AT$2)=0),VISUM_Freeway_OD!AT25*Control!$B$2,0)</f>
        <v>0</v>
      </c>
      <c r="AU25">
        <f>IF(AND(COUNTIF(Control!$D$20:$D$100,$B25)=0,COUNTIF(Control!$D$20:$D$100,AU$2)=0),VISUM_Freeway_OD!AU25*Control!$B$2,0)</f>
        <v>0</v>
      </c>
      <c r="AV25">
        <f>IF(AND(COUNTIF(Control!$D$20:$D$100,$B25)=0,COUNTIF(Control!$D$20:$D$100,AV$2)=0),VISUM_Freeway_OD!AV25*Control!$B$2,0)</f>
        <v>0</v>
      </c>
      <c r="AW25">
        <f>IF(AND(COUNTIF(Control!$D$20:$D$100,$B25)=0,COUNTIF(Control!$D$20:$D$100,AW$2)=0),VISUM_Freeway_OD!AW25*Control!$B$2,0)</f>
        <v>0</v>
      </c>
      <c r="AX25">
        <f>IF(AND(COUNTIF(Control!$D$20:$D$100,$B25)=0,COUNTIF(Control!$D$20:$D$100,AX$2)=0),VISUM_Freeway_OD!AX25*Control!$B$2,0)</f>
        <v>0</v>
      </c>
      <c r="AY25">
        <f>IF(AND(COUNTIF(Control!$D$20:$D$100,$B25)=0,COUNTIF(Control!$D$20:$D$100,AY$2)=0),VISUM_Freeway_OD!AY25*Control!$B$2,0)</f>
        <v>0</v>
      </c>
    </row>
    <row r="26" spans="1:51" x14ac:dyDescent="0.25">
      <c r="A26" s="4">
        <f>IF(VLOOKUP(B26,Freeway_Zone_Link_Mapping!$A:$C,2,FALSE)&lt;&gt;"",VLOOKUP(B26,Freeway_Zone_Link_Mapping!$A:$C,2,FALSE),"")</f>
        <v>191</v>
      </c>
      <c r="B26" s="4">
        <v>46</v>
      </c>
      <c r="C26">
        <f>IF(AND(COUNTIF(Control!$D$20:$D$100,$B26)=0,COUNTIF(Control!$D$20:$D$100,C$2)=0),VISUM_Freeway_OD!C26*Control!$B$2,0)</f>
        <v>0</v>
      </c>
      <c r="D26">
        <f>IF(AND(COUNTIF(Control!$D$20:$D$100,$B26)=0,COUNTIF(Control!$D$20:$D$100,D$2)=0),VISUM_Freeway_OD!D26*Control!$B$2,0)</f>
        <v>0</v>
      </c>
      <c r="E26">
        <f>IF(AND(COUNTIF(Control!$D$20:$D$100,$B26)=0,COUNTIF(Control!$D$20:$D$100,E$2)=0),VISUM_Freeway_OD!E26*Control!$B$2,0)</f>
        <v>0</v>
      </c>
      <c r="F26">
        <f>IF(AND(COUNTIF(Control!$D$20:$D$100,$B26)=0,COUNTIF(Control!$D$20:$D$100,F$2)=0),VISUM_Freeway_OD!F26*Control!$B$2,0)</f>
        <v>0</v>
      </c>
      <c r="G26">
        <f>IF(AND(COUNTIF(Control!$D$20:$D$100,$B26)=0,COUNTIF(Control!$D$20:$D$100,G$2)=0),VISUM_Freeway_OD!G26*Control!$B$2,0)</f>
        <v>0</v>
      </c>
      <c r="H26">
        <f>IF(AND(COUNTIF(Control!$D$20:$D$100,$B26)=0,COUNTIF(Control!$D$20:$D$100,H$2)=0),VISUM_Freeway_OD!H26*Control!$B$2,0)</f>
        <v>0</v>
      </c>
      <c r="I26">
        <f>IF(AND(COUNTIF(Control!$D$20:$D$100,$B26)=0,COUNTIF(Control!$D$20:$D$100,I$2)=0),VISUM_Freeway_OD!I26*Control!$B$2,0)</f>
        <v>0</v>
      </c>
      <c r="J26">
        <f>IF(AND(COUNTIF(Control!$D$20:$D$100,$B26)=0,COUNTIF(Control!$D$20:$D$100,J$2)=0),VISUM_Freeway_OD!J26*Control!$B$2,0)</f>
        <v>0</v>
      </c>
      <c r="K26">
        <f>IF(AND(COUNTIF(Control!$D$20:$D$100,$B26)=0,COUNTIF(Control!$D$20:$D$100,K$2)=0),VISUM_Freeway_OD!K26*Control!$B$2,0)</f>
        <v>0</v>
      </c>
      <c r="L26">
        <f>IF(AND(COUNTIF(Control!$D$20:$D$100,$B26)=0,COUNTIF(Control!$D$20:$D$100,L$2)=0),VISUM_Freeway_OD!L26*Control!$B$2,0)</f>
        <v>0</v>
      </c>
      <c r="M26">
        <f>IF(AND(COUNTIF(Control!$D$20:$D$100,$B26)=0,COUNTIF(Control!$D$20:$D$100,M$2)=0),VISUM_Freeway_OD!M26*Control!$B$2,0)</f>
        <v>0</v>
      </c>
      <c r="N26">
        <f>IF(AND(COUNTIF(Control!$D$20:$D$100,$B26)=0,COUNTIF(Control!$D$20:$D$100,N$2)=0),VISUM_Freeway_OD!N26*Control!$B$2,0)</f>
        <v>0</v>
      </c>
      <c r="O26">
        <f>IF(AND(COUNTIF(Control!$D$20:$D$100,$B26)=0,COUNTIF(Control!$D$20:$D$100,O$2)=0),VISUM_Freeway_OD!O26*Control!$B$2,0)</f>
        <v>0</v>
      </c>
      <c r="P26">
        <f>IF(AND(COUNTIF(Control!$D$20:$D$100,$B26)=0,COUNTIF(Control!$D$20:$D$100,P$2)=0),VISUM_Freeway_OD!P26*Control!$B$2,0)</f>
        <v>0</v>
      </c>
      <c r="Q26">
        <f>IF(AND(COUNTIF(Control!$D$20:$D$100,$B26)=0,COUNTIF(Control!$D$20:$D$100,Q$2)=0),VISUM_Freeway_OD!Q26*Control!$B$2,0)</f>
        <v>0</v>
      </c>
      <c r="R26">
        <f>IF(AND(COUNTIF(Control!$D$20:$D$100,$B26)=0,COUNTIF(Control!$D$20:$D$100,R$2)=0),VISUM_Freeway_OD!R26*Control!$B$2,0)</f>
        <v>0</v>
      </c>
      <c r="S26">
        <f>IF(AND(COUNTIF(Control!$D$20:$D$100,$B26)=0,COUNTIF(Control!$D$20:$D$100,S$2)=0),VISUM_Freeway_OD!S26*Control!$B$2,0)</f>
        <v>0</v>
      </c>
      <c r="T26">
        <f>IF(AND(COUNTIF(Control!$D$20:$D$100,$B26)=0,COUNTIF(Control!$D$20:$D$100,T$2)=0),VISUM_Freeway_OD!T26*Control!$B$2,0)</f>
        <v>0</v>
      </c>
      <c r="U26">
        <f>IF(AND(COUNTIF(Control!$D$20:$D$100,$B26)=0,COUNTIF(Control!$D$20:$D$100,U$2)=0),VISUM_Freeway_OD!U26*Control!$B$2,0)</f>
        <v>0</v>
      </c>
      <c r="V26">
        <f>IF(AND(COUNTIF(Control!$D$20:$D$100,$B26)=0,COUNTIF(Control!$D$20:$D$100,V$2)=0),VISUM_Freeway_OD!V26*Control!$B$2,0)</f>
        <v>0</v>
      </c>
      <c r="W26">
        <f>IF(AND(COUNTIF(Control!$D$20:$D$100,$B26)=0,COUNTIF(Control!$D$20:$D$100,W$2)=0),VISUM_Freeway_OD!W26*Control!$B$2,0)</f>
        <v>0</v>
      </c>
      <c r="X26">
        <f>IF(AND(COUNTIF(Control!$D$20:$D$100,$B26)=0,COUNTIF(Control!$D$20:$D$100,X$2)=0),VISUM_Freeway_OD!X26*Control!$B$2,0)</f>
        <v>0</v>
      </c>
      <c r="Y26">
        <f>IF(AND(COUNTIF(Control!$D$20:$D$100,$B26)=0,COUNTIF(Control!$D$20:$D$100,Y$2)=0),VISUM_Freeway_OD!Y26*Control!$B$2,0)</f>
        <v>0</v>
      </c>
      <c r="Z26">
        <f>IF(AND(COUNTIF(Control!$D$20:$D$100,$B26)=0,COUNTIF(Control!$D$20:$D$100,Z$2)=0),VISUM_Freeway_OD!Z26*Control!$B$2,0)</f>
        <v>0</v>
      </c>
      <c r="AA26">
        <f>IF(AND(COUNTIF(Control!$D$20:$D$100,$B26)=0,COUNTIF(Control!$D$20:$D$100,AA$2)=0),VISUM_Freeway_OD!AA26*Control!$B$2,0)</f>
        <v>0</v>
      </c>
      <c r="AB26">
        <f>IF(AND(COUNTIF(Control!$D$20:$D$100,$B26)=0,COUNTIF(Control!$D$20:$D$100,AB$2)=0),VISUM_Freeway_OD!AB26*Control!$B$2,0)</f>
        <v>0</v>
      </c>
      <c r="AC26">
        <f>IF(AND(COUNTIF(Control!$D$20:$D$100,$B26)=0,COUNTIF(Control!$D$20:$D$100,AC$2)=0),VISUM_Freeway_OD!AC26*Control!$B$2,0)</f>
        <v>0</v>
      </c>
      <c r="AD26">
        <f>IF(AND(COUNTIF(Control!$D$20:$D$100,$B26)=0,COUNTIF(Control!$D$20:$D$100,AD$2)=0),VISUM_Freeway_OD!AD26*Control!$B$2,0)</f>
        <v>0</v>
      </c>
      <c r="AE26">
        <f>IF(AND(COUNTIF(Control!$D$20:$D$100,$B26)=0,COUNTIF(Control!$D$20:$D$100,AE$2)=0),VISUM_Freeway_OD!AE26*Control!$B$2,0)</f>
        <v>0</v>
      </c>
      <c r="AF26">
        <f>IF(AND(COUNTIF(Control!$D$20:$D$100,$B26)=0,COUNTIF(Control!$D$20:$D$100,AF$2)=0),VISUM_Freeway_OD!AF26*Control!$B$2,0)</f>
        <v>0</v>
      </c>
      <c r="AG26">
        <f>IF(AND(COUNTIF(Control!$D$20:$D$100,$B26)=0,COUNTIF(Control!$D$20:$D$100,AG$2)=0),VISUM_Freeway_OD!AG26*Control!$B$2,0)</f>
        <v>0</v>
      </c>
      <c r="AH26">
        <f>IF(AND(COUNTIF(Control!$D$20:$D$100,$B26)=0,COUNTIF(Control!$D$20:$D$100,AH$2)=0),VISUM_Freeway_OD!AH26*Control!$B$2,0)</f>
        <v>0</v>
      </c>
      <c r="AI26">
        <f>IF(AND(COUNTIF(Control!$D$20:$D$100,$B26)=0,COUNTIF(Control!$D$20:$D$100,AI$2)=0),VISUM_Freeway_OD!AI26*Control!$B$2,0)</f>
        <v>0</v>
      </c>
      <c r="AJ26">
        <f>IF(AND(COUNTIF(Control!$D$20:$D$100,$B26)=0,COUNTIF(Control!$D$20:$D$100,AJ$2)=0),VISUM_Freeway_OD!AJ26*Control!$B$2,0)</f>
        <v>0</v>
      </c>
      <c r="AK26">
        <f>IF(AND(COUNTIF(Control!$D$20:$D$100,$B26)=0,COUNTIF(Control!$D$20:$D$100,AK$2)=0),VISUM_Freeway_OD!AK26*Control!$B$2,0)</f>
        <v>0</v>
      </c>
      <c r="AL26">
        <f>IF(AND(COUNTIF(Control!$D$20:$D$100,$B26)=0,COUNTIF(Control!$D$20:$D$100,AL$2)=0),VISUM_Freeway_OD!AL26*Control!$B$2,0)</f>
        <v>0</v>
      </c>
      <c r="AM26">
        <f>IF(AND(COUNTIF(Control!$D$20:$D$100,$B26)=0,COUNTIF(Control!$D$20:$D$100,AM$2)=0),VISUM_Freeway_OD!AM26*Control!$B$2,0)</f>
        <v>0</v>
      </c>
      <c r="AN26">
        <f>IF(AND(COUNTIF(Control!$D$20:$D$100,$B26)=0,COUNTIF(Control!$D$20:$D$100,AN$2)=0),VISUM_Freeway_OD!AN26*Control!$B$2,0)</f>
        <v>0</v>
      </c>
      <c r="AO26">
        <f>IF(AND(COUNTIF(Control!$D$20:$D$100,$B26)=0,COUNTIF(Control!$D$20:$D$100,AO$2)=0),VISUM_Freeway_OD!AO26*Control!$B$2,0)</f>
        <v>0</v>
      </c>
      <c r="AP26">
        <f>IF(AND(COUNTIF(Control!$D$20:$D$100,$B26)=0,COUNTIF(Control!$D$20:$D$100,AP$2)=0),VISUM_Freeway_OD!AP26*Control!$B$2,0)</f>
        <v>0</v>
      </c>
      <c r="AQ26">
        <f>IF(AND(COUNTIF(Control!$D$20:$D$100,$B26)=0,COUNTIF(Control!$D$20:$D$100,AQ$2)=0),VISUM_Freeway_OD!AQ26*Control!$B$2,0)</f>
        <v>0</v>
      </c>
      <c r="AR26">
        <f>IF(AND(COUNTIF(Control!$D$20:$D$100,$B26)=0,COUNTIF(Control!$D$20:$D$100,AR$2)=0),VISUM_Freeway_OD!AR26*Control!$B$2,0)</f>
        <v>0</v>
      </c>
      <c r="AS26">
        <f>IF(AND(COUNTIF(Control!$D$20:$D$100,$B26)=0,COUNTIF(Control!$D$20:$D$100,AS$2)=0),VISUM_Freeway_OD!AS26*Control!$B$2,0)</f>
        <v>0</v>
      </c>
      <c r="AT26">
        <f>IF(AND(COUNTIF(Control!$D$20:$D$100,$B26)=0,COUNTIF(Control!$D$20:$D$100,AT$2)=0),VISUM_Freeway_OD!AT26*Control!$B$2,0)</f>
        <v>0</v>
      </c>
      <c r="AU26">
        <f>IF(AND(COUNTIF(Control!$D$20:$D$100,$B26)=0,COUNTIF(Control!$D$20:$D$100,AU$2)=0),VISUM_Freeway_OD!AU26*Control!$B$2,0)</f>
        <v>0</v>
      </c>
      <c r="AV26">
        <f>IF(AND(COUNTIF(Control!$D$20:$D$100,$B26)=0,COUNTIF(Control!$D$20:$D$100,AV$2)=0),VISUM_Freeway_OD!AV26*Control!$B$2,0)</f>
        <v>0</v>
      </c>
      <c r="AW26">
        <f>IF(AND(COUNTIF(Control!$D$20:$D$100,$B26)=0,COUNTIF(Control!$D$20:$D$100,AW$2)=0),VISUM_Freeway_OD!AW26*Control!$B$2,0)</f>
        <v>0</v>
      </c>
      <c r="AX26">
        <f>IF(AND(COUNTIF(Control!$D$20:$D$100,$B26)=0,COUNTIF(Control!$D$20:$D$100,AX$2)=0),VISUM_Freeway_OD!AX26*Control!$B$2,0)</f>
        <v>0</v>
      </c>
      <c r="AY26">
        <f>IF(AND(COUNTIF(Control!$D$20:$D$100,$B26)=0,COUNTIF(Control!$D$20:$D$100,AY$2)=0),VISUM_Freeway_OD!AY26*Control!$B$2,0)</f>
        <v>0</v>
      </c>
    </row>
    <row r="27" spans="1:51" x14ac:dyDescent="0.25">
      <c r="A27" s="4">
        <f>IF(VLOOKUP(B27,Freeway_Zone_Link_Mapping!$A:$C,2,FALSE)&lt;&gt;"",VLOOKUP(B27,Freeway_Zone_Link_Mapping!$A:$C,2,FALSE),"")</f>
        <v>196</v>
      </c>
      <c r="B27" s="4">
        <v>47</v>
      </c>
      <c r="C27">
        <f>IF(AND(COUNTIF(Control!$D$20:$D$100,$B27)=0,COUNTIF(Control!$D$20:$D$100,C$2)=0),VISUM_Freeway_OD!C27*Control!$B$2,0)</f>
        <v>0</v>
      </c>
      <c r="D27">
        <f>IF(AND(COUNTIF(Control!$D$20:$D$100,$B27)=0,COUNTIF(Control!$D$20:$D$100,D$2)=0),VISUM_Freeway_OD!D27*Control!$B$2,0)</f>
        <v>0</v>
      </c>
      <c r="E27">
        <f>IF(AND(COUNTIF(Control!$D$20:$D$100,$B27)=0,COUNTIF(Control!$D$20:$D$100,E$2)=0),VISUM_Freeway_OD!E27*Control!$B$2,0)</f>
        <v>0</v>
      </c>
      <c r="F27">
        <f>IF(AND(COUNTIF(Control!$D$20:$D$100,$B27)=0,COUNTIF(Control!$D$20:$D$100,F$2)=0),VISUM_Freeway_OD!F27*Control!$B$2,0)</f>
        <v>0</v>
      </c>
      <c r="G27">
        <f>IF(AND(COUNTIF(Control!$D$20:$D$100,$B27)=0,COUNTIF(Control!$D$20:$D$100,G$2)=0),VISUM_Freeway_OD!G27*Control!$B$2,0)</f>
        <v>0</v>
      </c>
      <c r="H27">
        <f>IF(AND(COUNTIF(Control!$D$20:$D$100,$B27)=0,COUNTIF(Control!$D$20:$D$100,H$2)=0),VISUM_Freeway_OD!H27*Control!$B$2,0)</f>
        <v>0</v>
      </c>
      <c r="I27">
        <f>IF(AND(COUNTIF(Control!$D$20:$D$100,$B27)=0,COUNTIF(Control!$D$20:$D$100,I$2)=0),VISUM_Freeway_OD!I27*Control!$B$2,0)</f>
        <v>0</v>
      </c>
      <c r="J27">
        <f>IF(AND(COUNTIF(Control!$D$20:$D$100,$B27)=0,COUNTIF(Control!$D$20:$D$100,J$2)=0),VISUM_Freeway_OD!J27*Control!$B$2,0)</f>
        <v>0</v>
      </c>
      <c r="K27">
        <f>IF(AND(COUNTIF(Control!$D$20:$D$100,$B27)=0,COUNTIF(Control!$D$20:$D$100,K$2)=0),VISUM_Freeway_OD!K27*Control!$B$2,0)</f>
        <v>0</v>
      </c>
      <c r="L27">
        <f>IF(AND(COUNTIF(Control!$D$20:$D$100,$B27)=0,COUNTIF(Control!$D$20:$D$100,L$2)=0),VISUM_Freeway_OD!L27*Control!$B$2,0)</f>
        <v>0</v>
      </c>
      <c r="M27">
        <f>IF(AND(COUNTIF(Control!$D$20:$D$100,$B27)=0,COUNTIF(Control!$D$20:$D$100,M$2)=0),VISUM_Freeway_OD!M27*Control!$B$2,0)</f>
        <v>0</v>
      </c>
      <c r="N27">
        <f>IF(AND(COUNTIF(Control!$D$20:$D$100,$B27)=0,COUNTIF(Control!$D$20:$D$100,N$2)=0),VISUM_Freeway_OD!N27*Control!$B$2,0)</f>
        <v>0</v>
      </c>
      <c r="O27">
        <f>IF(AND(COUNTIF(Control!$D$20:$D$100,$B27)=0,COUNTIF(Control!$D$20:$D$100,O$2)=0),VISUM_Freeway_OD!O27*Control!$B$2,0)</f>
        <v>0</v>
      </c>
      <c r="P27">
        <f>IF(AND(COUNTIF(Control!$D$20:$D$100,$B27)=0,COUNTIF(Control!$D$20:$D$100,P$2)=0),VISUM_Freeway_OD!P27*Control!$B$2,0)</f>
        <v>0</v>
      </c>
      <c r="Q27">
        <f>IF(AND(COUNTIF(Control!$D$20:$D$100,$B27)=0,COUNTIF(Control!$D$20:$D$100,Q$2)=0),VISUM_Freeway_OD!Q27*Control!$B$2,0)</f>
        <v>0</v>
      </c>
      <c r="R27">
        <f>IF(AND(COUNTIF(Control!$D$20:$D$100,$B27)=0,COUNTIF(Control!$D$20:$D$100,R$2)=0),VISUM_Freeway_OD!R27*Control!$B$2,0)</f>
        <v>0</v>
      </c>
      <c r="S27">
        <f>IF(AND(COUNTIF(Control!$D$20:$D$100,$B27)=0,COUNTIF(Control!$D$20:$D$100,S$2)=0),VISUM_Freeway_OD!S27*Control!$B$2,0)</f>
        <v>0</v>
      </c>
      <c r="T27">
        <f>IF(AND(COUNTIF(Control!$D$20:$D$100,$B27)=0,COUNTIF(Control!$D$20:$D$100,T$2)=0),VISUM_Freeway_OD!T27*Control!$B$2,0)</f>
        <v>0</v>
      </c>
      <c r="U27">
        <f>IF(AND(COUNTIF(Control!$D$20:$D$100,$B27)=0,COUNTIF(Control!$D$20:$D$100,U$2)=0),VISUM_Freeway_OD!U27*Control!$B$2,0)</f>
        <v>0</v>
      </c>
      <c r="V27">
        <f>IF(AND(COUNTIF(Control!$D$20:$D$100,$B27)=0,COUNTIF(Control!$D$20:$D$100,V$2)=0),VISUM_Freeway_OD!V27*Control!$B$2,0)</f>
        <v>0</v>
      </c>
      <c r="W27">
        <f>IF(AND(COUNTIF(Control!$D$20:$D$100,$B27)=0,COUNTIF(Control!$D$20:$D$100,W$2)=0),VISUM_Freeway_OD!W27*Control!$B$2,0)</f>
        <v>0</v>
      </c>
      <c r="X27">
        <f>IF(AND(COUNTIF(Control!$D$20:$D$100,$B27)=0,COUNTIF(Control!$D$20:$D$100,X$2)=0),VISUM_Freeway_OD!X27*Control!$B$2,0)</f>
        <v>0</v>
      </c>
      <c r="Y27">
        <f>IF(AND(COUNTIF(Control!$D$20:$D$100,$B27)=0,COUNTIF(Control!$D$20:$D$100,Y$2)=0),VISUM_Freeway_OD!Y27*Control!$B$2,0)</f>
        <v>0</v>
      </c>
      <c r="Z27">
        <f>IF(AND(COUNTIF(Control!$D$20:$D$100,$B27)=0,COUNTIF(Control!$D$20:$D$100,Z$2)=0),VISUM_Freeway_OD!Z27*Control!$B$2,0)</f>
        <v>0</v>
      </c>
      <c r="AA27">
        <f>IF(AND(COUNTIF(Control!$D$20:$D$100,$B27)=0,COUNTIF(Control!$D$20:$D$100,AA$2)=0),VISUM_Freeway_OD!AA27*Control!$B$2,0)</f>
        <v>0</v>
      </c>
      <c r="AB27">
        <f>IF(AND(COUNTIF(Control!$D$20:$D$100,$B27)=0,COUNTIF(Control!$D$20:$D$100,AB$2)=0),VISUM_Freeway_OD!AB27*Control!$B$2,0)</f>
        <v>0</v>
      </c>
      <c r="AC27">
        <f>IF(AND(COUNTIF(Control!$D$20:$D$100,$B27)=0,COUNTIF(Control!$D$20:$D$100,AC$2)=0),VISUM_Freeway_OD!AC27*Control!$B$2,0)</f>
        <v>0</v>
      </c>
      <c r="AD27">
        <f>IF(AND(COUNTIF(Control!$D$20:$D$100,$B27)=0,COUNTIF(Control!$D$20:$D$100,AD$2)=0),VISUM_Freeway_OD!AD27*Control!$B$2,0)</f>
        <v>0</v>
      </c>
      <c r="AE27">
        <f>IF(AND(COUNTIF(Control!$D$20:$D$100,$B27)=0,COUNTIF(Control!$D$20:$D$100,AE$2)=0),VISUM_Freeway_OD!AE27*Control!$B$2,0)</f>
        <v>0</v>
      </c>
      <c r="AF27">
        <f>IF(AND(COUNTIF(Control!$D$20:$D$100,$B27)=0,COUNTIF(Control!$D$20:$D$100,AF$2)=0),VISUM_Freeway_OD!AF27*Control!$B$2,0)</f>
        <v>0</v>
      </c>
      <c r="AG27">
        <f>IF(AND(COUNTIF(Control!$D$20:$D$100,$B27)=0,COUNTIF(Control!$D$20:$D$100,AG$2)=0),VISUM_Freeway_OD!AG27*Control!$B$2,0)</f>
        <v>0</v>
      </c>
      <c r="AH27">
        <f>IF(AND(COUNTIF(Control!$D$20:$D$100,$B27)=0,COUNTIF(Control!$D$20:$D$100,AH$2)=0),VISUM_Freeway_OD!AH27*Control!$B$2,0)</f>
        <v>0</v>
      </c>
      <c r="AI27">
        <f>IF(AND(COUNTIF(Control!$D$20:$D$100,$B27)=0,COUNTIF(Control!$D$20:$D$100,AI$2)=0),VISUM_Freeway_OD!AI27*Control!$B$2,0)</f>
        <v>0</v>
      </c>
      <c r="AJ27">
        <f>IF(AND(COUNTIF(Control!$D$20:$D$100,$B27)=0,COUNTIF(Control!$D$20:$D$100,AJ$2)=0),VISUM_Freeway_OD!AJ27*Control!$B$2,0)</f>
        <v>0</v>
      </c>
      <c r="AK27">
        <f>IF(AND(COUNTIF(Control!$D$20:$D$100,$B27)=0,COUNTIF(Control!$D$20:$D$100,AK$2)=0),VISUM_Freeway_OD!AK27*Control!$B$2,0)</f>
        <v>0</v>
      </c>
      <c r="AL27">
        <f>IF(AND(COUNTIF(Control!$D$20:$D$100,$B27)=0,COUNTIF(Control!$D$20:$D$100,AL$2)=0),VISUM_Freeway_OD!AL27*Control!$B$2,0)</f>
        <v>0</v>
      </c>
      <c r="AM27">
        <f>IF(AND(COUNTIF(Control!$D$20:$D$100,$B27)=0,COUNTIF(Control!$D$20:$D$100,AM$2)=0),VISUM_Freeway_OD!AM27*Control!$B$2,0)</f>
        <v>0</v>
      </c>
      <c r="AN27">
        <f>IF(AND(COUNTIF(Control!$D$20:$D$100,$B27)=0,COUNTIF(Control!$D$20:$D$100,AN$2)=0),VISUM_Freeway_OD!AN27*Control!$B$2,0)</f>
        <v>0</v>
      </c>
      <c r="AO27">
        <f>IF(AND(COUNTIF(Control!$D$20:$D$100,$B27)=0,COUNTIF(Control!$D$20:$D$100,AO$2)=0),VISUM_Freeway_OD!AO27*Control!$B$2,0)</f>
        <v>0</v>
      </c>
      <c r="AP27">
        <f>IF(AND(COUNTIF(Control!$D$20:$D$100,$B27)=0,COUNTIF(Control!$D$20:$D$100,AP$2)=0),VISUM_Freeway_OD!AP27*Control!$B$2,0)</f>
        <v>0</v>
      </c>
      <c r="AQ27">
        <f>IF(AND(COUNTIF(Control!$D$20:$D$100,$B27)=0,COUNTIF(Control!$D$20:$D$100,AQ$2)=0),VISUM_Freeway_OD!AQ27*Control!$B$2,0)</f>
        <v>0</v>
      </c>
      <c r="AR27">
        <f>IF(AND(COUNTIF(Control!$D$20:$D$100,$B27)=0,COUNTIF(Control!$D$20:$D$100,AR$2)=0),VISUM_Freeway_OD!AR27*Control!$B$2,0)</f>
        <v>0</v>
      </c>
      <c r="AS27">
        <f>IF(AND(COUNTIF(Control!$D$20:$D$100,$B27)=0,COUNTIF(Control!$D$20:$D$100,AS$2)=0),VISUM_Freeway_OD!AS27*Control!$B$2,0)</f>
        <v>0</v>
      </c>
      <c r="AT27">
        <f>IF(AND(COUNTIF(Control!$D$20:$D$100,$B27)=0,COUNTIF(Control!$D$20:$D$100,AT$2)=0),VISUM_Freeway_OD!AT27*Control!$B$2,0)</f>
        <v>0</v>
      </c>
      <c r="AU27">
        <f>IF(AND(COUNTIF(Control!$D$20:$D$100,$B27)=0,COUNTIF(Control!$D$20:$D$100,AU$2)=0),VISUM_Freeway_OD!AU27*Control!$B$2,0)</f>
        <v>0</v>
      </c>
      <c r="AV27">
        <f>IF(AND(COUNTIF(Control!$D$20:$D$100,$B27)=0,COUNTIF(Control!$D$20:$D$100,AV$2)=0),VISUM_Freeway_OD!AV27*Control!$B$2,0)</f>
        <v>0</v>
      </c>
      <c r="AW27">
        <f>IF(AND(COUNTIF(Control!$D$20:$D$100,$B27)=0,COUNTIF(Control!$D$20:$D$100,AW$2)=0),VISUM_Freeway_OD!AW27*Control!$B$2,0)</f>
        <v>0</v>
      </c>
      <c r="AX27">
        <f>IF(AND(COUNTIF(Control!$D$20:$D$100,$B27)=0,COUNTIF(Control!$D$20:$D$100,AX$2)=0),VISUM_Freeway_OD!AX27*Control!$B$2,0)</f>
        <v>0</v>
      </c>
      <c r="AY27">
        <f>IF(AND(COUNTIF(Control!$D$20:$D$100,$B27)=0,COUNTIF(Control!$D$20:$D$100,AY$2)=0),VISUM_Freeway_OD!AY27*Control!$B$2,0)</f>
        <v>0</v>
      </c>
    </row>
    <row r="28" spans="1:51" x14ac:dyDescent="0.25">
      <c r="A28" s="4" t="str">
        <f>IF(VLOOKUP(B28,Freeway_Zone_Link_Mapping!$A:$C,2,FALSE)&lt;&gt;"",VLOOKUP(B28,Freeway_Zone_Link_Mapping!$A:$C,2,FALSE),"")</f>
        <v/>
      </c>
      <c r="B28" s="4">
        <v>48</v>
      </c>
      <c r="C28">
        <f>IF(AND(COUNTIF(Control!$D$20:$D$100,$B28)=0,COUNTIF(Control!$D$20:$D$100,C$2)=0),VISUM_Freeway_OD!C28*Control!$B$2,0)</f>
        <v>0</v>
      </c>
      <c r="D28">
        <f>IF(AND(COUNTIF(Control!$D$20:$D$100,$B28)=0,COUNTIF(Control!$D$20:$D$100,D$2)=0),VISUM_Freeway_OD!D28*Control!$B$2,0)</f>
        <v>0</v>
      </c>
      <c r="E28">
        <f>IF(AND(COUNTIF(Control!$D$20:$D$100,$B28)=0,COUNTIF(Control!$D$20:$D$100,E$2)=0),VISUM_Freeway_OD!E28*Control!$B$2,0)</f>
        <v>0</v>
      </c>
      <c r="F28">
        <f>IF(AND(COUNTIF(Control!$D$20:$D$100,$B28)=0,COUNTIF(Control!$D$20:$D$100,F$2)=0),VISUM_Freeway_OD!F28*Control!$B$2,0)</f>
        <v>0</v>
      </c>
      <c r="G28">
        <f>IF(AND(COUNTIF(Control!$D$20:$D$100,$B28)=0,COUNTIF(Control!$D$20:$D$100,G$2)=0),VISUM_Freeway_OD!G28*Control!$B$2,0)</f>
        <v>0</v>
      </c>
      <c r="H28">
        <f>IF(AND(COUNTIF(Control!$D$20:$D$100,$B28)=0,COUNTIF(Control!$D$20:$D$100,H$2)=0),VISUM_Freeway_OD!H28*Control!$B$2,0)</f>
        <v>0</v>
      </c>
      <c r="I28">
        <f>IF(AND(COUNTIF(Control!$D$20:$D$100,$B28)=0,COUNTIF(Control!$D$20:$D$100,I$2)=0),VISUM_Freeway_OD!I28*Control!$B$2,0)</f>
        <v>0</v>
      </c>
      <c r="J28">
        <f>IF(AND(COUNTIF(Control!$D$20:$D$100,$B28)=0,COUNTIF(Control!$D$20:$D$100,J$2)=0),VISUM_Freeway_OD!J28*Control!$B$2,0)</f>
        <v>0</v>
      </c>
      <c r="K28">
        <f>IF(AND(COUNTIF(Control!$D$20:$D$100,$B28)=0,COUNTIF(Control!$D$20:$D$100,K$2)=0),VISUM_Freeway_OD!K28*Control!$B$2,0)</f>
        <v>0</v>
      </c>
      <c r="L28">
        <f>IF(AND(COUNTIF(Control!$D$20:$D$100,$B28)=0,COUNTIF(Control!$D$20:$D$100,L$2)=0),VISUM_Freeway_OD!L28*Control!$B$2,0)</f>
        <v>0</v>
      </c>
      <c r="M28">
        <f>IF(AND(COUNTIF(Control!$D$20:$D$100,$B28)=0,COUNTIF(Control!$D$20:$D$100,M$2)=0),VISUM_Freeway_OD!M28*Control!$B$2,0)</f>
        <v>0</v>
      </c>
      <c r="N28">
        <f>IF(AND(COUNTIF(Control!$D$20:$D$100,$B28)=0,COUNTIF(Control!$D$20:$D$100,N$2)=0),VISUM_Freeway_OD!N28*Control!$B$2,0)</f>
        <v>0</v>
      </c>
      <c r="O28">
        <f>IF(AND(COUNTIF(Control!$D$20:$D$100,$B28)=0,COUNTIF(Control!$D$20:$D$100,O$2)=0),VISUM_Freeway_OD!O28*Control!$B$2,0)</f>
        <v>0</v>
      </c>
      <c r="P28">
        <f>IF(AND(COUNTIF(Control!$D$20:$D$100,$B28)=0,COUNTIF(Control!$D$20:$D$100,P$2)=0),VISUM_Freeway_OD!P28*Control!$B$2,0)</f>
        <v>0</v>
      </c>
      <c r="Q28">
        <f>IF(AND(COUNTIF(Control!$D$20:$D$100,$B28)=0,COUNTIF(Control!$D$20:$D$100,Q$2)=0),VISUM_Freeway_OD!Q28*Control!$B$2,0)</f>
        <v>0</v>
      </c>
      <c r="R28">
        <f>IF(AND(COUNTIF(Control!$D$20:$D$100,$B28)=0,COUNTIF(Control!$D$20:$D$100,R$2)=0),VISUM_Freeway_OD!R28*Control!$B$2,0)</f>
        <v>0</v>
      </c>
      <c r="S28">
        <f>IF(AND(COUNTIF(Control!$D$20:$D$100,$B28)=0,COUNTIF(Control!$D$20:$D$100,S$2)=0),VISUM_Freeway_OD!S28*Control!$B$2,0)</f>
        <v>0</v>
      </c>
      <c r="T28">
        <f>IF(AND(COUNTIF(Control!$D$20:$D$100,$B28)=0,COUNTIF(Control!$D$20:$D$100,T$2)=0),VISUM_Freeway_OD!T28*Control!$B$2,0)</f>
        <v>0</v>
      </c>
      <c r="U28">
        <f>IF(AND(COUNTIF(Control!$D$20:$D$100,$B28)=0,COUNTIF(Control!$D$20:$D$100,U$2)=0),VISUM_Freeway_OD!U28*Control!$B$2,0)</f>
        <v>0</v>
      </c>
      <c r="V28">
        <f>IF(AND(COUNTIF(Control!$D$20:$D$100,$B28)=0,COUNTIF(Control!$D$20:$D$100,V$2)=0),VISUM_Freeway_OD!V28*Control!$B$2,0)</f>
        <v>0</v>
      </c>
      <c r="W28">
        <f>IF(AND(COUNTIF(Control!$D$20:$D$100,$B28)=0,COUNTIF(Control!$D$20:$D$100,W$2)=0),VISUM_Freeway_OD!W28*Control!$B$2,0)</f>
        <v>0</v>
      </c>
      <c r="X28">
        <f>IF(AND(COUNTIF(Control!$D$20:$D$100,$B28)=0,COUNTIF(Control!$D$20:$D$100,X$2)=0),VISUM_Freeway_OD!X28*Control!$B$2,0)</f>
        <v>0</v>
      </c>
      <c r="Y28">
        <f>IF(AND(COUNTIF(Control!$D$20:$D$100,$B28)=0,COUNTIF(Control!$D$20:$D$100,Y$2)=0),VISUM_Freeway_OD!Y28*Control!$B$2,0)</f>
        <v>0</v>
      </c>
      <c r="Z28">
        <f>IF(AND(COUNTIF(Control!$D$20:$D$100,$B28)=0,COUNTIF(Control!$D$20:$D$100,Z$2)=0),VISUM_Freeway_OD!Z28*Control!$B$2,0)</f>
        <v>0</v>
      </c>
      <c r="AA28">
        <f>IF(AND(COUNTIF(Control!$D$20:$D$100,$B28)=0,COUNTIF(Control!$D$20:$D$100,AA$2)=0),VISUM_Freeway_OD!AA28*Control!$B$2,0)</f>
        <v>0</v>
      </c>
      <c r="AB28">
        <f>IF(AND(COUNTIF(Control!$D$20:$D$100,$B28)=0,COUNTIF(Control!$D$20:$D$100,AB$2)=0),VISUM_Freeway_OD!AB28*Control!$B$2,0)</f>
        <v>0</v>
      </c>
      <c r="AC28">
        <f>IF(AND(COUNTIF(Control!$D$20:$D$100,$B28)=0,COUNTIF(Control!$D$20:$D$100,AC$2)=0),VISUM_Freeway_OD!AC28*Control!$B$2,0)</f>
        <v>0</v>
      </c>
      <c r="AD28">
        <f>IF(AND(COUNTIF(Control!$D$20:$D$100,$B28)=0,COUNTIF(Control!$D$20:$D$100,AD$2)=0),VISUM_Freeway_OD!AD28*Control!$B$2,0)</f>
        <v>0</v>
      </c>
      <c r="AE28">
        <f>IF(AND(COUNTIF(Control!$D$20:$D$100,$B28)=0,COUNTIF(Control!$D$20:$D$100,AE$2)=0),VISUM_Freeway_OD!AE28*Control!$B$2,0)</f>
        <v>0</v>
      </c>
      <c r="AF28">
        <f>IF(AND(COUNTIF(Control!$D$20:$D$100,$B28)=0,COUNTIF(Control!$D$20:$D$100,AF$2)=0),VISUM_Freeway_OD!AF28*Control!$B$2,0)</f>
        <v>0</v>
      </c>
      <c r="AG28">
        <f>IF(AND(COUNTIF(Control!$D$20:$D$100,$B28)=0,COUNTIF(Control!$D$20:$D$100,AG$2)=0),VISUM_Freeway_OD!AG28*Control!$B$2,0)</f>
        <v>0</v>
      </c>
      <c r="AH28">
        <f>IF(AND(COUNTIF(Control!$D$20:$D$100,$B28)=0,COUNTIF(Control!$D$20:$D$100,AH$2)=0),VISUM_Freeway_OD!AH28*Control!$B$2,0)</f>
        <v>0</v>
      </c>
      <c r="AI28">
        <f>IF(AND(COUNTIF(Control!$D$20:$D$100,$B28)=0,COUNTIF(Control!$D$20:$D$100,AI$2)=0),VISUM_Freeway_OD!AI28*Control!$B$2,0)</f>
        <v>0</v>
      </c>
      <c r="AJ28">
        <f>IF(AND(COUNTIF(Control!$D$20:$D$100,$B28)=0,COUNTIF(Control!$D$20:$D$100,AJ$2)=0),VISUM_Freeway_OD!AJ28*Control!$B$2,0)</f>
        <v>0</v>
      </c>
      <c r="AK28">
        <f>IF(AND(COUNTIF(Control!$D$20:$D$100,$B28)=0,COUNTIF(Control!$D$20:$D$100,AK$2)=0),VISUM_Freeway_OD!AK28*Control!$B$2,0)</f>
        <v>0</v>
      </c>
      <c r="AL28">
        <f>IF(AND(COUNTIF(Control!$D$20:$D$100,$B28)=0,COUNTIF(Control!$D$20:$D$100,AL$2)=0),VISUM_Freeway_OD!AL28*Control!$B$2,0)</f>
        <v>0</v>
      </c>
      <c r="AM28">
        <f>IF(AND(COUNTIF(Control!$D$20:$D$100,$B28)=0,COUNTIF(Control!$D$20:$D$100,AM$2)=0),VISUM_Freeway_OD!AM28*Control!$B$2,0)</f>
        <v>0</v>
      </c>
      <c r="AN28">
        <f>IF(AND(COUNTIF(Control!$D$20:$D$100,$B28)=0,COUNTIF(Control!$D$20:$D$100,AN$2)=0),VISUM_Freeway_OD!AN28*Control!$B$2,0)</f>
        <v>0</v>
      </c>
      <c r="AO28">
        <f>IF(AND(COUNTIF(Control!$D$20:$D$100,$B28)=0,COUNTIF(Control!$D$20:$D$100,AO$2)=0),VISUM_Freeway_OD!AO28*Control!$B$2,0)</f>
        <v>0</v>
      </c>
      <c r="AP28">
        <f>IF(AND(COUNTIF(Control!$D$20:$D$100,$B28)=0,COUNTIF(Control!$D$20:$D$100,AP$2)=0),VISUM_Freeway_OD!AP28*Control!$B$2,0)</f>
        <v>0</v>
      </c>
      <c r="AQ28">
        <f>IF(AND(COUNTIF(Control!$D$20:$D$100,$B28)=0,COUNTIF(Control!$D$20:$D$100,AQ$2)=0),VISUM_Freeway_OD!AQ28*Control!$B$2,0)</f>
        <v>0</v>
      </c>
      <c r="AR28">
        <f>IF(AND(COUNTIF(Control!$D$20:$D$100,$B28)=0,COUNTIF(Control!$D$20:$D$100,AR$2)=0),VISUM_Freeway_OD!AR28*Control!$B$2,0)</f>
        <v>0</v>
      </c>
      <c r="AS28">
        <f>IF(AND(COUNTIF(Control!$D$20:$D$100,$B28)=0,COUNTIF(Control!$D$20:$D$100,AS$2)=0),VISUM_Freeway_OD!AS28*Control!$B$2,0)</f>
        <v>0</v>
      </c>
      <c r="AT28">
        <f>IF(AND(COUNTIF(Control!$D$20:$D$100,$B28)=0,COUNTIF(Control!$D$20:$D$100,AT$2)=0),VISUM_Freeway_OD!AT28*Control!$B$2,0)</f>
        <v>0</v>
      </c>
      <c r="AU28">
        <f>IF(AND(COUNTIF(Control!$D$20:$D$100,$B28)=0,COUNTIF(Control!$D$20:$D$100,AU$2)=0),VISUM_Freeway_OD!AU28*Control!$B$2,0)</f>
        <v>0</v>
      </c>
      <c r="AV28">
        <f>IF(AND(COUNTIF(Control!$D$20:$D$100,$B28)=0,COUNTIF(Control!$D$20:$D$100,AV$2)=0),VISUM_Freeway_OD!AV28*Control!$B$2,0)</f>
        <v>0</v>
      </c>
      <c r="AW28">
        <f>IF(AND(COUNTIF(Control!$D$20:$D$100,$B28)=0,COUNTIF(Control!$D$20:$D$100,AW$2)=0),VISUM_Freeway_OD!AW28*Control!$B$2,0)</f>
        <v>0</v>
      </c>
      <c r="AX28">
        <f>IF(AND(COUNTIF(Control!$D$20:$D$100,$B28)=0,COUNTIF(Control!$D$20:$D$100,AX$2)=0),VISUM_Freeway_OD!AX28*Control!$B$2,0)</f>
        <v>0</v>
      </c>
      <c r="AY28">
        <f>IF(AND(COUNTIF(Control!$D$20:$D$100,$B28)=0,COUNTIF(Control!$D$20:$D$100,AY$2)=0),VISUM_Freeway_OD!AY28*Control!$B$2,0)</f>
        <v>0</v>
      </c>
    </row>
    <row r="29" spans="1:51" x14ac:dyDescent="0.25">
      <c r="A29" s="4">
        <f>IF(VLOOKUP(B29,Freeway_Zone_Link_Mapping!$A:$C,2,FALSE)&lt;&gt;"",VLOOKUP(B29,Freeway_Zone_Link_Mapping!$A:$C,2,FALSE),"")</f>
        <v>500</v>
      </c>
      <c r="B29" s="4">
        <v>49</v>
      </c>
      <c r="C29">
        <f>IF(AND(COUNTIF(Control!$D$20:$D$100,$B29)=0,COUNTIF(Control!$D$20:$D$100,C$2)=0),VISUM_Freeway_OD!C29*Control!$B$2,0)</f>
        <v>0</v>
      </c>
      <c r="D29">
        <f>IF(AND(COUNTIF(Control!$D$20:$D$100,$B29)=0,COUNTIF(Control!$D$20:$D$100,D$2)=0),VISUM_Freeway_OD!D29*Control!$B$2,0)</f>
        <v>0</v>
      </c>
      <c r="E29">
        <f>IF(AND(COUNTIF(Control!$D$20:$D$100,$B29)=0,COUNTIF(Control!$D$20:$D$100,E$2)=0),VISUM_Freeway_OD!E29*Control!$B$2,0)</f>
        <v>0</v>
      </c>
      <c r="F29">
        <f>IF(AND(COUNTIF(Control!$D$20:$D$100,$B29)=0,COUNTIF(Control!$D$20:$D$100,F$2)=0),VISUM_Freeway_OD!F29*Control!$B$2,0)</f>
        <v>0</v>
      </c>
      <c r="G29">
        <f>IF(AND(COUNTIF(Control!$D$20:$D$100,$B29)=0,COUNTIF(Control!$D$20:$D$100,G$2)=0),VISUM_Freeway_OD!G29*Control!$B$2,0)</f>
        <v>0</v>
      </c>
      <c r="H29">
        <f>IF(AND(COUNTIF(Control!$D$20:$D$100,$B29)=0,COUNTIF(Control!$D$20:$D$100,H$2)=0),VISUM_Freeway_OD!H29*Control!$B$2,0)</f>
        <v>0</v>
      </c>
      <c r="I29">
        <f>IF(AND(COUNTIF(Control!$D$20:$D$100,$B29)=0,COUNTIF(Control!$D$20:$D$100,I$2)=0),VISUM_Freeway_OD!I29*Control!$B$2,0)</f>
        <v>0</v>
      </c>
      <c r="J29">
        <f>IF(AND(COUNTIF(Control!$D$20:$D$100,$B29)=0,COUNTIF(Control!$D$20:$D$100,J$2)=0),VISUM_Freeway_OD!J29*Control!$B$2,0)</f>
        <v>0</v>
      </c>
      <c r="K29">
        <f>IF(AND(COUNTIF(Control!$D$20:$D$100,$B29)=0,COUNTIF(Control!$D$20:$D$100,K$2)=0),VISUM_Freeway_OD!K29*Control!$B$2,0)</f>
        <v>2.0972003699999999</v>
      </c>
      <c r="L29">
        <f>IF(AND(COUNTIF(Control!$D$20:$D$100,$B29)=0,COUNTIF(Control!$D$20:$D$100,L$2)=0),VISUM_Freeway_OD!L29*Control!$B$2,0)</f>
        <v>0</v>
      </c>
      <c r="M29">
        <f>IF(AND(COUNTIF(Control!$D$20:$D$100,$B29)=0,COUNTIF(Control!$D$20:$D$100,M$2)=0),VISUM_Freeway_OD!M29*Control!$B$2,0)</f>
        <v>0</v>
      </c>
      <c r="N29">
        <f>IF(AND(COUNTIF(Control!$D$20:$D$100,$B29)=0,COUNTIF(Control!$D$20:$D$100,N$2)=0),VISUM_Freeway_OD!N29*Control!$B$2,0)</f>
        <v>0</v>
      </c>
      <c r="O29">
        <f>IF(AND(COUNTIF(Control!$D$20:$D$100,$B29)=0,COUNTIF(Control!$D$20:$D$100,O$2)=0),VISUM_Freeway_OD!O29*Control!$B$2,0)</f>
        <v>0</v>
      </c>
      <c r="P29">
        <f>IF(AND(COUNTIF(Control!$D$20:$D$100,$B29)=0,COUNTIF(Control!$D$20:$D$100,P$2)=0),VISUM_Freeway_OD!P29*Control!$B$2,0)</f>
        <v>0</v>
      </c>
      <c r="Q29">
        <f>IF(AND(COUNTIF(Control!$D$20:$D$100,$B29)=0,COUNTIF(Control!$D$20:$D$100,Q$2)=0),VISUM_Freeway_OD!Q29*Control!$B$2,0)</f>
        <v>0</v>
      </c>
      <c r="R29">
        <f>IF(AND(COUNTIF(Control!$D$20:$D$100,$B29)=0,COUNTIF(Control!$D$20:$D$100,R$2)=0),VISUM_Freeway_OD!R29*Control!$B$2,0)</f>
        <v>0</v>
      </c>
      <c r="S29">
        <f>IF(AND(COUNTIF(Control!$D$20:$D$100,$B29)=0,COUNTIF(Control!$D$20:$D$100,S$2)=0),VISUM_Freeway_OD!S29*Control!$B$2,0)</f>
        <v>0</v>
      </c>
      <c r="T29">
        <f>IF(AND(COUNTIF(Control!$D$20:$D$100,$B29)=0,COUNTIF(Control!$D$20:$D$100,T$2)=0),VISUM_Freeway_OD!T29*Control!$B$2,0)</f>
        <v>0</v>
      </c>
      <c r="U29">
        <f>IF(AND(COUNTIF(Control!$D$20:$D$100,$B29)=0,COUNTIF(Control!$D$20:$D$100,U$2)=0),VISUM_Freeway_OD!U29*Control!$B$2,0)</f>
        <v>0</v>
      </c>
      <c r="V29">
        <f>IF(AND(COUNTIF(Control!$D$20:$D$100,$B29)=0,COUNTIF(Control!$D$20:$D$100,V$2)=0),VISUM_Freeway_OD!V29*Control!$B$2,0)</f>
        <v>0</v>
      </c>
      <c r="W29">
        <f>IF(AND(COUNTIF(Control!$D$20:$D$100,$B29)=0,COUNTIF(Control!$D$20:$D$100,W$2)=0),VISUM_Freeway_OD!W29*Control!$B$2,0)</f>
        <v>0</v>
      </c>
      <c r="X29">
        <f>IF(AND(COUNTIF(Control!$D$20:$D$100,$B29)=0,COUNTIF(Control!$D$20:$D$100,X$2)=0),VISUM_Freeway_OD!X29*Control!$B$2,0)</f>
        <v>0</v>
      </c>
      <c r="Y29">
        <f>IF(AND(COUNTIF(Control!$D$20:$D$100,$B29)=0,COUNTIF(Control!$D$20:$D$100,Y$2)=0),VISUM_Freeway_OD!Y29*Control!$B$2,0)</f>
        <v>0</v>
      </c>
      <c r="Z29">
        <f>IF(AND(COUNTIF(Control!$D$20:$D$100,$B29)=0,COUNTIF(Control!$D$20:$D$100,Z$2)=0),VISUM_Freeway_OD!Z29*Control!$B$2,0)</f>
        <v>0</v>
      </c>
      <c r="AA29">
        <f>IF(AND(COUNTIF(Control!$D$20:$D$100,$B29)=0,COUNTIF(Control!$D$20:$D$100,AA$2)=0),VISUM_Freeway_OD!AA29*Control!$B$2,0)</f>
        <v>0</v>
      </c>
      <c r="AB29">
        <f>IF(AND(COUNTIF(Control!$D$20:$D$100,$B29)=0,COUNTIF(Control!$D$20:$D$100,AB$2)=0),VISUM_Freeway_OD!AB29*Control!$B$2,0)</f>
        <v>0</v>
      </c>
      <c r="AC29">
        <f>IF(AND(COUNTIF(Control!$D$20:$D$100,$B29)=0,COUNTIF(Control!$D$20:$D$100,AC$2)=0),VISUM_Freeway_OD!AC29*Control!$B$2,0)</f>
        <v>0</v>
      </c>
      <c r="AD29">
        <f>IF(AND(COUNTIF(Control!$D$20:$D$100,$B29)=0,COUNTIF(Control!$D$20:$D$100,AD$2)=0),VISUM_Freeway_OD!AD29*Control!$B$2,0)</f>
        <v>0</v>
      </c>
      <c r="AE29">
        <f>IF(AND(COUNTIF(Control!$D$20:$D$100,$B29)=0,COUNTIF(Control!$D$20:$D$100,AE$2)=0),VISUM_Freeway_OD!AE29*Control!$B$2,0)</f>
        <v>0</v>
      </c>
      <c r="AF29">
        <f>IF(AND(COUNTIF(Control!$D$20:$D$100,$B29)=0,COUNTIF(Control!$D$20:$D$100,AF$2)=0),VISUM_Freeway_OD!AF29*Control!$B$2,0)</f>
        <v>0</v>
      </c>
      <c r="AG29">
        <f>IF(AND(COUNTIF(Control!$D$20:$D$100,$B29)=0,COUNTIF(Control!$D$20:$D$100,AG$2)=0),VISUM_Freeway_OD!AG29*Control!$B$2,0)</f>
        <v>0</v>
      </c>
      <c r="AH29">
        <f>IF(AND(COUNTIF(Control!$D$20:$D$100,$B29)=0,COUNTIF(Control!$D$20:$D$100,AH$2)=0),VISUM_Freeway_OD!AH29*Control!$B$2,0)</f>
        <v>0</v>
      </c>
      <c r="AI29">
        <f>IF(AND(COUNTIF(Control!$D$20:$D$100,$B29)=0,COUNTIF(Control!$D$20:$D$100,AI$2)=0),VISUM_Freeway_OD!AI29*Control!$B$2,0)</f>
        <v>0</v>
      </c>
      <c r="AJ29">
        <f>IF(AND(COUNTIF(Control!$D$20:$D$100,$B29)=0,COUNTIF(Control!$D$20:$D$100,AJ$2)=0),VISUM_Freeway_OD!AJ29*Control!$B$2,0)</f>
        <v>0</v>
      </c>
      <c r="AK29">
        <f>IF(AND(COUNTIF(Control!$D$20:$D$100,$B29)=0,COUNTIF(Control!$D$20:$D$100,AK$2)=0),VISUM_Freeway_OD!AK29*Control!$B$2,0)</f>
        <v>0</v>
      </c>
      <c r="AL29">
        <f>IF(AND(COUNTIF(Control!$D$20:$D$100,$B29)=0,COUNTIF(Control!$D$20:$D$100,AL$2)=0),VISUM_Freeway_OD!AL29*Control!$B$2,0)</f>
        <v>0</v>
      </c>
      <c r="AM29">
        <f>IF(AND(COUNTIF(Control!$D$20:$D$100,$B29)=0,COUNTIF(Control!$D$20:$D$100,AM$2)=0),VISUM_Freeway_OD!AM29*Control!$B$2,0)</f>
        <v>0</v>
      </c>
      <c r="AN29">
        <f>IF(AND(COUNTIF(Control!$D$20:$D$100,$B29)=0,COUNTIF(Control!$D$20:$D$100,AN$2)=0),VISUM_Freeway_OD!AN29*Control!$B$2,0)</f>
        <v>0</v>
      </c>
      <c r="AO29">
        <f>IF(AND(COUNTIF(Control!$D$20:$D$100,$B29)=0,COUNTIF(Control!$D$20:$D$100,AO$2)=0),VISUM_Freeway_OD!AO29*Control!$B$2,0)</f>
        <v>0</v>
      </c>
      <c r="AP29">
        <f>IF(AND(COUNTIF(Control!$D$20:$D$100,$B29)=0,COUNTIF(Control!$D$20:$D$100,AP$2)=0),VISUM_Freeway_OD!AP29*Control!$B$2,0)</f>
        <v>0</v>
      </c>
      <c r="AQ29">
        <f>IF(AND(COUNTIF(Control!$D$20:$D$100,$B29)=0,COUNTIF(Control!$D$20:$D$100,AQ$2)=0),VISUM_Freeway_OD!AQ29*Control!$B$2,0)</f>
        <v>0</v>
      </c>
      <c r="AR29">
        <f>IF(AND(COUNTIF(Control!$D$20:$D$100,$B29)=0,COUNTIF(Control!$D$20:$D$100,AR$2)=0),VISUM_Freeway_OD!AR29*Control!$B$2,0)</f>
        <v>0</v>
      </c>
      <c r="AS29">
        <f>IF(AND(COUNTIF(Control!$D$20:$D$100,$B29)=0,COUNTIF(Control!$D$20:$D$100,AS$2)=0),VISUM_Freeway_OD!AS29*Control!$B$2,0)</f>
        <v>0</v>
      </c>
      <c r="AT29">
        <f>IF(AND(COUNTIF(Control!$D$20:$D$100,$B29)=0,COUNTIF(Control!$D$20:$D$100,AT$2)=0),VISUM_Freeway_OD!AT29*Control!$B$2,0)</f>
        <v>0</v>
      </c>
      <c r="AU29">
        <f>IF(AND(COUNTIF(Control!$D$20:$D$100,$B29)=0,COUNTIF(Control!$D$20:$D$100,AU$2)=0),VISUM_Freeway_OD!AU29*Control!$B$2,0)</f>
        <v>0</v>
      </c>
      <c r="AV29">
        <f>IF(AND(COUNTIF(Control!$D$20:$D$100,$B29)=0,COUNTIF(Control!$D$20:$D$100,AV$2)=0),VISUM_Freeway_OD!AV29*Control!$B$2,0)</f>
        <v>0</v>
      </c>
      <c r="AW29">
        <f>IF(AND(COUNTIF(Control!$D$20:$D$100,$B29)=0,COUNTIF(Control!$D$20:$D$100,AW$2)=0),VISUM_Freeway_OD!AW29*Control!$B$2,0)</f>
        <v>0</v>
      </c>
      <c r="AX29">
        <f>IF(AND(COUNTIF(Control!$D$20:$D$100,$B29)=0,COUNTIF(Control!$D$20:$D$100,AX$2)=0),VISUM_Freeway_OD!AX29*Control!$B$2,0)</f>
        <v>0</v>
      </c>
      <c r="AY29">
        <f>IF(AND(COUNTIF(Control!$D$20:$D$100,$B29)=0,COUNTIF(Control!$D$20:$D$100,AY$2)=0),VISUM_Freeway_OD!AY29*Control!$B$2,0)</f>
        <v>0</v>
      </c>
    </row>
    <row r="30" spans="1:51" x14ac:dyDescent="0.25">
      <c r="A30" s="4">
        <f>IF(VLOOKUP(B30,Freeway_Zone_Link_Mapping!$A:$C,2,FALSE)&lt;&gt;"",VLOOKUP(B30,Freeway_Zone_Link_Mapping!$A:$C,2,FALSE),"")</f>
        <v>384</v>
      </c>
      <c r="B30" s="4">
        <v>50</v>
      </c>
      <c r="C30">
        <f>IF(AND(COUNTIF(Control!$D$20:$D$100,$B30)=0,COUNTIF(Control!$D$20:$D$100,C$2)=0),VISUM_Freeway_OD!C30*Control!$B$2,0)</f>
        <v>0</v>
      </c>
      <c r="D30">
        <f>IF(AND(COUNTIF(Control!$D$20:$D$100,$B30)=0,COUNTIF(Control!$D$20:$D$100,D$2)=0),VISUM_Freeway_OD!D30*Control!$B$2,0)</f>
        <v>0</v>
      </c>
      <c r="E30">
        <f>IF(AND(COUNTIF(Control!$D$20:$D$100,$B30)=0,COUNTIF(Control!$D$20:$D$100,E$2)=0),VISUM_Freeway_OD!E30*Control!$B$2,0)</f>
        <v>0</v>
      </c>
      <c r="F30">
        <f>IF(AND(COUNTIF(Control!$D$20:$D$100,$B30)=0,COUNTIF(Control!$D$20:$D$100,F$2)=0),VISUM_Freeway_OD!F30*Control!$B$2,0)</f>
        <v>0</v>
      </c>
      <c r="G30">
        <f>IF(AND(COUNTIF(Control!$D$20:$D$100,$B30)=0,COUNTIF(Control!$D$20:$D$100,G$2)=0),VISUM_Freeway_OD!G30*Control!$B$2,0)</f>
        <v>0</v>
      </c>
      <c r="H30">
        <f>IF(AND(COUNTIF(Control!$D$20:$D$100,$B30)=0,COUNTIF(Control!$D$20:$D$100,H$2)=0),VISUM_Freeway_OD!H30*Control!$B$2,0)</f>
        <v>0</v>
      </c>
      <c r="I30">
        <f>IF(AND(COUNTIF(Control!$D$20:$D$100,$B30)=0,COUNTIF(Control!$D$20:$D$100,I$2)=0),VISUM_Freeway_OD!I30*Control!$B$2,0)</f>
        <v>0</v>
      </c>
      <c r="J30">
        <f>IF(AND(COUNTIF(Control!$D$20:$D$100,$B30)=0,COUNTIF(Control!$D$20:$D$100,J$2)=0),VISUM_Freeway_OD!J30*Control!$B$2,0)</f>
        <v>0</v>
      </c>
      <c r="K30">
        <f>IF(AND(COUNTIF(Control!$D$20:$D$100,$B30)=0,COUNTIF(Control!$D$20:$D$100,K$2)=0),VISUM_Freeway_OD!K30*Control!$B$2,0)</f>
        <v>15.2796027</v>
      </c>
      <c r="L30">
        <f>IF(AND(COUNTIF(Control!$D$20:$D$100,$B30)=0,COUNTIF(Control!$D$20:$D$100,L$2)=0),VISUM_Freeway_OD!L30*Control!$B$2,0)</f>
        <v>0</v>
      </c>
      <c r="M30">
        <f>IF(AND(COUNTIF(Control!$D$20:$D$100,$B30)=0,COUNTIF(Control!$D$20:$D$100,M$2)=0),VISUM_Freeway_OD!M30*Control!$B$2,0)</f>
        <v>0</v>
      </c>
      <c r="N30">
        <f>IF(AND(COUNTIF(Control!$D$20:$D$100,$B30)=0,COUNTIF(Control!$D$20:$D$100,N$2)=0),VISUM_Freeway_OD!N30*Control!$B$2,0)</f>
        <v>0</v>
      </c>
      <c r="O30">
        <f>IF(AND(COUNTIF(Control!$D$20:$D$100,$B30)=0,COUNTIF(Control!$D$20:$D$100,O$2)=0),VISUM_Freeway_OD!O30*Control!$B$2,0)</f>
        <v>0</v>
      </c>
      <c r="P30">
        <f>IF(AND(COUNTIF(Control!$D$20:$D$100,$B30)=0,COUNTIF(Control!$D$20:$D$100,P$2)=0),VISUM_Freeway_OD!P30*Control!$B$2,0)</f>
        <v>0</v>
      </c>
      <c r="Q30">
        <f>IF(AND(COUNTIF(Control!$D$20:$D$100,$B30)=0,COUNTIF(Control!$D$20:$D$100,Q$2)=0),VISUM_Freeway_OD!Q30*Control!$B$2,0)</f>
        <v>0</v>
      </c>
      <c r="R30">
        <f>IF(AND(COUNTIF(Control!$D$20:$D$100,$B30)=0,COUNTIF(Control!$D$20:$D$100,R$2)=0),VISUM_Freeway_OD!R30*Control!$B$2,0)</f>
        <v>0</v>
      </c>
      <c r="S30">
        <f>IF(AND(COUNTIF(Control!$D$20:$D$100,$B30)=0,COUNTIF(Control!$D$20:$D$100,S$2)=0),VISUM_Freeway_OD!S30*Control!$B$2,0)</f>
        <v>0</v>
      </c>
      <c r="T30">
        <f>IF(AND(COUNTIF(Control!$D$20:$D$100,$B30)=0,COUNTIF(Control!$D$20:$D$100,T$2)=0),VISUM_Freeway_OD!T30*Control!$B$2,0)</f>
        <v>0</v>
      </c>
      <c r="U30">
        <f>IF(AND(COUNTIF(Control!$D$20:$D$100,$B30)=0,COUNTIF(Control!$D$20:$D$100,U$2)=0),VISUM_Freeway_OD!U30*Control!$B$2,0)</f>
        <v>0</v>
      </c>
      <c r="V30">
        <f>IF(AND(COUNTIF(Control!$D$20:$D$100,$B30)=0,COUNTIF(Control!$D$20:$D$100,V$2)=0),VISUM_Freeway_OD!V30*Control!$B$2,0)</f>
        <v>0</v>
      </c>
      <c r="W30">
        <f>IF(AND(COUNTIF(Control!$D$20:$D$100,$B30)=0,COUNTIF(Control!$D$20:$D$100,W$2)=0),VISUM_Freeway_OD!W30*Control!$B$2,0)</f>
        <v>0</v>
      </c>
      <c r="X30">
        <f>IF(AND(COUNTIF(Control!$D$20:$D$100,$B30)=0,COUNTIF(Control!$D$20:$D$100,X$2)=0),VISUM_Freeway_OD!X30*Control!$B$2,0)</f>
        <v>0</v>
      </c>
      <c r="Y30">
        <f>IF(AND(COUNTIF(Control!$D$20:$D$100,$B30)=0,COUNTIF(Control!$D$20:$D$100,Y$2)=0),VISUM_Freeway_OD!Y30*Control!$B$2,0)</f>
        <v>0</v>
      </c>
      <c r="Z30">
        <f>IF(AND(COUNTIF(Control!$D$20:$D$100,$B30)=0,COUNTIF(Control!$D$20:$D$100,Z$2)=0),VISUM_Freeway_OD!Z30*Control!$B$2,0)</f>
        <v>0</v>
      </c>
      <c r="AA30">
        <f>IF(AND(COUNTIF(Control!$D$20:$D$100,$B30)=0,COUNTIF(Control!$D$20:$D$100,AA$2)=0),VISUM_Freeway_OD!AA30*Control!$B$2,0)</f>
        <v>0</v>
      </c>
      <c r="AB30">
        <f>IF(AND(COUNTIF(Control!$D$20:$D$100,$B30)=0,COUNTIF(Control!$D$20:$D$100,AB$2)=0),VISUM_Freeway_OD!AB30*Control!$B$2,0)</f>
        <v>0</v>
      </c>
      <c r="AC30">
        <f>IF(AND(COUNTIF(Control!$D$20:$D$100,$B30)=0,COUNTIF(Control!$D$20:$D$100,AC$2)=0),VISUM_Freeway_OD!AC30*Control!$B$2,0)</f>
        <v>0</v>
      </c>
      <c r="AD30">
        <f>IF(AND(COUNTIF(Control!$D$20:$D$100,$B30)=0,COUNTIF(Control!$D$20:$D$100,AD$2)=0),VISUM_Freeway_OD!AD30*Control!$B$2,0)</f>
        <v>0</v>
      </c>
      <c r="AE30">
        <f>IF(AND(COUNTIF(Control!$D$20:$D$100,$B30)=0,COUNTIF(Control!$D$20:$D$100,AE$2)=0),VISUM_Freeway_OD!AE30*Control!$B$2,0)</f>
        <v>0</v>
      </c>
      <c r="AF30">
        <f>IF(AND(COUNTIF(Control!$D$20:$D$100,$B30)=0,COUNTIF(Control!$D$20:$D$100,AF$2)=0),VISUM_Freeway_OD!AF30*Control!$B$2,0)</f>
        <v>0</v>
      </c>
      <c r="AG30">
        <f>IF(AND(COUNTIF(Control!$D$20:$D$100,$B30)=0,COUNTIF(Control!$D$20:$D$100,AG$2)=0),VISUM_Freeway_OD!AG30*Control!$B$2,0)</f>
        <v>0</v>
      </c>
      <c r="AH30">
        <f>IF(AND(COUNTIF(Control!$D$20:$D$100,$B30)=0,COUNTIF(Control!$D$20:$D$100,AH$2)=0),VISUM_Freeway_OD!AH30*Control!$B$2,0)</f>
        <v>0</v>
      </c>
      <c r="AI30">
        <f>IF(AND(COUNTIF(Control!$D$20:$D$100,$B30)=0,COUNTIF(Control!$D$20:$D$100,AI$2)=0),VISUM_Freeway_OD!AI30*Control!$B$2,0)</f>
        <v>0</v>
      </c>
      <c r="AJ30">
        <f>IF(AND(COUNTIF(Control!$D$20:$D$100,$B30)=0,COUNTIF(Control!$D$20:$D$100,AJ$2)=0),VISUM_Freeway_OD!AJ30*Control!$B$2,0)</f>
        <v>0</v>
      </c>
      <c r="AK30">
        <f>IF(AND(COUNTIF(Control!$D$20:$D$100,$B30)=0,COUNTIF(Control!$D$20:$D$100,AK$2)=0),VISUM_Freeway_OD!AK30*Control!$B$2,0)</f>
        <v>0</v>
      </c>
      <c r="AL30">
        <f>IF(AND(COUNTIF(Control!$D$20:$D$100,$B30)=0,COUNTIF(Control!$D$20:$D$100,AL$2)=0),VISUM_Freeway_OD!AL30*Control!$B$2,0)</f>
        <v>0</v>
      </c>
      <c r="AM30">
        <f>IF(AND(COUNTIF(Control!$D$20:$D$100,$B30)=0,COUNTIF(Control!$D$20:$D$100,AM$2)=0),VISUM_Freeway_OD!AM30*Control!$B$2,0)</f>
        <v>0</v>
      </c>
      <c r="AN30">
        <f>IF(AND(COUNTIF(Control!$D$20:$D$100,$B30)=0,COUNTIF(Control!$D$20:$D$100,AN$2)=0),VISUM_Freeway_OD!AN30*Control!$B$2,0)</f>
        <v>0</v>
      </c>
      <c r="AO30">
        <f>IF(AND(COUNTIF(Control!$D$20:$D$100,$B30)=0,COUNTIF(Control!$D$20:$D$100,AO$2)=0),VISUM_Freeway_OD!AO30*Control!$B$2,0)</f>
        <v>0</v>
      </c>
      <c r="AP30">
        <f>IF(AND(COUNTIF(Control!$D$20:$D$100,$B30)=0,COUNTIF(Control!$D$20:$D$100,AP$2)=0),VISUM_Freeway_OD!AP30*Control!$B$2,0)</f>
        <v>0</v>
      </c>
      <c r="AQ30">
        <f>IF(AND(COUNTIF(Control!$D$20:$D$100,$B30)=0,COUNTIF(Control!$D$20:$D$100,AQ$2)=0),VISUM_Freeway_OD!AQ30*Control!$B$2,0)</f>
        <v>0</v>
      </c>
      <c r="AR30">
        <f>IF(AND(COUNTIF(Control!$D$20:$D$100,$B30)=0,COUNTIF(Control!$D$20:$D$100,AR$2)=0),VISUM_Freeway_OD!AR30*Control!$B$2,0)</f>
        <v>0</v>
      </c>
      <c r="AS30">
        <f>IF(AND(COUNTIF(Control!$D$20:$D$100,$B30)=0,COUNTIF(Control!$D$20:$D$100,AS$2)=0),VISUM_Freeway_OD!AS30*Control!$B$2,0)</f>
        <v>0</v>
      </c>
      <c r="AT30">
        <f>IF(AND(COUNTIF(Control!$D$20:$D$100,$B30)=0,COUNTIF(Control!$D$20:$D$100,AT$2)=0),VISUM_Freeway_OD!AT30*Control!$B$2,0)</f>
        <v>0</v>
      </c>
      <c r="AU30">
        <f>IF(AND(COUNTIF(Control!$D$20:$D$100,$B30)=0,COUNTIF(Control!$D$20:$D$100,AU$2)=0),VISUM_Freeway_OD!AU30*Control!$B$2,0)</f>
        <v>0</v>
      </c>
      <c r="AV30">
        <f>IF(AND(COUNTIF(Control!$D$20:$D$100,$B30)=0,COUNTIF(Control!$D$20:$D$100,AV$2)=0),VISUM_Freeway_OD!AV30*Control!$B$2,0)</f>
        <v>0</v>
      </c>
      <c r="AW30">
        <f>IF(AND(COUNTIF(Control!$D$20:$D$100,$B30)=0,COUNTIF(Control!$D$20:$D$100,AW$2)=0),VISUM_Freeway_OD!AW30*Control!$B$2,0)</f>
        <v>0</v>
      </c>
      <c r="AX30">
        <f>IF(AND(COUNTIF(Control!$D$20:$D$100,$B30)=0,COUNTIF(Control!$D$20:$D$100,AX$2)=0),VISUM_Freeway_OD!AX30*Control!$B$2,0)</f>
        <v>0</v>
      </c>
      <c r="AY30">
        <f>IF(AND(COUNTIF(Control!$D$20:$D$100,$B30)=0,COUNTIF(Control!$D$20:$D$100,AY$2)=0),VISUM_Freeway_OD!AY30*Control!$B$2,0)</f>
        <v>0</v>
      </c>
    </row>
    <row r="31" spans="1:51" x14ac:dyDescent="0.25">
      <c r="A31" s="4" t="str">
        <f>IF(VLOOKUP(B31,Freeway_Zone_Link_Mapping!$A:$C,2,FALSE)&lt;&gt;"",VLOOKUP(B31,Freeway_Zone_Link_Mapping!$A:$C,2,FALSE),"")</f>
        <v/>
      </c>
      <c r="B31" s="4">
        <v>51</v>
      </c>
      <c r="C31">
        <f>IF(AND(COUNTIF(Control!$D$20:$D$100,$B31)=0,COUNTIF(Control!$D$20:$D$100,C$2)=0),VISUM_Freeway_OD!C31*Control!$B$2,0)</f>
        <v>0</v>
      </c>
      <c r="D31">
        <f>IF(AND(COUNTIF(Control!$D$20:$D$100,$B31)=0,COUNTIF(Control!$D$20:$D$100,D$2)=0),VISUM_Freeway_OD!D31*Control!$B$2,0)</f>
        <v>0</v>
      </c>
      <c r="E31">
        <f>IF(AND(COUNTIF(Control!$D$20:$D$100,$B31)=0,COUNTIF(Control!$D$20:$D$100,E$2)=0),VISUM_Freeway_OD!E31*Control!$B$2,0)</f>
        <v>0</v>
      </c>
      <c r="F31">
        <f>IF(AND(COUNTIF(Control!$D$20:$D$100,$B31)=0,COUNTIF(Control!$D$20:$D$100,F$2)=0),VISUM_Freeway_OD!F31*Control!$B$2,0)</f>
        <v>0</v>
      </c>
      <c r="G31">
        <f>IF(AND(COUNTIF(Control!$D$20:$D$100,$B31)=0,COUNTIF(Control!$D$20:$D$100,G$2)=0),VISUM_Freeway_OD!G31*Control!$B$2,0)</f>
        <v>0</v>
      </c>
      <c r="H31">
        <f>IF(AND(COUNTIF(Control!$D$20:$D$100,$B31)=0,COUNTIF(Control!$D$20:$D$100,H$2)=0),VISUM_Freeway_OD!H31*Control!$B$2,0)</f>
        <v>0</v>
      </c>
      <c r="I31">
        <f>IF(AND(COUNTIF(Control!$D$20:$D$100,$B31)=0,COUNTIF(Control!$D$20:$D$100,I$2)=0),VISUM_Freeway_OD!I31*Control!$B$2,0)</f>
        <v>0</v>
      </c>
      <c r="J31">
        <f>IF(AND(COUNTIF(Control!$D$20:$D$100,$B31)=0,COUNTIF(Control!$D$20:$D$100,J$2)=0),VISUM_Freeway_OD!J31*Control!$B$2,0)</f>
        <v>0</v>
      </c>
      <c r="K31">
        <f>IF(AND(COUNTIF(Control!$D$20:$D$100,$B31)=0,COUNTIF(Control!$D$20:$D$100,K$2)=0),VISUM_Freeway_OD!K31*Control!$B$2,0)</f>
        <v>0</v>
      </c>
      <c r="L31">
        <f>IF(AND(COUNTIF(Control!$D$20:$D$100,$B31)=0,COUNTIF(Control!$D$20:$D$100,L$2)=0),VISUM_Freeway_OD!L31*Control!$B$2,0)</f>
        <v>0</v>
      </c>
      <c r="M31">
        <f>IF(AND(COUNTIF(Control!$D$20:$D$100,$B31)=0,COUNTIF(Control!$D$20:$D$100,M$2)=0),VISUM_Freeway_OD!M31*Control!$B$2,0)</f>
        <v>0</v>
      </c>
      <c r="N31">
        <f>IF(AND(COUNTIF(Control!$D$20:$D$100,$B31)=0,COUNTIF(Control!$D$20:$D$100,N$2)=0),VISUM_Freeway_OD!N31*Control!$B$2,0)</f>
        <v>0</v>
      </c>
      <c r="O31">
        <f>IF(AND(COUNTIF(Control!$D$20:$D$100,$B31)=0,COUNTIF(Control!$D$20:$D$100,O$2)=0),VISUM_Freeway_OD!O31*Control!$B$2,0)</f>
        <v>0</v>
      </c>
      <c r="P31">
        <f>IF(AND(COUNTIF(Control!$D$20:$D$100,$B31)=0,COUNTIF(Control!$D$20:$D$100,P$2)=0),VISUM_Freeway_OD!P31*Control!$B$2,0)</f>
        <v>0</v>
      </c>
      <c r="Q31">
        <f>IF(AND(COUNTIF(Control!$D$20:$D$100,$B31)=0,COUNTIF(Control!$D$20:$D$100,Q$2)=0),VISUM_Freeway_OD!Q31*Control!$B$2,0)</f>
        <v>0</v>
      </c>
      <c r="R31">
        <f>IF(AND(COUNTIF(Control!$D$20:$D$100,$B31)=0,COUNTIF(Control!$D$20:$D$100,R$2)=0),VISUM_Freeway_OD!R31*Control!$B$2,0)</f>
        <v>0</v>
      </c>
      <c r="S31">
        <f>IF(AND(COUNTIF(Control!$D$20:$D$100,$B31)=0,COUNTIF(Control!$D$20:$D$100,S$2)=0),VISUM_Freeway_OD!S31*Control!$B$2,0)</f>
        <v>0</v>
      </c>
      <c r="T31">
        <f>IF(AND(COUNTIF(Control!$D$20:$D$100,$B31)=0,COUNTIF(Control!$D$20:$D$100,T$2)=0),VISUM_Freeway_OD!T31*Control!$B$2,0)</f>
        <v>0</v>
      </c>
      <c r="U31">
        <f>IF(AND(COUNTIF(Control!$D$20:$D$100,$B31)=0,COUNTIF(Control!$D$20:$D$100,U$2)=0),VISUM_Freeway_OD!U31*Control!$B$2,0)</f>
        <v>0</v>
      </c>
      <c r="V31">
        <f>IF(AND(COUNTIF(Control!$D$20:$D$100,$B31)=0,COUNTIF(Control!$D$20:$D$100,V$2)=0),VISUM_Freeway_OD!V31*Control!$B$2,0)</f>
        <v>0</v>
      </c>
      <c r="W31">
        <f>IF(AND(COUNTIF(Control!$D$20:$D$100,$B31)=0,COUNTIF(Control!$D$20:$D$100,W$2)=0),VISUM_Freeway_OD!W31*Control!$B$2,0)</f>
        <v>0</v>
      </c>
      <c r="X31">
        <f>IF(AND(COUNTIF(Control!$D$20:$D$100,$B31)=0,COUNTIF(Control!$D$20:$D$100,X$2)=0),VISUM_Freeway_OD!X31*Control!$B$2,0)</f>
        <v>0</v>
      </c>
      <c r="Y31">
        <f>IF(AND(COUNTIF(Control!$D$20:$D$100,$B31)=0,COUNTIF(Control!$D$20:$D$100,Y$2)=0),VISUM_Freeway_OD!Y31*Control!$B$2,0)</f>
        <v>0</v>
      </c>
      <c r="Z31">
        <f>IF(AND(COUNTIF(Control!$D$20:$D$100,$B31)=0,COUNTIF(Control!$D$20:$D$100,Z$2)=0),VISUM_Freeway_OD!Z31*Control!$B$2,0)</f>
        <v>0</v>
      </c>
      <c r="AA31">
        <f>IF(AND(COUNTIF(Control!$D$20:$D$100,$B31)=0,COUNTIF(Control!$D$20:$D$100,AA$2)=0),VISUM_Freeway_OD!AA31*Control!$B$2,0)</f>
        <v>0</v>
      </c>
      <c r="AB31">
        <f>IF(AND(COUNTIF(Control!$D$20:$D$100,$B31)=0,COUNTIF(Control!$D$20:$D$100,AB$2)=0),VISUM_Freeway_OD!AB31*Control!$B$2,0)</f>
        <v>0</v>
      </c>
      <c r="AC31">
        <f>IF(AND(COUNTIF(Control!$D$20:$D$100,$B31)=0,COUNTIF(Control!$D$20:$D$100,AC$2)=0),VISUM_Freeway_OD!AC31*Control!$B$2,0)</f>
        <v>0</v>
      </c>
      <c r="AD31">
        <f>IF(AND(COUNTIF(Control!$D$20:$D$100,$B31)=0,COUNTIF(Control!$D$20:$D$100,AD$2)=0),VISUM_Freeway_OD!AD31*Control!$B$2,0)</f>
        <v>0</v>
      </c>
      <c r="AE31">
        <f>IF(AND(COUNTIF(Control!$D$20:$D$100,$B31)=0,COUNTIF(Control!$D$20:$D$100,AE$2)=0),VISUM_Freeway_OD!AE31*Control!$B$2,0)</f>
        <v>0</v>
      </c>
      <c r="AF31">
        <f>IF(AND(COUNTIF(Control!$D$20:$D$100,$B31)=0,COUNTIF(Control!$D$20:$D$100,AF$2)=0),VISUM_Freeway_OD!AF31*Control!$B$2,0)</f>
        <v>0</v>
      </c>
      <c r="AG31">
        <f>IF(AND(COUNTIF(Control!$D$20:$D$100,$B31)=0,COUNTIF(Control!$D$20:$D$100,AG$2)=0),VISUM_Freeway_OD!AG31*Control!$B$2,0)</f>
        <v>0</v>
      </c>
      <c r="AH31">
        <f>IF(AND(COUNTIF(Control!$D$20:$D$100,$B31)=0,COUNTIF(Control!$D$20:$D$100,AH$2)=0),VISUM_Freeway_OD!AH31*Control!$B$2,0)</f>
        <v>0</v>
      </c>
      <c r="AI31">
        <f>IF(AND(COUNTIF(Control!$D$20:$D$100,$B31)=0,COUNTIF(Control!$D$20:$D$100,AI$2)=0),VISUM_Freeway_OD!AI31*Control!$B$2,0)</f>
        <v>0</v>
      </c>
      <c r="AJ31">
        <f>IF(AND(COUNTIF(Control!$D$20:$D$100,$B31)=0,COUNTIF(Control!$D$20:$D$100,AJ$2)=0),VISUM_Freeway_OD!AJ31*Control!$B$2,0)</f>
        <v>0</v>
      </c>
      <c r="AK31">
        <f>IF(AND(COUNTIF(Control!$D$20:$D$100,$B31)=0,COUNTIF(Control!$D$20:$D$100,AK$2)=0),VISUM_Freeway_OD!AK31*Control!$B$2,0)</f>
        <v>0</v>
      </c>
      <c r="AL31">
        <f>IF(AND(COUNTIF(Control!$D$20:$D$100,$B31)=0,COUNTIF(Control!$D$20:$D$100,AL$2)=0),VISUM_Freeway_OD!AL31*Control!$B$2,0)</f>
        <v>0</v>
      </c>
      <c r="AM31">
        <f>IF(AND(COUNTIF(Control!$D$20:$D$100,$B31)=0,COUNTIF(Control!$D$20:$D$100,AM$2)=0),VISUM_Freeway_OD!AM31*Control!$B$2,0)</f>
        <v>0</v>
      </c>
      <c r="AN31">
        <f>IF(AND(COUNTIF(Control!$D$20:$D$100,$B31)=0,COUNTIF(Control!$D$20:$D$100,AN$2)=0),VISUM_Freeway_OD!AN31*Control!$B$2,0)</f>
        <v>0</v>
      </c>
      <c r="AO31">
        <f>IF(AND(COUNTIF(Control!$D$20:$D$100,$B31)=0,COUNTIF(Control!$D$20:$D$100,AO$2)=0),VISUM_Freeway_OD!AO31*Control!$B$2,0)</f>
        <v>0</v>
      </c>
      <c r="AP31">
        <f>IF(AND(COUNTIF(Control!$D$20:$D$100,$B31)=0,COUNTIF(Control!$D$20:$D$100,AP$2)=0),VISUM_Freeway_OD!AP31*Control!$B$2,0)</f>
        <v>0</v>
      </c>
      <c r="AQ31">
        <f>IF(AND(COUNTIF(Control!$D$20:$D$100,$B31)=0,COUNTIF(Control!$D$20:$D$100,AQ$2)=0),VISUM_Freeway_OD!AQ31*Control!$B$2,0)</f>
        <v>0</v>
      </c>
      <c r="AR31">
        <f>IF(AND(COUNTIF(Control!$D$20:$D$100,$B31)=0,COUNTIF(Control!$D$20:$D$100,AR$2)=0),VISUM_Freeway_OD!AR31*Control!$B$2,0)</f>
        <v>0</v>
      </c>
      <c r="AS31">
        <f>IF(AND(COUNTIF(Control!$D$20:$D$100,$B31)=0,COUNTIF(Control!$D$20:$D$100,AS$2)=0),VISUM_Freeway_OD!AS31*Control!$B$2,0)</f>
        <v>0</v>
      </c>
      <c r="AT31">
        <f>IF(AND(COUNTIF(Control!$D$20:$D$100,$B31)=0,COUNTIF(Control!$D$20:$D$100,AT$2)=0),VISUM_Freeway_OD!AT31*Control!$B$2,0)</f>
        <v>0</v>
      </c>
      <c r="AU31">
        <f>IF(AND(COUNTIF(Control!$D$20:$D$100,$B31)=0,COUNTIF(Control!$D$20:$D$100,AU$2)=0),VISUM_Freeway_OD!AU31*Control!$B$2,0)</f>
        <v>0</v>
      </c>
      <c r="AV31">
        <f>IF(AND(COUNTIF(Control!$D$20:$D$100,$B31)=0,COUNTIF(Control!$D$20:$D$100,AV$2)=0),VISUM_Freeway_OD!AV31*Control!$B$2,0)</f>
        <v>0</v>
      </c>
      <c r="AW31">
        <f>IF(AND(COUNTIF(Control!$D$20:$D$100,$B31)=0,COUNTIF(Control!$D$20:$D$100,AW$2)=0),VISUM_Freeway_OD!AW31*Control!$B$2,0)</f>
        <v>0</v>
      </c>
      <c r="AX31">
        <f>IF(AND(COUNTIF(Control!$D$20:$D$100,$B31)=0,COUNTIF(Control!$D$20:$D$100,AX$2)=0),VISUM_Freeway_OD!AX31*Control!$B$2,0)</f>
        <v>0</v>
      </c>
      <c r="AY31">
        <f>IF(AND(COUNTIF(Control!$D$20:$D$100,$B31)=0,COUNTIF(Control!$D$20:$D$100,AY$2)=0),VISUM_Freeway_OD!AY31*Control!$B$2,0)</f>
        <v>0</v>
      </c>
    </row>
    <row r="32" spans="1:51" x14ac:dyDescent="0.25">
      <c r="A32" s="4" t="str">
        <f>IF(VLOOKUP(B32,Freeway_Zone_Link_Mapping!$A:$C,2,FALSE)&lt;&gt;"",VLOOKUP(B32,Freeway_Zone_Link_Mapping!$A:$C,2,FALSE),"")</f>
        <v/>
      </c>
      <c r="B32" s="4">
        <v>52</v>
      </c>
      <c r="C32">
        <f>IF(AND(COUNTIF(Control!$D$20:$D$100,$B32)=0,COUNTIF(Control!$D$20:$D$100,C$2)=0),VISUM_Freeway_OD!C32*Control!$B$2,0)</f>
        <v>0</v>
      </c>
      <c r="D32">
        <f>IF(AND(COUNTIF(Control!$D$20:$D$100,$B32)=0,COUNTIF(Control!$D$20:$D$100,D$2)=0),VISUM_Freeway_OD!D32*Control!$B$2,0)</f>
        <v>0</v>
      </c>
      <c r="E32">
        <f>IF(AND(COUNTIF(Control!$D$20:$D$100,$B32)=0,COUNTIF(Control!$D$20:$D$100,E$2)=0),VISUM_Freeway_OD!E32*Control!$B$2,0)</f>
        <v>0</v>
      </c>
      <c r="F32">
        <f>IF(AND(COUNTIF(Control!$D$20:$D$100,$B32)=0,COUNTIF(Control!$D$20:$D$100,F$2)=0),VISUM_Freeway_OD!F32*Control!$B$2,0)</f>
        <v>0</v>
      </c>
      <c r="G32">
        <f>IF(AND(COUNTIF(Control!$D$20:$D$100,$B32)=0,COUNTIF(Control!$D$20:$D$100,G$2)=0),VISUM_Freeway_OD!G32*Control!$B$2,0)</f>
        <v>0</v>
      </c>
      <c r="H32">
        <f>IF(AND(COUNTIF(Control!$D$20:$D$100,$B32)=0,COUNTIF(Control!$D$20:$D$100,H$2)=0),VISUM_Freeway_OD!H32*Control!$B$2,0)</f>
        <v>0</v>
      </c>
      <c r="I32">
        <f>IF(AND(COUNTIF(Control!$D$20:$D$100,$B32)=0,COUNTIF(Control!$D$20:$D$100,I$2)=0),VISUM_Freeway_OD!I32*Control!$B$2,0)</f>
        <v>0</v>
      </c>
      <c r="J32">
        <f>IF(AND(COUNTIF(Control!$D$20:$D$100,$B32)=0,COUNTIF(Control!$D$20:$D$100,J$2)=0),VISUM_Freeway_OD!J32*Control!$B$2,0)</f>
        <v>0</v>
      </c>
      <c r="K32">
        <f>IF(AND(COUNTIF(Control!$D$20:$D$100,$B32)=0,COUNTIF(Control!$D$20:$D$100,K$2)=0),VISUM_Freeway_OD!K32*Control!$B$2,0)</f>
        <v>0</v>
      </c>
      <c r="L32">
        <f>IF(AND(COUNTIF(Control!$D$20:$D$100,$B32)=0,COUNTIF(Control!$D$20:$D$100,L$2)=0),VISUM_Freeway_OD!L32*Control!$B$2,0)</f>
        <v>0</v>
      </c>
      <c r="M32">
        <f>IF(AND(COUNTIF(Control!$D$20:$D$100,$B32)=0,COUNTIF(Control!$D$20:$D$100,M$2)=0),VISUM_Freeway_OD!M32*Control!$B$2,0)</f>
        <v>0</v>
      </c>
      <c r="N32">
        <f>IF(AND(COUNTIF(Control!$D$20:$D$100,$B32)=0,COUNTIF(Control!$D$20:$D$100,N$2)=0),VISUM_Freeway_OD!N32*Control!$B$2,0)</f>
        <v>0</v>
      </c>
      <c r="O32">
        <f>IF(AND(COUNTIF(Control!$D$20:$D$100,$B32)=0,COUNTIF(Control!$D$20:$D$100,O$2)=0),VISUM_Freeway_OD!O32*Control!$B$2,0)</f>
        <v>0</v>
      </c>
      <c r="P32">
        <f>IF(AND(COUNTIF(Control!$D$20:$D$100,$B32)=0,COUNTIF(Control!$D$20:$D$100,P$2)=0),VISUM_Freeway_OD!P32*Control!$B$2,0)</f>
        <v>0</v>
      </c>
      <c r="Q32">
        <f>IF(AND(COUNTIF(Control!$D$20:$D$100,$B32)=0,COUNTIF(Control!$D$20:$D$100,Q$2)=0),VISUM_Freeway_OD!Q32*Control!$B$2,0)</f>
        <v>0</v>
      </c>
      <c r="R32">
        <f>IF(AND(COUNTIF(Control!$D$20:$D$100,$B32)=0,COUNTIF(Control!$D$20:$D$100,R$2)=0),VISUM_Freeway_OD!R32*Control!$B$2,0)</f>
        <v>0</v>
      </c>
      <c r="S32">
        <f>IF(AND(COUNTIF(Control!$D$20:$D$100,$B32)=0,COUNTIF(Control!$D$20:$D$100,S$2)=0),VISUM_Freeway_OD!S32*Control!$B$2,0)</f>
        <v>0</v>
      </c>
      <c r="T32">
        <f>IF(AND(COUNTIF(Control!$D$20:$D$100,$B32)=0,COUNTIF(Control!$D$20:$D$100,T$2)=0),VISUM_Freeway_OD!T32*Control!$B$2,0)</f>
        <v>0</v>
      </c>
      <c r="U32">
        <f>IF(AND(COUNTIF(Control!$D$20:$D$100,$B32)=0,COUNTIF(Control!$D$20:$D$100,U$2)=0),VISUM_Freeway_OD!U32*Control!$B$2,0)</f>
        <v>0</v>
      </c>
      <c r="V32">
        <f>IF(AND(COUNTIF(Control!$D$20:$D$100,$B32)=0,COUNTIF(Control!$D$20:$D$100,V$2)=0),VISUM_Freeway_OD!V32*Control!$B$2,0)</f>
        <v>0</v>
      </c>
      <c r="W32">
        <f>IF(AND(COUNTIF(Control!$D$20:$D$100,$B32)=0,COUNTIF(Control!$D$20:$D$100,W$2)=0),VISUM_Freeway_OD!W32*Control!$B$2,0)</f>
        <v>0</v>
      </c>
      <c r="X32">
        <f>IF(AND(COUNTIF(Control!$D$20:$D$100,$B32)=0,COUNTIF(Control!$D$20:$D$100,X$2)=0),VISUM_Freeway_OD!X32*Control!$B$2,0)</f>
        <v>0</v>
      </c>
      <c r="Y32">
        <f>IF(AND(COUNTIF(Control!$D$20:$D$100,$B32)=0,COUNTIF(Control!$D$20:$D$100,Y$2)=0),VISUM_Freeway_OD!Y32*Control!$B$2,0)</f>
        <v>0</v>
      </c>
      <c r="Z32">
        <f>IF(AND(COUNTIF(Control!$D$20:$D$100,$B32)=0,COUNTIF(Control!$D$20:$D$100,Z$2)=0),VISUM_Freeway_OD!Z32*Control!$B$2,0)</f>
        <v>0</v>
      </c>
      <c r="AA32">
        <f>IF(AND(COUNTIF(Control!$D$20:$D$100,$B32)=0,COUNTIF(Control!$D$20:$D$100,AA$2)=0),VISUM_Freeway_OD!AA32*Control!$B$2,0)</f>
        <v>0</v>
      </c>
      <c r="AB32">
        <f>IF(AND(COUNTIF(Control!$D$20:$D$100,$B32)=0,COUNTIF(Control!$D$20:$D$100,AB$2)=0),VISUM_Freeway_OD!AB32*Control!$B$2,0)</f>
        <v>0</v>
      </c>
      <c r="AC32">
        <f>IF(AND(COUNTIF(Control!$D$20:$D$100,$B32)=0,COUNTIF(Control!$D$20:$D$100,AC$2)=0),VISUM_Freeway_OD!AC32*Control!$B$2,0)</f>
        <v>0</v>
      </c>
      <c r="AD32">
        <f>IF(AND(COUNTIF(Control!$D$20:$D$100,$B32)=0,COUNTIF(Control!$D$20:$D$100,AD$2)=0),VISUM_Freeway_OD!AD32*Control!$B$2,0)</f>
        <v>0</v>
      </c>
      <c r="AE32">
        <f>IF(AND(COUNTIF(Control!$D$20:$D$100,$B32)=0,COUNTIF(Control!$D$20:$D$100,AE$2)=0),VISUM_Freeway_OD!AE32*Control!$B$2,0)</f>
        <v>0</v>
      </c>
      <c r="AF32">
        <f>IF(AND(COUNTIF(Control!$D$20:$D$100,$B32)=0,COUNTIF(Control!$D$20:$D$100,AF$2)=0),VISUM_Freeway_OD!AF32*Control!$B$2,0)</f>
        <v>0</v>
      </c>
      <c r="AG32">
        <f>IF(AND(COUNTIF(Control!$D$20:$D$100,$B32)=0,COUNTIF(Control!$D$20:$D$100,AG$2)=0),VISUM_Freeway_OD!AG32*Control!$B$2,0)</f>
        <v>0</v>
      </c>
      <c r="AH32">
        <f>IF(AND(COUNTIF(Control!$D$20:$D$100,$B32)=0,COUNTIF(Control!$D$20:$D$100,AH$2)=0),VISUM_Freeway_OD!AH32*Control!$B$2,0)</f>
        <v>0</v>
      </c>
      <c r="AI32">
        <f>IF(AND(COUNTIF(Control!$D$20:$D$100,$B32)=0,COUNTIF(Control!$D$20:$D$100,AI$2)=0),VISUM_Freeway_OD!AI32*Control!$B$2,0)</f>
        <v>0</v>
      </c>
      <c r="AJ32">
        <f>IF(AND(COUNTIF(Control!$D$20:$D$100,$B32)=0,COUNTIF(Control!$D$20:$D$100,AJ$2)=0),VISUM_Freeway_OD!AJ32*Control!$B$2,0)</f>
        <v>0</v>
      </c>
      <c r="AK32">
        <f>IF(AND(COUNTIF(Control!$D$20:$D$100,$B32)=0,COUNTIF(Control!$D$20:$D$100,AK$2)=0),VISUM_Freeway_OD!AK32*Control!$B$2,0)</f>
        <v>0</v>
      </c>
      <c r="AL32">
        <f>IF(AND(COUNTIF(Control!$D$20:$D$100,$B32)=0,COUNTIF(Control!$D$20:$D$100,AL$2)=0),VISUM_Freeway_OD!AL32*Control!$B$2,0)</f>
        <v>0</v>
      </c>
      <c r="AM32">
        <f>IF(AND(COUNTIF(Control!$D$20:$D$100,$B32)=0,COUNTIF(Control!$D$20:$D$100,AM$2)=0),VISUM_Freeway_OD!AM32*Control!$B$2,0)</f>
        <v>0</v>
      </c>
      <c r="AN32">
        <f>IF(AND(COUNTIF(Control!$D$20:$D$100,$B32)=0,COUNTIF(Control!$D$20:$D$100,AN$2)=0),VISUM_Freeway_OD!AN32*Control!$B$2,0)</f>
        <v>0</v>
      </c>
      <c r="AO32">
        <f>IF(AND(COUNTIF(Control!$D$20:$D$100,$B32)=0,COUNTIF(Control!$D$20:$D$100,AO$2)=0),VISUM_Freeway_OD!AO32*Control!$B$2,0)</f>
        <v>0</v>
      </c>
      <c r="AP32">
        <f>IF(AND(COUNTIF(Control!$D$20:$D$100,$B32)=0,COUNTIF(Control!$D$20:$D$100,AP$2)=0),VISUM_Freeway_OD!AP32*Control!$B$2,0)</f>
        <v>0</v>
      </c>
      <c r="AQ32">
        <f>IF(AND(COUNTIF(Control!$D$20:$D$100,$B32)=0,COUNTIF(Control!$D$20:$D$100,AQ$2)=0),VISUM_Freeway_OD!AQ32*Control!$B$2,0)</f>
        <v>0</v>
      </c>
      <c r="AR32">
        <f>IF(AND(COUNTIF(Control!$D$20:$D$100,$B32)=0,COUNTIF(Control!$D$20:$D$100,AR$2)=0),VISUM_Freeway_OD!AR32*Control!$B$2,0)</f>
        <v>0</v>
      </c>
      <c r="AS32">
        <f>IF(AND(COUNTIF(Control!$D$20:$D$100,$B32)=0,COUNTIF(Control!$D$20:$D$100,AS$2)=0),VISUM_Freeway_OD!AS32*Control!$B$2,0)</f>
        <v>0</v>
      </c>
      <c r="AT32">
        <f>IF(AND(COUNTIF(Control!$D$20:$D$100,$B32)=0,COUNTIF(Control!$D$20:$D$100,AT$2)=0),VISUM_Freeway_OD!AT32*Control!$B$2,0)</f>
        <v>0</v>
      </c>
      <c r="AU32">
        <f>IF(AND(COUNTIF(Control!$D$20:$D$100,$B32)=0,COUNTIF(Control!$D$20:$D$100,AU$2)=0),VISUM_Freeway_OD!AU32*Control!$B$2,0)</f>
        <v>0</v>
      </c>
      <c r="AV32">
        <f>IF(AND(COUNTIF(Control!$D$20:$D$100,$B32)=0,COUNTIF(Control!$D$20:$D$100,AV$2)=0),VISUM_Freeway_OD!AV32*Control!$B$2,0)</f>
        <v>0</v>
      </c>
      <c r="AW32">
        <f>IF(AND(COUNTIF(Control!$D$20:$D$100,$B32)=0,COUNTIF(Control!$D$20:$D$100,AW$2)=0),VISUM_Freeway_OD!AW32*Control!$B$2,0)</f>
        <v>0</v>
      </c>
      <c r="AX32">
        <f>IF(AND(COUNTIF(Control!$D$20:$D$100,$B32)=0,COUNTIF(Control!$D$20:$D$100,AX$2)=0),VISUM_Freeway_OD!AX32*Control!$B$2,0)</f>
        <v>0</v>
      </c>
      <c r="AY32">
        <f>IF(AND(COUNTIF(Control!$D$20:$D$100,$B32)=0,COUNTIF(Control!$D$20:$D$100,AY$2)=0),VISUM_Freeway_OD!AY32*Control!$B$2,0)</f>
        <v>0</v>
      </c>
    </row>
    <row r="33" spans="1:51" x14ac:dyDescent="0.25">
      <c r="A33" s="4" t="str">
        <f>IF(VLOOKUP(B33,Freeway_Zone_Link_Mapping!$A:$C,2,FALSE)&lt;&gt;"",VLOOKUP(B33,Freeway_Zone_Link_Mapping!$A:$C,2,FALSE),"")</f>
        <v/>
      </c>
      <c r="B33" s="4">
        <v>53</v>
      </c>
      <c r="C33">
        <f>IF(AND(COUNTIF(Control!$D$20:$D$100,$B33)=0,COUNTIF(Control!$D$20:$D$100,C$2)=0),VISUM_Freeway_OD!C33*Control!$B$2,0)</f>
        <v>0</v>
      </c>
      <c r="D33">
        <f>IF(AND(COUNTIF(Control!$D$20:$D$100,$B33)=0,COUNTIF(Control!$D$20:$D$100,D$2)=0),VISUM_Freeway_OD!D33*Control!$B$2,0)</f>
        <v>0</v>
      </c>
      <c r="E33">
        <f>IF(AND(COUNTIF(Control!$D$20:$D$100,$B33)=0,COUNTIF(Control!$D$20:$D$100,E$2)=0),VISUM_Freeway_OD!E33*Control!$B$2,0)</f>
        <v>0</v>
      </c>
      <c r="F33">
        <f>IF(AND(COUNTIF(Control!$D$20:$D$100,$B33)=0,COUNTIF(Control!$D$20:$D$100,F$2)=0),VISUM_Freeway_OD!F33*Control!$B$2,0)</f>
        <v>0</v>
      </c>
      <c r="G33">
        <f>IF(AND(COUNTIF(Control!$D$20:$D$100,$B33)=0,COUNTIF(Control!$D$20:$D$100,G$2)=0),VISUM_Freeway_OD!G33*Control!$B$2,0)</f>
        <v>0</v>
      </c>
      <c r="H33">
        <f>IF(AND(COUNTIF(Control!$D$20:$D$100,$B33)=0,COUNTIF(Control!$D$20:$D$100,H$2)=0),VISUM_Freeway_OD!H33*Control!$B$2,0)</f>
        <v>0</v>
      </c>
      <c r="I33">
        <f>IF(AND(COUNTIF(Control!$D$20:$D$100,$B33)=0,COUNTIF(Control!$D$20:$D$100,I$2)=0),VISUM_Freeway_OD!I33*Control!$B$2,0)</f>
        <v>0</v>
      </c>
      <c r="J33">
        <f>IF(AND(COUNTIF(Control!$D$20:$D$100,$B33)=0,COUNTIF(Control!$D$20:$D$100,J$2)=0),VISUM_Freeway_OD!J33*Control!$B$2,0)</f>
        <v>0</v>
      </c>
      <c r="K33">
        <f>IF(AND(COUNTIF(Control!$D$20:$D$100,$B33)=0,COUNTIF(Control!$D$20:$D$100,K$2)=0),VISUM_Freeway_OD!K33*Control!$B$2,0)</f>
        <v>0</v>
      </c>
      <c r="L33">
        <f>IF(AND(COUNTIF(Control!$D$20:$D$100,$B33)=0,COUNTIF(Control!$D$20:$D$100,L$2)=0),VISUM_Freeway_OD!L33*Control!$B$2,0)</f>
        <v>0</v>
      </c>
      <c r="M33">
        <f>IF(AND(COUNTIF(Control!$D$20:$D$100,$B33)=0,COUNTIF(Control!$D$20:$D$100,M$2)=0),VISUM_Freeway_OD!M33*Control!$B$2,0)</f>
        <v>0</v>
      </c>
      <c r="N33">
        <f>IF(AND(COUNTIF(Control!$D$20:$D$100,$B33)=0,COUNTIF(Control!$D$20:$D$100,N$2)=0),VISUM_Freeway_OD!N33*Control!$B$2,0)</f>
        <v>0</v>
      </c>
      <c r="O33">
        <f>IF(AND(COUNTIF(Control!$D$20:$D$100,$B33)=0,COUNTIF(Control!$D$20:$D$100,O$2)=0),VISUM_Freeway_OD!O33*Control!$B$2,0)</f>
        <v>0</v>
      </c>
      <c r="P33">
        <f>IF(AND(COUNTIF(Control!$D$20:$D$100,$B33)=0,COUNTIF(Control!$D$20:$D$100,P$2)=0),VISUM_Freeway_OD!P33*Control!$B$2,0)</f>
        <v>0</v>
      </c>
      <c r="Q33">
        <f>IF(AND(COUNTIF(Control!$D$20:$D$100,$B33)=0,COUNTIF(Control!$D$20:$D$100,Q$2)=0),VISUM_Freeway_OD!Q33*Control!$B$2,0)</f>
        <v>0</v>
      </c>
      <c r="R33">
        <f>IF(AND(COUNTIF(Control!$D$20:$D$100,$B33)=0,COUNTIF(Control!$D$20:$D$100,R$2)=0),VISUM_Freeway_OD!R33*Control!$B$2,0)</f>
        <v>0</v>
      </c>
      <c r="S33">
        <f>IF(AND(COUNTIF(Control!$D$20:$D$100,$B33)=0,COUNTIF(Control!$D$20:$D$100,S$2)=0),VISUM_Freeway_OD!S33*Control!$B$2,0)</f>
        <v>0</v>
      </c>
      <c r="T33">
        <f>IF(AND(COUNTIF(Control!$D$20:$D$100,$B33)=0,COUNTIF(Control!$D$20:$D$100,T$2)=0),VISUM_Freeway_OD!T33*Control!$B$2,0)</f>
        <v>0</v>
      </c>
      <c r="U33">
        <f>IF(AND(COUNTIF(Control!$D$20:$D$100,$B33)=0,COUNTIF(Control!$D$20:$D$100,U$2)=0),VISUM_Freeway_OD!U33*Control!$B$2,0)</f>
        <v>0</v>
      </c>
      <c r="V33">
        <f>IF(AND(COUNTIF(Control!$D$20:$D$100,$B33)=0,COUNTIF(Control!$D$20:$D$100,V$2)=0),VISUM_Freeway_OD!V33*Control!$B$2,0)</f>
        <v>0</v>
      </c>
      <c r="W33">
        <f>IF(AND(COUNTIF(Control!$D$20:$D$100,$B33)=0,COUNTIF(Control!$D$20:$D$100,W$2)=0),VISUM_Freeway_OD!W33*Control!$B$2,0)</f>
        <v>0</v>
      </c>
      <c r="X33">
        <f>IF(AND(COUNTIF(Control!$D$20:$D$100,$B33)=0,COUNTIF(Control!$D$20:$D$100,X$2)=0),VISUM_Freeway_OD!X33*Control!$B$2,0)</f>
        <v>0</v>
      </c>
      <c r="Y33">
        <f>IF(AND(COUNTIF(Control!$D$20:$D$100,$B33)=0,COUNTIF(Control!$D$20:$D$100,Y$2)=0),VISUM_Freeway_OD!Y33*Control!$B$2,0)</f>
        <v>0</v>
      </c>
      <c r="Z33">
        <f>IF(AND(COUNTIF(Control!$D$20:$D$100,$B33)=0,COUNTIF(Control!$D$20:$D$100,Z$2)=0),VISUM_Freeway_OD!Z33*Control!$B$2,0)</f>
        <v>0</v>
      </c>
      <c r="AA33">
        <f>IF(AND(COUNTIF(Control!$D$20:$D$100,$B33)=0,COUNTIF(Control!$D$20:$D$100,AA$2)=0),VISUM_Freeway_OD!AA33*Control!$B$2,0)</f>
        <v>0</v>
      </c>
      <c r="AB33">
        <f>IF(AND(COUNTIF(Control!$D$20:$D$100,$B33)=0,COUNTIF(Control!$D$20:$D$100,AB$2)=0),VISUM_Freeway_OD!AB33*Control!$B$2,0)</f>
        <v>0</v>
      </c>
      <c r="AC33">
        <f>IF(AND(COUNTIF(Control!$D$20:$D$100,$B33)=0,COUNTIF(Control!$D$20:$D$100,AC$2)=0),VISUM_Freeway_OD!AC33*Control!$B$2,0)</f>
        <v>0</v>
      </c>
      <c r="AD33">
        <f>IF(AND(COUNTIF(Control!$D$20:$D$100,$B33)=0,COUNTIF(Control!$D$20:$D$100,AD$2)=0),VISUM_Freeway_OD!AD33*Control!$B$2,0)</f>
        <v>0</v>
      </c>
      <c r="AE33">
        <f>IF(AND(COUNTIF(Control!$D$20:$D$100,$B33)=0,COUNTIF(Control!$D$20:$D$100,AE$2)=0),VISUM_Freeway_OD!AE33*Control!$B$2,0)</f>
        <v>0</v>
      </c>
      <c r="AF33">
        <f>IF(AND(COUNTIF(Control!$D$20:$D$100,$B33)=0,COUNTIF(Control!$D$20:$D$100,AF$2)=0),VISUM_Freeway_OD!AF33*Control!$B$2,0)</f>
        <v>0</v>
      </c>
      <c r="AG33">
        <f>IF(AND(COUNTIF(Control!$D$20:$D$100,$B33)=0,COUNTIF(Control!$D$20:$D$100,AG$2)=0),VISUM_Freeway_OD!AG33*Control!$B$2,0)</f>
        <v>0</v>
      </c>
      <c r="AH33">
        <f>IF(AND(COUNTIF(Control!$D$20:$D$100,$B33)=0,COUNTIF(Control!$D$20:$D$100,AH$2)=0),VISUM_Freeway_OD!AH33*Control!$B$2,0)</f>
        <v>0</v>
      </c>
      <c r="AI33">
        <f>IF(AND(COUNTIF(Control!$D$20:$D$100,$B33)=0,COUNTIF(Control!$D$20:$D$100,AI$2)=0),VISUM_Freeway_OD!AI33*Control!$B$2,0)</f>
        <v>0</v>
      </c>
      <c r="AJ33">
        <f>IF(AND(COUNTIF(Control!$D$20:$D$100,$B33)=0,COUNTIF(Control!$D$20:$D$100,AJ$2)=0),VISUM_Freeway_OD!AJ33*Control!$B$2,0)</f>
        <v>0</v>
      </c>
      <c r="AK33">
        <f>IF(AND(COUNTIF(Control!$D$20:$D$100,$B33)=0,COUNTIF(Control!$D$20:$D$100,AK$2)=0),VISUM_Freeway_OD!AK33*Control!$B$2,0)</f>
        <v>0</v>
      </c>
      <c r="AL33">
        <f>IF(AND(COUNTIF(Control!$D$20:$D$100,$B33)=0,COUNTIF(Control!$D$20:$D$100,AL$2)=0),VISUM_Freeway_OD!AL33*Control!$B$2,0)</f>
        <v>0</v>
      </c>
      <c r="AM33">
        <f>IF(AND(COUNTIF(Control!$D$20:$D$100,$B33)=0,COUNTIF(Control!$D$20:$D$100,AM$2)=0),VISUM_Freeway_OD!AM33*Control!$B$2,0)</f>
        <v>0</v>
      </c>
      <c r="AN33">
        <f>IF(AND(COUNTIF(Control!$D$20:$D$100,$B33)=0,COUNTIF(Control!$D$20:$D$100,AN$2)=0),VISUM_Freeway_OD!AN33*Control!$B$2,0)</f>
        <v>0</v>
      </c>
      <c r="AO33">
        <f>IF(AND(COUNTIF(Control!$D$20:$D$100,$B33)=0,COUNTIF(Control!$D$20:$D$100,AO$2)=0),VISUM_Freeway_OD!AO33*Control!$B$2,0)</f>
        <v>0</v>
      </c>
      <c r="AP33">
        <f>IF(AND(COUNTIF(Control!$D$20:$D$100,$B33)=0,COUNTIF(Control!$D$20:$D$100,AP$2)=0),VISUM_Freeway_OD!AP33*Control!$B$2,0)</f>
        <v>0</v>
      </c>
      <c r="AQ33">
        <f>IF(AND(COUNTIF(Control!$D$20:$D$100,$B33)=0,COUNTIF(Control!$D$20:$D$100,AQ$2)=0),VISUM_Freeway_OD!AQ33*Control!$B$2,0)</f>
        <v>0</v>
      </c>
      <c r="AR33">
        <f>IF(AND(COUNTIF(Control!$D$20:$D$100,$B33)=0,COUNTIF(Control!$D$20:$D$100,AR$2)=0),VISUM_Freeway_OD!AR33*Control!$B$2,0)</f>
        <v>0</v>
      </c>
      <c r="AS33">
        <f>IF(AND(COUNTIF(Control!$D$20:$D$100,$B33)=0,COUNTIF(Control!$D$20:$D$100,AS$2)=0),VISUM_Freeway_OD!AS33*Control!$B$2,0)</f>
        <v>0</v>
      </c>
      <c r="AT33">
        <f>IF(AND(COUNTIF(Control!$D$20:$D$100,$B33)=0,COUNTIF(Control!$D$20:$D$100,AT$2)=0),VISUM_Freeway_OD!AT33*Control!$B$2,0)</f>
        <v>0</v>
      </c>
      <c r="AU33">
        <f>IF(AND(COUNTIF(Control!$D$20:$D$100,$B33)=0,COUNTIF(Control!$D$20:$D$100,AU$2)=0),VISUM_Freeway_OD!AU33*Control!$B$2,0)</f>
        <v>0</v>
      </c>
      <c r="AV33">
        <f>IF(AND(COUNTIF(Control!$D$20:$D$100,$B33)=0,COUNTIF(Control!$D$20:$D$100,AV$2)=0),VISUM_Freeway_OD!AV33*Control!$B$2,0)</f>
        <v>0</v>
      </c>
      <c r="AW33">
        <f>IF(AND(COUNTIF(Control!$D$20:$D$100,$B33)=0,COUNTIF(Control!$D$20:$D$100,AW$2)=0),VISUM_Freeway_OD!AW33*Control!$B$2,0)</f>
        <v>0</v>
      </c>
      <c r="AX33">
        <f>IF(AND(COUNTIF(Control!$D$20:$D$100,$B33)=0,COUNTIF(Control!$D$20:$D$100,AX$2)=0),VISUM_Freeway_OD!AX33*Control!$B$2,0)</f>
        <v>0</v>
      </c>
      <c r="AY33">
        <f>IF(AND(COUNTIF(Control!$D$20:$D$100,$B33)=0,COUNTIF(Control!$D$20:$D$100,AY$2)=0),VISUM_Freeway_OD!AY33*Control!$B$2,0)</f>
        <v>0</v>
      </c>
    </row>
    <row r="34" spans="1:51" x14ac:dyDescent="0.25">
      <c r="A34" s="4">
        <f>IF(VLOOKUP(B34,Freeway_Zone_Link_Mapping!$A:$C,2,FALSE)&lt;&gt;"",VLOOKUP(B34,Freeway_Zone_Link_Mapping!$A:$C,2,FALSE),"")</f>
        <v>398</v>
      </c>
      <c r="B34" s="4">
        <v>54</v>
      </c>
      <c r="C34">
        <f>IF(AND(COUNTIF(Control!$D$20:$D$100,$B34)=0,COUNTIF(Control!$D$20:$D$100,C$2)=0),VISUM_Freeway_OD!C34*Control!$B$2,0)</f>
        <v>0.19417598999999999</v>
      </c>
      <c r="D34">
        <f>IF(AND(COUNTIF(Control!$D$20:$D$100,$B34)=0,COUNTIF(Control!$D$20:$D$100,D$2)=0),VISUM_Freeway_OD!D34*Control!$B$2,0)</f>
        <v>0</v>
      </c>
      <c r="E34">
        <f>IF(AND(COUNTIF(Control!$D$20:$D$100,$B34)=0,COUNTIF(Control!$D$20:$D$100,E$2)=0),VISUM_Freeway_OD!E34*Control!$B$2,0)</f>
        <v>2.3055059999999999E-2</v>
      </c>
      <c r="F34">
        <f>IF(AND(COUNTIF(Control!$D$20:$D$100,$B34)=0,COUNTIF(Control!$D$20:$D$100,F$2)=0),VISUM_Freeway_OD!F34*Control!$B$2,0)</f>
        <v>19.312243499999997</v>
      </c>
      <c r="G34">
        <f>IF(AND(COUNTIF(Control!$D$20:$D$100,$B34)=0,COUNTIF(Control!$D$20:$D$100,G$2)=0),VISUM_Freeway_OD!G34*Control!$B$2,0)</f>
        <v>0</v>
      </c>
      <c r="H34">
        <f>IF(AND(COUNTIF(Control!$D$20:$D$100,$B34)=0,COUNTIF(Control!$D$20:$D$100,H$2)=0),VISUM_Freeway_OD!H34*Control!$B$2,0)</f>
        <v>0</v>
      </c>
      <c r="I34">
        <f>IF(AND(COUNTIF(Control!$D$20:$D$100,$B34)=0,COUNTIF(Control!$D$20:$D$100,I$2)=0),VISUM_Freeway_OD!I34*Control!$B$2,0)</f>
        <v>0</v>
      </c>
      <c r="J34">
        <f>IF(AND(COUNTIF(Control!$D$20:$D$100,$B34)=0,COUNTIF(Control!$D$20:$D$100,J$2)=0),VISUM_Freeway_OD!J34*Control!$B$2,0)</f>
        <v>0</v>
      </c>
      <c r="K34">
        <f>IF(AND(COUNTIF(Control!$D$20:$D$100,$B34)=0,COUNTIF(Control!$D$20:$D$100,K$2)=0),VISUM_Freeway_OD!K34*Control!$B$2,0)</f>
        <v>0</v>
      </c>
      <c r="L34">
        <f>IF(AND(COUNTIF(Control!$D$20:$D$100,$B34)=0,COUNTIF(Control!$D$20:$D$100,L$2)=0),VISUM_Freeway_OD!L34*Control!$B$2,0)</f>
        <v>0</v>
      </c>
      <c r="M34">
        <f>IF(AND(COUNTIF(Control!$D$20:$D$100,$B34)=0,COUNTIF(Control!$D$20:$D$100,M$2)=0),VISUM_Freeway_OD!M34*Control!$B$2,0)</f>
        <v>0</v>
      </c>
      <c r="N34">
        <f>IF(AND(COUNTIF(Control!$D$20:$D$100,$B34)=0,COUNTIF(Control!$D$20:$D$100,N$2)=0),VISUM_Freeway_OD!N34*Control!$B$2,0)</f>
        <v>1.4646E-4</v>
      </c>
      <c r="O34">
        <f>IF(AND(COUNTIF(Control!$D$20:$D$100,$B34)=0,COUNTIF(Control!$D$20:$D$100,O$2)=0),VISUM_Freeway_OD!O34*Control!$B$2,0)</f>
        <v>0</v>
      </c>
      <c r="P34">
        <f>IF(AND(COUNTIF(Control!$D$20:$D$100,$B34)=0,COUNTIF(Control!$D$20:$D$100,P$2)=0),VISUM_Freeway_OD!P34*Control!$B$2,0)</f>
        <v>0</v>
      </c>
      <c r="Q34">
        <f>IF(AND(COUNTIF(Control!$D$20:$D$100,$B34)=0,COUNTIF(Control!$D$20:$D$100,Q$2)=0),VISUM_Freeway_OD!Q34*Control!$B$2,0)</f>
        <v>0</v>
      </c>
      <c r="R34">
        <f>IF(AND(COUNTIF(Control!$D$20:$D$100,$B34)=0,COUNTIF(Control!$D$20:$D$100,R$2)=0),VISUM_Freeway_OD!R34*Control!$B$2,0)</f>
        <v>0</v>
      </c>
      <c r="S34">
        <f>IF(AND(COUNTIF(Control!$D$20:$D$100,$B34)=0,COUNTIF(Control!$D$20:$D$100,S$2)=0),VISUM_Freeway_OD!S34*Control!$B$2,0)</f>
        <v>0</v>
      </c>
      <c r="T34">
        <f>IF(AND(COUNTIF(Control!$D$20:$D$100,$B34)=0,COUNTIF(Control!$D$20:$D$100,T$2)=0),VISUM_Freeway_OD!T34*Control!$B$2,0)</f>
        <v>0</v>
      </c>
      <c r="U34">
        <f>IF(AND(COUNTIF(Control!$D$20:$D$100,$B34)=0,COUNTIF(Control!$D$20:$D$100,U$2)=0),VISUM_Freeway_OD!U34*Control!$B$2,0)</f>
        <v>0</v>
      </c>
      <c r="V34">
        <f>IF(AND(COUNTIF(Control!$D$20:$D$100,$B34)=0,COUNTIF(Control!$D$20:$D$100,V$2)=0),VISUM_Freeway_OD!V34*Control!$B$2,0)</f>
        <v>0</v>
      </c>
      <c r="W34">
        <f>IF(AND(COUNTIF(Control!$D$20:$D$100,$B34)=0,COUNTIF(Control!$D$20:$D$100,W$2)=0),VISUM_Freeway_OD!W34*Control!$B$2,0)</f>
        <v>0</v>
      </c>
      <c r="X34">
        <f>IF(AND(COUNTIF(Control!$D$20:$D$100,$B34)=0,COUNTIF(Control!$D$20:$D$100,X$2)=0),VISUM_Freeway_OD!X34*Control!$B$2,0)</f>
        <v>0</v>
      </c>
      <c r="Y34">
        <f>IF(AND(COUNTIF(Control!$D$20:$D$100,$B34)=0,COUNTIF(Control!$D$20:$D$100,Y$2)=0),VISUM_Freeway_OD!Y34*Control!$B$2,0)</f>
        <v>0</v>
      </c>
      <c r="Z34">
        <f>IF(AND(COUNTIF(Control!$D$20:$D$100,$B34)=0,COUNTIF(Control!$D$20:$D$100,Z$2)=0),VISUM_Freeway_OD!Z34*Control!$B$2,0)</f>
        <v>0</v>
      </c>
      <c r="AA34">
        <f>IF(AND(COUNTIF(Control!$D$20:$D$100,$B34)=0,COUNTIF(Control!$D$20:$D$100,AA$2)=0),VISUM_Freeway_OD!AA34*Control!$B$2,0)</f>
        <v>0</v>
      </c>
      <c r="AB34">
        <f>IF(AND(COUNTIF(Control!$D$20:$D$100,$B34)=0,COUNTIF(Control!$D$20:$D$100,AB$2)=0),VISUM_Freeway_OD!AB34*Control!$B$2,0)</f>
        <v>0</v>
      </c>
      <c r="AC34">
        <f>IF(AND(COUNTIF(Control!$D$20:$D$100,$B34)=0,COUNTIF(Control!$D$20:$D$100,AC$2)=0),VISUM_Freeway_OD!AC34*Control!$B$2,0)</f>
        <v>0</v>
      </c>
      <c r="AD34">
        <f>IF(AND(COUNTIF(Control!$D$20:$D$100,$B34)=0,COUNTIF(Control!$D$20:$D$100,AD$2)=0),VISUM_Freeway_OD!AD34*Control!$B$2,0)</f>
        <v>0</v>
      </c>
      <c r="AE34">
        <f>IF(AND(COUNTIF(Control!$D$20:$D$100,$B34)=0,COUNTIF(Control!$D$20:$D$100,AE$2)=0),VISUM_Freeway_OD!AE34*Control!$B$2,0)</f>
        <v>0</v>
      </c>
      <c r="AF34">
        <f>IF(AND(COUNTIF(Control!$D$20:$D$100,$B34)=0,COUNTIF(Control!$D$20:$D$100,AF$2)=0),VISUM_Freeway_OD!AF34*Control!$B$2,0)</f>
        <v>0</v>
      </c>
      <c r="AG34">
        <f>IF(AND(COUNTIF(Control!$D$20:$D$100,$B34)=0,COUNTIF(Control!$D$20:$D$100,AG$2)=0),VISUM_Freeway_OD!AG34*Control!$B$2,0)</f>
        <v>0</v>
      </c>
      <c r="AH34">
        <f>IF(AND(COUNTIF(Control!$D$20:$D$100,$B34)=0,COUNTIF(Control!$D$20:$D$100,AH$2)=0),VISUM_Freeway_OD!AH34*Control!$B$2,0)</f>
        <v>0</v>
      </c>
      <c r="AI34">
        <f>IF(AND(COUNTIF(Control!$D$20:$D$100,$B34)=0,COUNTIF(Control!$D$20:$D$100,AI$2)=0),VISUM_Freeway_OD!AI34*Control!$B$2,0)</f>
        <v>0</v>
      </c>
      <c r="AJ34">
        <f>IF(AND(COUNTIF(Control!$D$20:$D$100,$B34)=0,COUNTIF(Control!$D$20:$D$100,AJ$2)=0),VISUM_Freeway_OD!AJ34*Control!$B$2,0)</f>
        <v>3.768E-4</v>
      </c>
      <c r="AK34">
        <f>IF(AND(COUNTIF(Control!$D$20:$D$100,$B34)=0,COUNTIF(Control!$D$20:$D$100,AK$2)=0),VISUM_Freeway_OD!AK34*Control!$B$2,0)</f>
        <v>0</v>
      </c>
      <c r="AL34">
        <f>IF(AND(COUNTIF(Control!$D$20:$D$100,$B34)=0,COUNTIF(Control!$D$20:$D$100,AL$2)=0),VISUM_Freeway_OD!AL34*Control!$B$2,0)</f>
        <v>0</v>
      </c>
      <c r="AM34">
        <f>IF(AND(COUNTIF(Control!$D$20:$D$100,$B34)=0,COUNTIF(Control!$D$20:$D$100,AM$2)=0),VISUM_Freeway_OD!AM34*Control!$B$2,0)</f>
        <v>0</v>
      </c>
      <c r="AN34">
        <f>IF(AND(COUNTIF(Control!$D$20:$D$100,$B34)=0,COUNTIF(Control!$D$20:$D$100,AN$2)=0),VISUM_Freeway_OD!AN34*Control!$B$2,0)</f>
        <v>0</v>
      </c>
      <c r="AO34">
        <f>IF(AND(COUNTIF(Control!$D$20:$D$100,$B34)=0,COUNTIF(Control!$D$20:$D$100,AO$2)=0),VISUM_Freeway_OD!AO34*Control!$B$2,0)</f>
        <v>0</v>
      </c>
      <c r="AP34">
        <f>IF(AND(COUNTIF(Control!$D$20:$D$100,$B34)=0,COUNTIF(Control!$D$20:$D$100,AP$2)=0),VISUM_Freeway_OD!AP34*Control!$B$2,0)</f>
        <v>0</v>
      </c>
      <c r="AQ34">
        <f>IF(AND(COUNTIF(Control!$D$20:$D$100,$B34)=0,COUNTIF(Control!$D$20:$D$100,AQ$2)=0),VISUM_Freeway_OD!AQ34*Control!$B$2,0)</f>
        <v>0</v>
      </c>
      <c r="AR34">
        <f>IF(AND(COUNTIF(Control!$D$20:$D$100,$B34)=0,COUNTIF(Control!$D$20:$D$100,AR$2)=0),VISUM_Freeway_OD!AR34*Control!$B$2,0)</f>
        <v>4.8779999999999997E-5</v>
      </c>
      <c r="AS34">
        <f>IF(AND(COUNTIF(Control!$D$20:$D$100,$B34)=0,COUNTIF(Control!$D$20:$D$100,AS$2)=0),VISUM_Freeway_OD!AS34*Control!$B$2,0)</f>
        <v>0</v>
      </c>
      <c r="AT34">
        <f>IF(AND(COUNTIF(Control!$D$20:$D$100,$B34)=0,COUNTIF(Control!$D$20:$D$100,AT$2)=0),VISUM_Freeway_OD!AT34*Control!$B$2,0)</f>
        <v>5.1206999999999999E-4</v>
      </c>
      <c r="AU34">
        <f>IF(AND(COUNTIF(Control!$D$20:$D$100,$B34)=0,COUNTIF(Control!$D$20:$D$100,AU$2)=0),VISUM_Freeway_OD!AU34*Control!$B$2,0)</f>
        <v>0</v>
      </c>
      <c r="AV34">
        <f>IF(AND(COUNTIF(Control!$D$20:$D$100,$B34)=0,COUNTIF(Control!$D$20:$D$100,AV$2)=0),VISUM_Freeway_OD!AV34*Control!$B$2,0)</f>
        <v>0</v>
      </c>
      <c r="AW34">
        <f>IF(AND(COUNTIF(Control!$D$20:$D$100,$B34)=0,COUNTIF(Control!$D$20:$D$100,AW$2)=0),VISUM_Freeway_OD!AW34*Control!$B$2,0)</f>
        <v>0</v>
      </c>
      <c r="AX34">
        <f>IF(AND(COUNTIF(Control!$D$20:$D$100,$B34)=0,COUNTIF(Control!$D$20:$D$100,AX$2)=0),VISUM_Freeway_OD!AX34*Control!$B$2,0)</f>
        <v>0</v>
      </c>
      <c r="AY34">
        <f>IF(AND(COUNTIF(Control!$D$20:$D$100,$B34)=0,COUNTIF(Control!$D$20:$D$100,AY$2)=0),VISUM_Freeway_OD!AY34*Control!$B$2,0)</f>
        <v>0</v>
      </c>
    </row>
    <row r="35" spans="1:51" x14ac:dyDescent="0.25">
      <c r="A35" s="4">
        <f>IF(VLOOKUP(B35,Freeway_Zone_Link_Mapping!$A:$C,2,FALSE)&lt;&gt;"",VLOOKUP(B35,Freeway_Zone_Link_Mapping!$A:$C,2,FALSE),"")</f>
        <v>304</v>
      </c>
      <c r="B35" s="4">
        <v>55</v>
      </c>
      <c r="C35">
        <f>IF(AND(COUNTIF(Control!$D$20:$D$100,$B35)=0,COUNTIF(Control!$D$20:$D$100,C$2)=0),VISUM_Freeway_OD!C35*Control!$B$2,0)</f>
        <v>1.3447020000000001E-2</v>
      </c>
      <c r="D35">
        <f>IF(AND(COUNTIF(Control!$D$20:$D$100,$B35)=0,COUNTIF(Control!$D$20:$D$100,D$2)=0),VISUM_Freeway_OD!D35*Control!$B$2,0)</f>
        <v>0</v>
      </c>
      <c r="E35">
        <f>IF(AND(COUNTIF(Control!$D$20:$D$100,$B35)=0,COUNTIF(Control!$D$20:$D$100,E$2)=0),VISUM_Freeway_OD!E35*Control!$B$2,0)</f>
        <v>6.2621400000000002E-3</v>
      </c>
      <c r="F35">
        <f>IF(AND(COUNTIF(Control!$D$20:$D$100,$B35)=0,COUNTIF(Control!$D$20:$D$100,F$2)=0),VISUM_Freeway_OD!F35*Control!$B$2,0)</f>
        <v>0.26024604000000001</v>
      </c>
      <c r="G35">
        <f>IF(AND(COUNTIF(Control!$D$20:$D$100,$B35)=0,COUNTIF(Control!$D$20:$D$100,G$2)=0),VISUM_Freeway_OD!G35*Control!$B$2,0)</f>
        <v>0</v>
      </c>
      <c r="H35">
        <f>IF(AND(COUNTIF(Control!$D$20:$D$100,$B35)=0,COUNTIF(Control!$D$20:$D$100,H$2)=0),VISUM_Freeway_OD!H35*Control!$B$2,0)</f>
        <v>2.3930168100000002</v>
      </c>
      <c r="I35">
        <f>IF(AND(COUNTIF(Control!$D$20:$D$100,$B35)=0,COUNTIF(Control!$D$20:$D$100,I$2)=0),VISUM_Freeway_OD!I35*Control!$B$2,0)</f>
        <v>0</v>
      </c>
      <c r="J35">
        <f>IF(AND(COUNTIF(Control!$D$20:$D$100,$B35)=0,COUNTIF(Control!$D$20:$D$100,J$2)=0),VISUM_Freeway_OD!J35*Control!$B$2,0)</f>
        <v>0</v>
      </c>
      <c r="K35">
        <f>IF(AND(COUNTIF(Control!$D$20:$D$100,$B35)=0,COUNTIF(Control!$D$20:$D$100,K$2)=0),VISUM_Freeway_OD!K35*Control!$B$2,0)</f>
        <v>1.21146351</v>
      </c>
      <c r="L35">
        <f>IF(AND(COUNTIF(Control!$D$20:$D$100,$B35)=0,COUNTIF(Control!$D$20:$D$100,L$2)=0),VISUM_Freeway_OD!L35*Control!$B$2,0)</f>
        <v>0</v>
      </c>
      <c r="M35">
        <f>IF(AND(COUNTIF(Control!$D$20:$D$100,$B35)=0,COUNTIF(Control!$D$20:$D$100,M$2)=0),VISUM_Freeway_OD!M35*Control!$B$2,0)</f>
        <v>0</v>
      </c>
      <c r="N35">
        <f>IF(AND(COUNTIF(Control!$D$20:$D$100,$B35)=0,COUNTIF(Control!$D$20:$D$100,N$2)=0),VISUM_Freeway_OD!N35*Control!$B$2,0)</f>
        <v>0</v>
      </c>
      <c r="O35">
        <f>IF(AND(COUNTIF(Control!$D$20:$D$100,$B35)=0,COUNTIF(Control!$D$20:$D$100,O$2)=0),VISUM_Freeway_OD!O35*Control!$B$2,0)</f>
        <v>0</v>
      </c>
      <c r="P35">
        <f>IF(AND(COUNTIF(Control!$D$20:$D$100,$B35)=0,COUNTIF(Control!$D$20:$D$100,P$2)=0),VISUM_Freeway_OD!P35*Control!$B$2,0)</f>
        <v>0</v>
      </c>
      <c r="Q35">
        <f>IF(AND(COUNTIF(Control!$D$20:$D$100,$B35)=0,COUNTIF(Control!$D$20:$D$100,Q$2)=0),VISUM_Freeway_OD!Q35*Control!$B$2,0)</f>
        <v>0</v>
      </c>
      <c r="R35">
        <f>IF(AND(COUNTIF(Control!$D$20:$D$100,$B35)=0,COUNTIF(Control!$D$20:$D$100,R$2)=0),VISUM_Freeway_OD!R35*Control!$B$2,0)</f>
        <v>0</v>
      </c>
      <c r="S35">
        <f>IF(AND(COUNTIF(Control!$D$20:$D$100,$B35)=0,COUNTIF(Control!$D$20:$D$100,S$2)=0),VISUM_Freeway_OD!S35*Control!$B$2,0)</f>
        <v>6.8404709999999994E-2</v>
      </c>
      <c r="T35">
        <f>IF(AND(COUNTIF(Control!$D$20:$D$100,$B35)=0,COUNTIF(Control!$D$20:$D$100,T$2)=0),VISUM_Freeway_OD!T35*Control!$B$2,0)</f>
        <v>0.83547077999999997</v>
      </c>
      <c r="U35">
        <f>IF(AND(COUNTIF(Control!$D$20:$D$100,$B35)=0,COUNTIF(Control!$D$20:$D$100,U$2)=0),VISUM_Freeway_OD!U35*Control!$B$2,0)</f>
        <v>0</v>
      </c>
      <c r="V35">
        <f>IF(AND(COUNTIF(Control!$D$20:$D$100,$B35)=0,COUNTIF(Control!$D$20:$D$100,V$2)=0),VISUM_Freeway_OD!V35*Control!$B$2,0)</f>
        <v>0</v>
      </c>
      <c r="W35">
        <f>IF(AND(COUNTIF(Control!$D$20:$D$100,$B35)=0,COUNTIF(Control!$D$20:$D$100,W$2)=0),VISUM_Freeway_OD!W35*Control!$B$2,0)</f>
        <v>0</v>
      </c>
      <c r="X35">
        <f>IF(AND(COUNTIF(Control!$D$20:$D$100,$B35)=0,COUNTIF(Control!$D$20:$D$100,X$2)=0),VISUM_Freeway_OD!X35*Control!$B$2,0)</f>
        <v>0</v>
      </c>
      <c r="Y35">
        <f>IF(AND(COUNTIF(Control!$D$20:$D$100,$B35)=0,COUNTIF(Control!$D$20:$D$100,Y$2)=0),VISUM_Freeway_OD!Y35*Control!$B$2,0)</f>
        <v>0</v>
      </c>
      <c r="Z35">
        <f>IF(AND(COUNTIF(Control!$D$20:$D$100,$B35)=0,COUNTIF(Control!$D$20:$D$100,Z$2)=0),VISUM_Freeway_OD!Z35*Control!$B$2,0)</f>
        <v>0</v>
      </c>
      <c r="AA35">
        <f>IF(AND(COUNTIF(Control!$D$20:$D$100,$B35)=0,COUNTIF(Control!$D$20:$D$100,AA$2)=0),VISUM_Freeway_OD!AA35*Control!$B$2,0)</f>
        <v>0</v>
      </c>
      <c r="AB35">
        <f>IF(AND(COUNTIF(Control!$D$20:$D$100,$B35)=0,COUNTIF(Control!$D$20:$D$100,AB$2)=0),VISUM_Freeway_OD!AB35*Control!$B$2,0)</f>
        <v>0</v>
      </c>
      <c r="AC35">
        <f>IF(AND(COUNTIF(Control!$D$20:$D$100,$B35)=0,COUNTIF(Control!$D$20:$D$100,AC$2)=0),VISUM_Freeway_OD!AC35*Control!$B$2,0)</f>
        <v>0</v>
      </c>
      <c r="AD35">
        <f>IF(AND(COUNTIF(Control!$D$20:$D$100,$B35)=0,COUNTIF(Control!$D$20:$D$100,AD$2)=0),VISUM_Freeway_OD!AD35*Control!$B$2,0)</f>
        <v>0</v>
      </c>
      <c r="AE35">
        <f>IF(AND(COUNTIF(Control!$D$20:$D$100,$B35)=0,COUNTIF(Control!$D$20:$D$100,AE$2)=0),VISUM_Freeway_OD!AE35*Control!$B$2,0)</f>
        <v>3.5290025699999998</v>
      </c>
      <c r="AF35">
        <f>IF(AND(COUNTIF(Control!$D$20:$D$100,$B35)=0,COUNTIF(Control!$D$20:$D$100,AF$2)=0),VISUM_Freeway_OD!AF35*Control!$B$2,0)</f>
        <v>0</v>
      </c>
      <c r="AG35">
        <f>IF(AND(COUNTIF(Control!$D$20:$D$100,$B35)=0,COUNTIF(Control!$D$20:$D$100,AG$2)=0),VISUM_Freeway_OD!AG35*Control!$B$2,0)</f>
        <v>0</v>
      </c>
      <c r="AH35">
        <f>IF(AND(COUNTIF(Control!$D$20:$D$100,$B35)=0,COUNTIF(Control!$D$20:$D$100,AH$2)=0),VISUM_Freeway_OD!AH35*Control!$B$2,0)</f>
        <v>0</v>
      </c>
      <c r="AI35">
        <f>IF(AND(COUNTIF(Control!$D$20:$D$100,$B35)=0,COUNTIF(Control!$D$20:$D$100,AI$2)=0),VISUM_Freeway_OD!AI35*Control!$B$2,0)</f>
        <v>0</v>
      </c>
      <c r="AJ35">
        <f>IF(AND(COUNTIF(Control!$D$20:$D$100,$B35)=0,COUNTIF(Control!$D$20:$D$100,AJ$2)=0),VISUM_Freeway_OD!AJ35*Control!$B$2,0)</f>
        <v>0</v>
      </c>
      <c r="AK35">
        <f>IF(AND(COUNTIF(Control!$D$20:$D$100,$B35)=0,COUNTIF(Control!$D$20:$D$100,AK$2)=0),VISUM_Freeway_OD!AK35*Control!$B$2,0)</f>
        <v>0</v>
      </c>
      <c r="AL35">
        <f>IF(AND(COUNTIF(Control!$D$20:$D$100,$B35)=0,COUNTIF(Control!$D$20:$D$100,AL$2)=0),VISUM_Freeway_OD!AL35*Control!$B$2,0)</f>
        <v>7.8936000000000006E-3</v>
      </c>
      <c r="AM35">
        <f>IF(AND(COUNTIF(Control!$D$20:$D$100,$B35)=0,COUNTIF(Control!$D$20:$D$100,AM$2)=0),VISUM_Freeway_OD!AM35*Control!$B$2,0)</f>
        <v>0</v>
      </c>
      <c r="AN35">
        <f>IF(AND(COUNTIF(Control!$D$20:$D$100,$B35)=0,COUNTIF(Control!$D$20:$D$100,AN$2)=0),VISUM_Freeway_OD!AN35*Control!$B$2,0)</f>
        <v>0</v>
      </c>
      <c r="AO35">
        <f>IF(AND(COUNTIF(Control!$D$20:$D$100,$B35)=0,COUNTIF(Control!$D$20:$D$100,AO$2)=0),VISUM_Freeway_OD!AO35*Control!$B$2,0)</f>
        <v>0</v>
      </c>
      <c r="AP35">
        <f>IF(AND(COUNTIF(Control!$D$20:$D$100,$B35)=0,COUNTIF(Control!$D$20:$D$100,AP$2)=0),VISUM_Freeway_OD!AP35*Control!$B$2,0)</f>
        <v>0</v>
      </c>
      <c r="AQ35">
        <f>IF(AND(COUNTIF(Control!$D$20:$D$100,$B35)=0,COUNTIF(Control!$D$20:$D$100,AQ$2)=0),VISUM_Freeway_OD!AQ35*Control!$B$2,0)</f>
        <v>0</v>
      </c>
      <c r="AR35">
        <f>IF(AND(COUNTIF(Control!$D$20:$D$100,$B35)=0,COUNTIF(Control!$D$20:$D$100,AR$2)=0),VISUM_Freeway_OD!AR35*Control!$B$2,0)</f>
        <v>0</v>
      </c>
      <c r="AS35">
        <f>IF(AND(COUNTIF(Control!$D$20:$D$100,$B35)=0,COUNTIF(Control!$D$20:$D$100,AS$2)=0),VISUM_Freeway_OD!AS35*Control!$B$2,0)</f>
        <v>0</v>
      </c>
      <c r="AT35">
        <f>IF(AND(COUNTIF(Control!$D$20:$D$100,$B35)=0,COUNTIF(Control!$D$20:$D$100,AT$2)=0),VISUM_Freeway_OD!AT35*Control!$B$2,0)</f>
        <v>0</v>
      </c>
      <c r="AU35">
        <f>IF(AND(COUNTIF(Control!$D$20:$D$100,$B35)=0,COUNTIF(Control!$D$20:$D$100,AU$2)=0),VISUM_Freeway_OD!AU35*Control!$B$2,0)</f>
        <v>0</v>
      </c>
      <c r="AV35">
        <f>IF(AND(COUNTIF(Control!$D$20:$D$100,$B35)=0,COUNTIF(Control!$D$20:$D$100,AV$2)=0),VISUM_Freeway_OD!AV35*Control!$B$2,0)</f>
        <v>0</v>
      </c>
      <c r="AW35">
        <f>IF(AND(COUNTIF(Control!$D$20:$D$100,$B35)=0,COUNTIF(Control!$D$20:$D$100,AW$2)=0),VISUM_Freeway_OD!AW35*Control!$B$2,0)</f>
        <v>0</v>
      </c>
      <c r="AX35">
        <f>IF(AND(COUNTIF(Control!$D$20:$D$100,$B35)=0,COUNTIF(Control!$D$20:$D$100,AX$2)=0),VISUM_Freeway_OD!AX35*Control!$B$2,0)</f>
        <v>0</v>
      </c>
      <c r="AY35">
        <f>IF(AND(COUNTIF(Control!$D$20:$D$100,$B35)=0,COUNTIF(Control!$D$20:$D$100,AY$2)=0),VISUM_Freeway_OD!AY35*Control!$B$2,0)</f>
        <v>0</v>
      </c>
    </row>
    <row r="36" spans="1:51" x14ac:dyDescent="0.25">
      <c r="A36" s="4">
        <f>IF(VLOOKUP(B36,Freeway_Zone_Link_Mapping!$A:$C,2,FALSE)&lt;&gt;"",VLOOKUP(B36,Freeway_Zone_Link_Mapping!$A:$C,2,FALSE),"")</f>
        <v>262</v>
      </c>
      <c r="B36" s="4">
        <v>56</v>
      </c>
      <c r="C36">
        <f>IF(AND(COUNTIF(Control!$D$20:$D$100,$B36)=0,COUNTIF(Control!$D$20:$D$100,C$2)=0),VISUM_Freeway_OD!C36*Control!$B$2,0)</f>
        <v>0</v>
      </c>
      <c r="D36">
        <f>IF(AND(COUNTIF(Control!$D$20:$D$100,$B36)=0,COUNTIF(Control!$D$20:$D$100,D$2)=0),VISUM_Freeway_OD!D36*Control!$B$2,0)</f>
        <v>0</v>
      </c>
      <c r="E36">
        <f>IF(AND(COUNTIF(Control!$D$20:$D$100,$B36)=0,COUNTIF(Control!$D$20:$D$100,E$2)=0),VISUM_Freeway_OD!E36*Control!$B$2,0)</f>
        <v>0</v>
      </c>
      <c r="F36">
        <f>IF(AND(COUNTIF(Control!$D$20:$D$100,$B36)=0,COUNTIF(Control!$D$20:$D$100,F$2)=0),VISUM_Freeway_OD!F36*Control!$B$2,0)</f>
        <v>0</v>
      </c>
      <c r="G36">
        <f>IF(AND(COUNTIF(Control!$D$20:$D$100,$B36)=0,COUNTIF(Control!$D$20:$D$100,G$2)=0),VISUM_Freeway_OD!G36*Control!$B$2,0)</f>
        <v>0</v>
      </c>
      <c r="H36">
        <f>IF(AND(COUNTIF(Control!$D$20:$D$100,$B36)=0,COUNTIF(Control!$D$20:$D$100,H$2)=0),VISUM_Freeway_OD!H36*Control!$B$2,0)</f>
        <v>0</v>
      </c>
      <c r="I36">
        <f>IF(AND(COUNTIF(Control!$D$20:$D$100,$B36)=0,COUNTIF(Control!$D$20:$D$100,I$2)=0),VISUM_Freeway_OD!I36*Control!$B$2,0)</f>
        <v>0</v>
      </c>
      <c r="J36">
        <f>IF(AND(COUNTIF(Control!$D$20:$D$100,$B36)=0,COUNTIF(Control!$D$20:$D$100,J$2)=0),VISUM_Freeway_OD!J36*Control!$B$2,0)</f>
        <v>0</v>
      </c>
      <c r="K36">
        <f>IF(AND(COUNTIF(Control!$D$20:$D$100,$B36)=0,COUNTIF(Control!$D$20:$D$100,K$2)=0),VISUM_Freeway_OD!K36*Control!$B$2,0)</f>
        <v>0</v>
      </c>
      <c r="L36">
        <f>IF(AND(COUNTIF(Control!$D$20:$D$100,$B36)=0,COUNTIF(Control!$D$20:$D$100,L$2)=0),VISUM_Freeway_OD!L36*Control!$B$2,0)</f>
        <v>0</v>
      </c>
      <c r="M36">
        <f>IF(AND(COUNTIF(Control!$D$20:$D$100,$B36)=0,COUNTIF(Control!$D$20:$D$100,M$2)=0),VISUM_Freeway_OD!M36*Control!$B$2,0)</f>
        <v>0</v>
      </c>
      <c r="N36">
        <f>IF(AND(COUNTIF(Control!$D$20:$D$100,$B36)=0,COUNTIF(Control!$D$20:$D$100,N$2)=0),VISUM_Freeway_OD!N36*Control!$B$2,0)</f>
        <v>0</v>
      </c>
      <c r="O36">
        <f>IF(AND(COUNTIF(Control!$D$20:$D$100,$B36)=0,COUNTIF(Control!$D$20:$D$100,O$2)=0),VISUM_Freeway_OD!O36*Control!$B$2,0)</f>
        <v>0</v>
      </c>
      <c r="P36">
        <f>IF(AND(COUNTIF(Control!$D$20:$D$100,$B36)=0,COUNTIF(Control!$D$20:$D$100,P$2)=0),VISUM_Freeway_OD!P36*Control!$B$2,0)</f>
        <v>0</v>
      </c>
      <c r="Q36">
        <f>IF(AND(COUNTIF(Control!$D$20:$D$100,$B36)=0,COUNTIF(Control!$D$20:$D$100,Q$2)=0),VISUM_Freeway_OD!Q36*Control!$B$2,0)</f>
        <v>0</v>
      </c>
      <c r="R36">
        <f>IF(AND(COUNTIF(Control!$D$20:$D$100,$B36)=0,COUNTIF(Control!$D$20:$D$100,R$2)=0),VISUM_Freeway_OD!R36*Control!$B$2,0)</f>
        <v>0</v>
      </c>
      <c r="S36">
        <f>IF(AND(COUNTIF(Control!$D$20:$D$100,$B36)=0,COUNTIF(Control!$D$20:$D$100,S$2)=0),VISUM_Freeway_OD!S36*Control!$B$2,0)</f>
        <v>0</v>
      </c>
      <c r="T36">
        <f>IF(AND(COUNTIF(Control!$D$20:$D$100,$B36)=0,COUNTIF(Control!$D$20:$D$100,T$2)=0),VISUM_Freeway_OD!T36*Control!$B$2,0)</f>
        <v>0</v>
      </c>
      <c r="U36">
        <f>IF(AND(COUNTIF(Control!$D$20:$D$100,$B36)=0,COUNTIF(Control!$D$20:$D$100,U$2)=0),VISUM_Freeway_OD!U36*Control!$B$2,0)</f>
        <v>0</v>
      </c>
      <c r="V36">
        <f>IF(AND(COUNTIF(Control!$D$20:$D$100,$B36)=0,COUNTIF(Control!$D$20:$D$100,V$2)=0),VISUM_Freeway_OD!V36*Control!$B$2,0)</f>
        <v>0</v>
      </c>
      <c r="W36">
        <f>IF(AND(COUNTIF(Control!$D$20:$D$100,$B36)=0,COUNTIF(Control!$D$20:$D$100,W$2)=0),VISUM_Freeway_OD!W36*Control!$B$2,0)</f>
        <v>0</v>
      </c>
      <c r="X36">
        <f>IF(AND(COUNTIF(Control!$D$20:$D$100,$B36)=0,COUNTIF(Control!$D$20:$D$100,X$2)=0),VISUM_Freeway_OD!X36*Control!$B$2,0)</f>
        <v>0</v>
      </c>
      <c r="Y36">
        <f>IF(AND(COUNTIF(Control!$D$20:$D$100,$B36)=0,COUNTIF(Control!$D$20:$D$100,Y$2)=0),VISUM_Freeway_OD!Y36*Control!$B$2,0)</f>
        <v>0</v>
      </c>
      <c r="Z36">
        <f>IF(AND(COUNTIF(Control!$D$20:$D$100,$B36)=0,COUNTIF(Control!$D$20:$D$100,Z$2)=0),VISUM_Freeway_OD!Z36*Control!$B$2,0)</f>
        <v>0</v>
      </c>
      <c r="AA36">
        <f>IF(AND(COUNTIF(Control!$D$20:$D$100,$B36)=0,COUNTIF(Control!$D$20:$D$100,AA$2)=0),VISUM_Freeway_OD!AA36*Control!$B$2,0)</f>
        <v>0</v>
      </c>
      <c r="AB36">
        <f>IF(AND(COUNTIF(Control!$D$20:$D$100,$B36)=0,COUNTIF(Control!$D$20:$D$100,AB$2)=0),VISUM_Freeway_OD!AB36*Control!$B$2,0)</f>
        <v>0</v>
      </c>
      <c r="AC36">
        <f>IF(AND(COUNTIF(Control!$D$20:$D$100,$B36)=0,COUNTIF(Control!$D$20:$D$100,AC$2)=0),VISUM_Freeway_OD!AC36*Control!$B$2,0)</f>
        <v>0</v>
      </c>
      <c r="AD36">
        <f>IF(AND(COUNTIF(Control!$D$20:$D$100,$B36)=0,COUNTIF(Control!$D$20:$D$100,AD$2)=0),VISUM_Freeway_OD!AD36*Control!$B$2,0)</f>
        <v>0</v>
      </c>
      <c r="AE36">
        <f>IF(AND(COUNTIF(Control!$D$20:$D$100,$B36)=0,COUNTIF(Control!$D$20:$D$100,AE$2)=0),VISUM_Freeway_OD!AE36*Control!$B$2,0)</f>
        <v>0</v>
      </c>
      <c r="AF36">
        <f>IF(AND(COUNTIF(Control!$D$20:$D$100,$B36)=0,COUNTIF(Control!$D$20:$D$100,AF$2)=0),VISUM_Freeway_OD!AF36*Control!$B$2,0)</f>
        <v>0</v>
      </c>
      <c r="AG36">
        <f>IF(AND(COUNTIF(Control!$D$20:$D$100,$B36)=0,COUNTIF(Control!$D$20:$D$100,AG$2)=0),VISUM_Freeway_OD!AG36*Control!$B$2,0)</f>
        <v>0</v>
      </c>
      <c r="AH36">
        <f>IF(AND(COUNTIF(Control!$D$20:$D$100,$B36)=0,COUNTIF(Control!$D$20:$D$100,AH$2)=0),VISUM_Freeway_OD!AH36*Control!$B$2,0)</f>
        <v>0</v>
      </c>
      <c r="AI36">
        <f>IF(AND(COUNTIF(Control!$D$20:$D$100,$B36)=0,COUNTIF(Control!$D$20:$D$100,AI$2)=0),VISUM_Freeway_OD!AI36*Control!$B$2,0)</f>
        <v>0</v>
      </c>
      <c r="AJ36">
        <f>IF(AND(COUNTIF(Control!$D$20:$D$100,$B36)=0,COUNTIF(Control!$D$20:$D$100,AJ$2)=0),VISUM_Freeway_OD!AJ36*Control!$B$2,0)</f>
        <v>0</v>
      </c>
      <c r="AK36">
        <f>IF(AND(COUNTIF(Control!$D$20:$D$100,$B36)=0,COUNTIF(Control!$D$20:$D$100,AK$2)=0),VISUM_Freeway_OD!AK36*Control!$B$2,0)</f>
        <v>0</v>
      </c>
      <c r="AL36">
        <f>IF(AND(COUNTIF(Control!$D$20:$D$100,$B36)=0,COUNTIF(Control!$D$20:$D$100,AL$2)=0),VISUM_Freeway_OD!AL36*Control!$B$2,0)</f>
        <v>0</v>
      </c>
      <c r="AM36">
        <f>IF(AND(COUNTIF(Control!$D$20:$D$100,$B36)=0,COUNTIF(Control!$D$20:$D$100,AM$2)=0),VISUM_Freeway_OD!AM36*Control!$B$2,0)</f>
        <v>0</v>
      </c>
      <c r="AN36">
        <f>IF(AND(COUNTIF(Control!$D$20:$D$100,$B36)=0,COUNTIF(Control!$D$20:$D$100,AN$2)=0),VISUM_Freeway_OD!AN36*Control!$B$2,0)</f>
        <v>0</v>
      </c>
      <c r="AO36">
        <f>IF(AND(COUNTIF(Control!$D$20:$D$100,$B36)=0,COUNTIF(Control!$D$20:$D$100,AO$2)=0),VISUM_Freeway_OD!AO36*Control!$B$2,0)</f>
        <v>0</v>
      </c>
      <c r="AP36">
        <f>IF(AND(COUNTIF(Control!$D$20:$D$100,$B36)=0,COUNTIF(Control!$D$20:$D$100,AP$2)=0),VISUM_Freeway_OD!AP36*Control!$B$2,0)</f>
        <v>0</v>
      </c>
      <c r="AQ36">
        <f>IF(AND(COUNTIF(Control!$D$20:$D$100,$B36)=0,COUNTIF(Control!$D$20:$D$100,AQ$2)=0),VISUM_Freeway_OD!AQ36*Control!$B$2,0)</f>
        <v>0</v>
      </c>
      <c r="AR36">
        <f>IF(AND(COUNTIF(Control!$D$20:$D$100,$B36)=0,COUNTIF(Control!$D$20:$D$100,AR$2)=0),VISUM_Freeway_OD!AR36*Control!$B$2,0)</f>
        <v>0</v>
      </c>
      <c r="AS36">
        <f>IF(AND(COUNTIF(Control!$D$20:$D$100,$B36)=0,COUNTIF(Control!$D$20:$D$100,AS$2)=0),VISUM_Freeway_OD!AS36*Control!$B$2,0)</f>
        <v>0</v>
      </c>
      <c r="AT36">
        <f>IF(AND(COUNTIF(Control!$D$20:$D$100,$B36)=0,COUNTIF(Control!$D$20:$D$100,AT$2)=0),VISUM_Freeway_OD!AT36*Control!$B$2,0)</f>
        <v>0</v>
      </c>
      <c r="AU36">
        <f>IF(AND(COUNTIF(Control!$D$20:$D$100,$B36)=0,COUNTIF(Control!$D$20:$D$100,AU$2)=0),VISUM_Freeway_OD!AU36*Control!$B$2,0)</f>
        <v>0</v>
      </c>
      <c r="AV36">
        <f>IF(AND(COUNTIF(Control!$D$20:$D$100,$B36)=0,COUNTIF(Control!$D$20:$D$100,AV$2)=0),VISUM_Freeway_OD!AV36*Control!$B$2,0)</f>
        <v>0</v>
      </c>
      <c r="AW36">
        <f>IF(AND(COUNTIF(Control!$D$20:$D$100,$B36)=0,COUNTIF(Control!$D$20:$D$100,AW$2)=0),VISUM_Freeway_OD!AW36*Control!$B$2,0)</f>
        <v>0</v>
      </c>
      <c r="AX36">
        <f>IF(AND(COUNTIF(Control!$D$20:$D$100,$B36)=0,COUNTIF(Control!$D$20:$D$100,AX$2)=0),VISUM_Freeway_OD!AX36*Control!$B$2,0)</f>
        <v>0</v>
      </c>
      <c r="AY36">
        <f>IF(AND(COUNTIF(Control!$D$20:$D$100,$B36)=0,COUNTIF(Control!$D$20:$D$100,AY$2)=0),VISUM_Freeway_OD!AY36*Control!$B$2,0)</f>
        <v>2.7000171299999995</v>
      </c>
    </row>
    <row r="37" spans="1:51" x14ac:dyDescent="0.25">
      <c r="A37" s="4">
        <f>IF(VLOOKUP(B37,Freeway_Zone_Link_Mapping!$A:$C,2,FALSE)&lt;&gt;"",VLOOKUP(B37,Freeway_Zone_Link_Mapping!$A:$C,2,FALSE),"")</f>
        <v>459</v>
      </c>
      <c r="B37" s="4">
        <v>57</v>
      </c>
      <c r="C37">
        <f>IF(AND(COUNTIF(Control!$D$20:$D$100,$B37)=0,COUNTIF(Control!$D$20:$D$100,C$2)=0),VISUM_Freeway_OD!C37*Control!$B$2,0)</f>
        <v>0</v>
      </c>
      <c r="D37">
        <f>IF(AND(COUNTIF(Control!$D$20:$D$100,$B37)=0,COUNTIF(Control!$D$20:$D$100,D$2)=0),VISUM_Freeway_OD!D37*Control!$B$2,0)</f>
        <v>0</v>
      </c>
      <c r="E37">
        <f>IF(AND(COUNTIF(Control!$D$20:$D$100,$B37)=0,COUNTIF(Control!$D$20:$D$100,E$2)=0),VISUM_Freeway_OD!E37*Control!$B$2,0)</f>
        <v>0</v>
      </c>
      <c r="F37">
        <f>IF(AND(COUNTIF(Control!$D$20:$D$100,$B37)=0,COUNTIF(Control!$D$20:$D$100,F$2)=0),VISUM_Freeway_OD!F37*Control!$B$2,0)</f>
        <v>0</v>
      </c>
      <c r="G37">
        <f>IF(AND(COUNTIF(Control!$D$20:$D$100,$B37)=0,COUNTIF(Control!$D$20:$D$100,G$2)=0),VISUM_Freeway_OD!G37*Control!$B$2,0)</f>
        <v>0</v>
      </c>
      <c r="H37">
        <f>IF(AND(COUNTIF(Control!$D$20:$D$100,$B37)=0,COUNTIF(Control!$D$20:$D$100,H$2)=0),VISUM_Freeway_OD!H37*Control!$B$2,0)</f>
        <v>1.2422503499999999</v>
      </c>
      <c r="I37">
        <f>IF(AND(COUNTIF(Control!$D$20:$D$100,$B37)=0,COUNTIF(Control!$D$20:$D$100,I$2)=0),VISUM_Freeway_OD!I37*Control!$B$2,0)</f>
        <v>0</v>
      </c>
      <c r="J37">
        <f>IF(AND(COUNTIF(Control!$D$20:$D$100,$B37)=0,COUNTIF(Control!$D$20:$D$100,J$2)=0),VISUM_Freeway_OD!J37*Control!$B$2,0)</f>
        <v>0</v>
      </c>
      <c r="K37">
        <f>IF(AND(COUNTIF(Control!$D$20:$D$100,$B37)=0,COUNTIF(Control!$D$20:$D$100,K$2)=0),VISUM_Freeway_OD!K37*Control!$B$2,0)</f>
        <v>0.17060157000000001</v>
      </c>
      <c r="L37">
        <f>IF(AND(COUNTIF(Control!$D$20:$D$100,$B37)=0,COUNTIF(Control!$D$20:$D$100,L$2)=0),VISUM_Freeway_OD!L37*Control!$B$2,0)</f>
        <v>0</v>
      </c>
      <c r="M37">
        <f>IF(AND(COUNTIF(Control!$D$20:$D$100,$B37)=0,COUNTIF(Control!$D$20:$D$100,M$2)=0),VISUM_Freeway_OD!M37*Control!$B$2,0)</f>
        <v>1.97311188</v>
      </c>
      <c r="N37">
        <f>IF(AND(COUNTIF(Control!$D$20:$D$100,$B37)=0,COUNTIF(Control!$D$20:$D$100,N$2)=0),VISUM_Freeway_OD!N37*Control!$B$2,0)</f>
        <v>5.6316204900000004</v>
      </c>
      <c r="O37">
        <f>IF(AND(COUNTIF(Control!$D$20:$D$100,$B37)=0,COUNTIF(Control!$D$20:$D$100,O$2)=0),VISUM_Freeway_OD!O37*Control!$B$2,0)</f>
        <v>0</v>
      </c>
      <c r="P37">
        <f>IF(AND(COUNTIF(Control!$D$20:$D$100,$B37)=0,COUNTIF(Control!$D$20:$D$100,P$2)=0),VISUM_Freeway_OD!P37*Control!$B$2,0)</f>
        <v>0</v>
      </c>
      <c r="Q37">
        <f>IF(AND(COUNTIF(Control!$D$20:$D$100,$B37)=0,COUNTIF(Control!$D$20:$D$100,Q$2)=0),VISUM_Freeway_OD!Q37*Control!$B$2,0)</f>
        <v>0</v>
      </c>
      <c r="R37">
        <f>IF(AND(COUNTIF(Control!$D$20:$D$100,$B37)=0,COUNTIF(Control!$D$20:$D$100,R$2)=0),VISUM_Freeway_OD!R37*Control!$B$2,0)</f>
        <v>0</v>
      </c>
      <c r="S37">
        <f>IF(AND(COUNTIF(Control!$D$20:$D$100,$B37)=0,COUNTIF(Control!$D$20:$D$100,S$2)=0),VISUM_Freeway_OD!S37*Control!$B$2,0)</f>
        <v>3.7404111299999996</v>
      </c>
      <c r="T37">
        <f>IF(AND(COUNTIF(Control!$D$20:$D$100,$B37)=0,COUNTIF(Control!$D$20:$D$100,T$2)=0),VISUM_Freeway_OD!T37*Control!$B$2,0)</f>
        <v>5.2508550000000001E-2</v>
      </c>
      <c r="U37">
        <f>IF(AND(COUNTIF(Control!$D$20:$D$100,$B37)=0,COUNTIF(Control!$D$20:$D$100,U$2)=0),VISUM_Freeway_OD!U37*Control!$B$2,0)</f>
        <v>0</v>
      </c>
      <c r="V37">
        <f>IF(AND(COUNTIF(Control!$D$20:$D$100,$B37)=0,COUNTIF(Control!$D$20:$D$100,V$2)=0),VISUM_Freeway_OD!V37*Control!$B$2,0)</f>
        <v>0</v>
      </c>
      <c r="W37">
        <f>IF(AND(COUNTIF(Control!$D$20:$D$100,$B37)=0,COUNTIF(Control!$D$20:$D$100,W$2)=0),VISUM_Freeway_OD!W37*Control!$B$2,0)</f>
        <v>0</v>
      </c>
      <c r="X37">
        <f>IF(AND(COUNTIF(Control!$D$20:$D$100,$B37)=0,COUNTIF(Control!$D$20:$D$100,X$2)=0),VISUM_Freeway_OD!X37*Control!$B$2,0)</f>
        <v>0</v>
      </c>
      <c r="Y37">
        <f>IF(AND(COUNTIF(Control!$D$20:$D$100,$B37)=0,COUNTIF(Control!$D$20:$D$100,Y$2)=0),VISUM_Freeway_OD!Y37*Control!$B$2,0)</f>
        <v>0</v>
      </c>
      <c r="Z37">
        <f>IF(AND(COUNTIF(Control!$D$20:$D$100,$B37)=0,COUNTIF(Control!$D$20:$D$100,Z$2)=0),VISUM_Freeway_OD!Z37*Control!$B$2,0)</f>
        <v>0</v>
      </c>
      <c r="AA37">
        <f>IF(AND(COUNTIF(Control!$D$20:$D$100,$B37)=0,COUNTIF(Control!$D$20:$D$100,AA$2)=0),VISUM_Freeway_OD!AA37*Control!$B$2,0)</f>
        <v>0</v>
      </c>
      <c r="AB37">
        <f>IF(AND(COUNTIF(Control!$D$20:$D$100,$B37)=0,COUNTIF(Control!$D$20:$D$100,AB$2)=0),VISUM_Freeway_OD!AB37*Control!$B$2,0)</f>
        <v>3.2343419999999998E-2</v>
      </c>
      <c r="AC37">
        <f>IF(AND(COUNTIF(Control!$D$20:$D$100,$B37)=0,COUNTIF(Control!$D$20:$D$100,AC$2)=0),VISUM_Freeway_OD!AC37*Control!$B$2,0)</f>
        <v>0</v>
      </c>
      <c r="AD37">
        <f>IF(AND(COUNTIF(Control!$D$20:$D$100,$B37)=0,COUNTIF(Control!$D$20:$D$100,AD$2)=0),VISUM_Freeway_OD!AD37*Control!$B$2,0)</f>
        <v>0</v>
      </c>
      <c r="AE37">
        <f>IF(AND(COUNTIF(Control!$D$20:$D$100,$B37)=0,COUNTIF(Control!$D$20:$D$100,AE$2)=0),VISUM_Freeway_OD!AE37*Control!$B$2,0)</f>
        <v>3.9568559999999996E-2</v>
      </c>
      <c r="AF37">
        <f>IF(AND(COUNTIF(Control!$D$20:$D$100,$B37)=0,COUNTIF(Control!$D$20:$D$100,AF$2)=0),VISUM_Freeway_OD!AF37*Control!$B$2,0)</f>
        <v>0</v>
      </c>
      <c r="AG37">
        <f>IF(AND(COUNTIF(Control!$D$20:$D$100,$B37)=0,COUNTIF(Control!$D$20:$D$100,AG$2)=0),VISUM_Freeway_OD!AG37*Control!$B$2,0)</f>
        <v>0</v>
      </c>
      <c r="AH37">
        <f>IF(AND(COUNTIF(Control!$D$20:$D$100,$B37)=0,COUNTIF(Control!$D$20:$D$100,AH$2)=0),VISUM_Freeway_OD!AH37*Control!$B$2,0)</f>
        <v>0</v>
      </c>
      <c r="AI37">
        <f>IF(AND(COUNTIF(Control!$D$20:$D$100,$B37)=0,COUNTIF(Control!$D$20:$D$100,AI$2)=0),VISUM_Freeway_OD!AI37*Control!$B$2,0)</f>
        <v>0</v>
      </c>
      <c r="AJ37">
        <f>IF(AND(COUNTIF(Control!$D$20:$D$100,$B37)=0,COUNTIF(Control!$D$20:$D$100,AJ$2)=0),VISUM_Freeway_OD!AJ37*Control!$B$2,0)</f>
        <v>0</v>
      </c>
      <c r="AK37">
        <f>IF(AND(COUNTIF(Control!$D$20:$D$100,$B37)=0,COUNTIF(Control!$D$20:$D$100,AK$2)=0),VISUM_Freeway_OD!AK37*Control!$B$2,0)</f>
        <v>0</v>
      </c>
      <c r="AL37">
        <f>IF(AND(COUNTIF(Control!$D$20:$D$100,$B37)=0,COUNTIF(Control!$D$20:$D$100,AL$2)=0),VISUM_Freeway_OD!AL37*Control!$B$2,0)</f>
        <v>0</v>
      </c>
      <c r="AM37">
        <f>IF(AND(COUNTIF(Control!$D$20:$D$100,$B37)=0,COUNTIF(Control!$D$20:$D$100,AM$2)=0),VISUM_Freeway_OD!AM37*Control!$B$2,0)</f>
        <v>0</v>
      </c>
      <c r="AN37">
        <f>IF(AND(COUNTIF(Control!$D$20:$D$100,$B37)=0,COUNTIF(Control!$D$20:$D$100,AN$2)=0),VISUM_Freeway_OD!AN37*Control!$B$2,0)</f>
        <v>0</v>
      </c>
      <c r="AO37">
        <f>IF(AND(COUNTIF(Control!$D$20:$D$100,$B37)=0,COUNTIF(Control!$D$20:$D$100,AO$2)=0),VISUM_Freeway_OD!AO37*Control!$B$2,0)</f>
        <v>0</v>
      </c>
      <c r="AP37">
        <f>IF(AND(COUNTIF(Control!$D$20:$D$100,$B37)=0,COUNTIF(Control!$D$20:$D$100,AP$2)=0),VISUM_Freeway_OD!AP37*Control!$B$2,0)</f>
        <v>0</v>
      </c>
      <c r="AQ37">
        <f>IF(AND(COUNTIF(Control!$D$20:$D$100,$B37)=0,COUNTIF(Control!$D$20:$D$100,AQ$2)=0),VISUM_Freeway_OD!AQ37*Control!$B$2,0)</f>
        <v>0</v>
      </c>
      <c r="AR37">
        <f>IF(AND(COUNTIF(Control!$D$20:$D$100,$B37)=0,COUNTIF(Control!$D$20:$D$100,AR$2)=0),VISUM_Freeway_OD!AR37*Control!$B$2,0)</f>
        <v>0</v>
      </c>
      <c r="AS37">
        <f>IF(AND(COUNTIF(Control!$D$20:$D$100,$B37)=0,COUNTIF(Control!$D$20:$D$100,AS$2)=0),VISUM_Freeway_OD!AS37*Control!$B$2,0)</f>
        <v>0</v>
      </c>
      <c r="AT37">
        <f>IF(AND(COUNTIF(Control!$D$20:$D$100,$B37)=0,COUNTIF(Control!$D$20:$D$100,AT$2)=0),VISUM_Freeway_OD!AT37*Control!$B$2,0)</f>
        <v>0</v>
      </c>
      <c r="AU37">
        <f>IF(AND(COUNTIF(Control!$D$20:$D$100,$B37)=0,COUNTIF(Control!$D$20:$D$100,AU$2)=0),VISUM_Freeway_OD!AU37*Control!$B$2,0)</f>
        <v>0</v>
      </c>
      <c r="AV37">
        <f>IF(AND(COUNTIF(Control!$D$20:$D$100,$B37)=0,COUNTIF(Control!$D$20:$D$100,AV$2)=0),VISUM_Freeway_OD!AV37*Control!$B$2,0)</f>
        <v>0</v>
      </c>
      <c r="AW37">
        <f>IF(AND(COUNTIF(Control!$D$20:$D$100,$B37)=0,COUNTIF(Control!$D$20:$D$100,AW$2)=0),VISUM_Freeway_OD!AW37*Control!$B$2,0)</f>
        <v>0</v>
      </c>
      <c r="AX37">
        <f>IF(AND(COUNTIF(Control!$D$20:$D$100,$B37)=0,COUNTIF(Control!$D$20:$D$100,AX$2)=0),VISUM_Freeway_OD!AX37*Control!$B$2,0)</f>
        <v>0</v>
      </c>
      <c r="AY37">
        <f>IF(AND(COUNTIF(Control!$D$20:$D$100,$B37)=0,COUNTIF(Control!$D$20:$D$100,AY$2)=0),VISUM_Freeway_OD!AY37*Control!$B$2,0)</f>
        <v>0</v>
      </c>
    </row>
    <row r="38" spans="1:51" x14ac:dyDescent="0.25">
      <c r="A38" s="4">
        <f>IF(VLOOKUP(B38,Freeway_Zone_Link_Mapping!$A:$C,2,FALSE)&lt;&gt;"",VLOOKUP(B38,Freeway_Zone_Link_Mapping!$A:$C,2,FALSE),"")</f>
        <v>28240364</v>
      </c>
      <c r="B38" s="4">
        <v>58</v>
      </c>
      <c r="C38">
        <f>IF(AND(COUNTIF(Control!$D$20:$D$100,$B38)=0,COUNTIF(Control!$D$20:$D$100,C$2)=0),VISUM_Freeway_OD!C38*Control!$B$2,0)</f>
        <v>1.6284083999999999</v>
      </c>
      <c r="D38">
        <f>IF(AND(COUNTIF(Control!$D$20:$D$100,$B38)=0,COUNTIF(Control!$D$20:$D$100,D$2)=0),VISUM_Freeway_OD!D38*Control!$B$2,0)</f>
        <v>0</v>
      </c>
      <c r="E38">
        <f>IF(AND(COUNTIF(Control!$D$20:$D$100,$B38)=0,COUNTIF(Control!$D$20:$D$100,E$2)=0),VISUM_Freeway_OD!E38*Control!$B$2,0)</f>
        <v>0.94340897999999995</v>
      </c>
      <c r="F38">
        <f>IF(AND(COUNTIF(Control!$D$20:$D$100,$B38)=0,COUNTIF(Control!$D$20:$D$100,F$2)=0),VISUM_Freeway_OD!F38*Control!$B$2,0)</f>
        <v>21.442724519999999</v>
      </c>
      <c r="G38">
        <f>IF(AND(COUNTIF(Control!$D$20:$D$100,$B38)=0,COUNTIF(Control!$D$20:$D$100,G$2)=0),VISUM_Freeway_OD!G38*Control!$B$2,0)</f>
        <v>0</v>
      </c>
      <c r="H38">
        <f>IF(AND(COUNTIF(Control!$D$20:$D$100,$B38)=0,COUNTIF(Control!$D$20:$D$100,H$2)=0),VISUM_Freeway_OD!H38*Control!$B$2,0)</f>
        <v>0</v>
      </c>
      <c r="I38">
        <f>IF(AND(COUNTIF(Control!$D$20:$D$100,$B38)=0,COUNTIF(Control!$D$20:$D$100,I$2)=0),VISUM_Freeway_OD!I38*Control!$B$2,0)</f>
        <v>0</v>
      </c>
      <c r="J38">
        <f>IF(AND(COUNTIF(Control!$D$20:$D$100,$B38)=0,COUNTIF(Control!$D$20:$D$100,J$2)=0),VISUM_Freeway_OD!J38*Control!$B$2,0)</f>
        <v>0</v>
      </c>
      <c r="K38">
        <f>IF(AND(COUNTIF(Control!$D$20:$D$100,$B38)=0,COUNTIF(Control!$D$20:$D$100,K$2)=0),VISUM_Freeway_OD!K38*Control!$B$2,0)</f>
        <v>0</v>
      </c>
      <c r="L38">
        <f>IF(AND(COUNTIF(Control!$D$20:$D$100,$B38)=0,COUNTIF(Control!$D$20:$D$100,L$2)=0),VISUM_Freeway_OD!L38*Control!$B$2,0)</f>
        <v>0</v>
      </c>
      <c r="M38">
        <f>IF(AND(COUNTIF(Control!$D$20:$D$100,$B38)=0,COUNTIF(Control!$D$20:$D$100,M$2)=0),VISUM_Freeway_OD!M38*Control!$B$2,0)</f>
        <v>0</v>
      </c>
      <c r="N38">
        <f>IF(AND(COUNTIF(Control!$D$20:$D$100,$B38)=0,COUNTIF(Control!$D$20:$D$100,N$2)=0),VISUM_Freeway_OD!N38*Control!$B$2,0)</f>
        <v>0</v>
      </c>
      <c r="O38">
        <f>IF(AND(COUNTIF(Control!$D$20:$D$100,$B38)=0,COUNTIF(Control!$D$20:$D$100,O$2)=0),VISUM_Freeway_OD!O38*Control!$B$2,0)</f>
        <v>0</v>
      </c>
      <c r="P38">
        <f>IF(AND(COUNTIF(Control!$D$20:$D$100,$B38)=0,COUNTIF(Control!$D$20:$D$100,P$2)=0),VISUM_Freeway_OD!P38*Control!$B$2,0)</f>
        <v>0</v>
      </c>
      <c r="Q38">
        <f>IF(AND(COUNTIF(Control!$D$20:$D$100,$B38)=0,COUNTIF(Control!$D$20:$D$100,Q$2)=0),VISUM_Freeway_OD!Q38*Control!$B$2,0)</f>
        <v>0</v>
      </c>
      <c r="R38">
        <f>IF(AND(COUNTIF(Control!$D$20:$D$100,$B38)=0,COUNTIF(Control!$D$20:$D$100,R$2)=0),VISUM_Freeway_OD!R38*Control!$B$2,0)</f>
        <v>0</v>
      </c>
      <c r="S38">
        <f>IF(AND(COUNTIF(Control!$D$20:$D$100,$B38)=0,COUNTIF(Control!$D$20:$D$100,S$2)=0),VISUM_Freeway_OD!S38*Control!$B$2,0)</f>
        <v>0</v>
      </c>
      <c r="T38">
        <f>IF(AND(COUNTIF(Control!$D$20:$D$100,$B38)=0,COUNTIF(Control!$D$20:$D$100,T$2)=0),VISUM_Freeway_OD!T38*Control!$B$2,0)</f>
        <v>0</v>
      </c>
      <c r="U38">
        <f>IF(AND(COUNTIF(Control!$D$20:$D$100,$B38)=0,COUNTIF(Control!$D$20:$D$100,U$2)=0),VISUM_Freeway_OD!U38*Control!$B$2,0)</f>
        <v>0</v>
      </c>
      <c r="V38">
        <f>IF(AND(COUNTIF(Control!$D$20:$D$100,$B38)=0,COUNTIF(Control!$D$20:$D$100,V$2)=0),VISUM_Freeway_OD!V38*Control!$B$2,0)</f>
        <v>0</v>
      </c>
      <c r="W38">
        <f>IF(AND(COUNTIF(Control!$D$20:$D$100,$B38)=0,COUNTIF(Control!$D$20:$D$100,W$2)=0),VISUM_Freeway_OD!W38*Control!$B$2,0)</f>
        <v>0</v>
      </c>
      <c r="X38">
        <f>IF(AND(COUNTIF(Control!$D$20:$D$100,$B38)=0,COUNTIF(Control!$D$20:$D$100,X$2)=0),VISUM_Freeway_OD!X38*Control!$B$2,0)</f>
        <v>0</v>
      </c>
      <c r="Y38">
        <f>IF(AND(COUNTIF(Control!$D$20:$D$100,$B38)=0,COUNTIF(Control!$D$20:$D$100,Y$2)=0),VISUM_Freeway_OD!Y38*Control!$B$2,0)</f>
        <v>0</v>
      </c>
      <c r="Z38">
        <f>IF(AND(COUNTIF(Control!$D$20:$D$100,$B38)=0,COUNTIF(Control!$D$20:$D$100,Z$2)=0),VISUM_Freeway_OD!Z38*Control!$B$2,0)</f>
        <v>0</v>
      </c>
      <c r="AA38">
        <f>IF(AND(COUNTIF(Control!$D$20:$D$100,$B38)=0,COUNTIF(Control!$D$20:$D$100,AA$2)=0),VISUM_Freeway_OD!AA38*Control!$B$2,0)</f>
        <v>0</v>
      </c>
      <c r="AB38">
        <f>IF(AND(COUNTIF(Control!$D$20:$D$100,$B38)=0,COUNTIF(Control!$D$20:$D$100,AB$2)=0),VISUM_Freeway_OD!AB38*Control!$B$2,0)</f>
        <v>0</v>
      </c>
      <c r="AC38">
        <f>IF(AND(COUNTIF(Control!$D$20:$D$100,$B38)=0,COUNTIF(Control!$D$20:$D$100,AC$2)=0),VISUM_Freeway_OD!AC38*Control!$B$2,0)</f>
        <v>0</v>
      </c>
      <c r="AD38">
        <f>IF(AND(COUNTIF(Control!$D$20:$D$100,$B38)=0,COUNTIF(Control!$D$20:$D$100,AD$2)=0),VISUM_Freeway_OD!AD38*Control!$B$2,0)</f>
        <v>0</v>
      </c>
      <c r="AE38">
        <f>IF(AND(COUNTIF(Control!$D$20:$D$100,$B38)=0,COUNTIF(Control!$D$20:$D$100,AE$2)=0),VISUM_Freeway_OD!AE38*Control!$B$2,0)</f>
        <v>0</v>
      </c>
      <c r="AF38">
        <f>IF(AND(COUNTIF(Control!$D$20:$D$100,$B38)=0,COUNTIF(Control!$D$20:$D$100,AF$2)=0),VISUM_Freeway_OD!AF38*Control!$B$2,0)</f>
        <v>0</v>
      </c>
      <c r="AG38">
        <f>IF(AND(COUNTIF(Control!$D$20:$D$100,$B38)=0,COUNTIF(Control!$D$20:$D$100,AG$2)=0),VISUM_Freeway_OD!AG38*Control!$B$2,0)</f>
        <v>0</v>
      </c>
      <c r="AH38">
        <f>IF(AND(COUNTIF(Control!$D$20:$D$100,$B38)=0,COUNTIF(Control!$D$20:$D$100,AH$2)=0),VISUM_Freeway_OD!AH38*Control!$B$2,0)</f>
        <v>0</v>
      </c>
      <c r="AI38">
        <f>IF(AND(COUNTIF(Control!$D$20:$D$100,$B38)=0,COUNTIF(Control!$D$20:$D$100,AI$2)=0),VISUM_Freeway_OD!AI38*Control!$B$2,0)</f>
        <v>0</v>
      </c>
      <c r="AJ38">
        <f>IF(AND(COUNTIF(Control!$D$20:$D$100,$B38)=0,COUNTIF(Control!$D$20:$D$100,AJ$2)=0),VISUM_Freeway_OD!AJ38*Control!$B$2,0)</f>
        <v>0</v>
      </c>
      <c r="AK38">
        <f>IF(AND(COUNTIF(Control!$D$20:$D$100,$B38)=0,COUNTIF(Control!$D$20:$D$100,AK$2)=0),VISUM_Freeway_OD!AK38*Control!$B$2,0)</f>
        <v>0</v>
      </c>
      <c r="AL38">
        <f>IF(AND(COUNTIF(Control!$D$20:$D$100,$B38)=0,COUNTIF(Control!$D$20:$D$100,AL$2)=0),VISUM_Freeway_OD!AL38*Control!$B$2,0)</f>
        <v>0</v>
      </c>
      <c r="AM38">
        <f>IF(AND(COUNTIF(Control!$D$20:$D$100,$B38)=0,COUNTIF(Control!$D$20:$D$100,AM$2)=0),VISUM_Freeway_OD!AM38*Control!$B$2,0)</f>
        <v>0</v>
      </c>
      <c r="AN38">
        <f>IF(AND(COUNTIF(Control!$D$20:$D$100,$B38)=0,COUNTIF(Control!$D$20:$D$100,AN$2)=0),VISUM_Freeway_OD!AN38*Control!$B$2,0)</f>
        <v>0</v>
      </c>
      <c r="AO38">
        <f>IF(AND(COUNTIF(Control!$D$20:$D$100,$B38)=0,COUNTIF(Control!$D$20:$D$100,AO$2)=0),VISUM_Freeway_OD!AO38*Control!$B$2,0)</f>
        <v>0</v>
      </c>
      <c r="AP38">
        <f>IF(AND(COUNTIF(Control!$D$20:$D$100,$B38)=0,COUNTIF(Control!$D$20:$D$100,AP$2)=0),VISUM_Freeway_OD!AP38*Control!$B$2,0)</f>
        <v>0</v>
      </c>
      <c r="AQ38">
        <f>IF(AND(COUNTIF(Control!$D$20:$D$100,$B38)=0,COUNTIF(Control!$D$20:$D$100,AQ$2)=0),VISUM_Freeway_OD!AQ38*Control!$B$2,0)</f>
        <v>0</v>
      </c>
      <c r="AR38">
        <f>IF(AND(COUNTIF(Control!$D$20:$D$100,$B38)=0,COUNTIF(Control!$D$20:$D$100,AR$2)=0),VISUM_Freeway_OD!AR38*Control!$B$2,0)</f>
        <v>0</v>
      </c>
      <c r="AS38">
        <f>IF(AND(COUNTIF(Control!$D$20:$D$100,$B38)=0,COUNTIF(Control!$D$20:$D$100,AS$2)=0),VISUM_Freeway_OD!AS38*Control!$B$2,0)</f>
        <v>0</v>
      </c>
      <c r="AT38">
        <f>IF(AND(COUNTIF(Control!$D$20:$D$100,$B38)=0,COUNTIF(Control!$D$20:$D$100,AT$2)=0),VISUM_Freeway_OD!AT38*Control!$B$2,0)</f>
        <v>0</v>
      </c>
      <c r="AU38">
        <f>IF(AND(COUNTIF(Control!$D$20:$D$100,$B38)=0,COUNTIF(Control!$D$20:$D$100,AU$2)=0),VISUM_Freeway_OD!AU38*Control!$B$2,0)</f>
        <v>0</v>
      </c>
      <c r="AV38">
        <f>IF(AND(COUNTIF(Control!$D$20:$D$100,$B38)=0,COUNTIF(Control!$D$20:$D$100,AV$2)=0),VISUM_Freeway_OD!AV38*Control!$B$2,0)</f>
        <v>0</v>
      </c>
      <c r="AW38">
        <f>IF(AND(COUNTIF(Control!$D$20:$D$100,$B38)=0,COUNTIF(Control!$D$20:$D$100,AW$2)=0),VISUM_Freeway_OD!AW38*Control!$B$2,0)</f>
        <v>0</v>
      </c>
      <c r="AX38">
        <f>IF(AND(COUNTIF(Control!$D$20:$D$100,$B38)=0,COUNTIF(Control!$D$20:$D$100,AX$2)=0),VISUM_Freeway_OD!AX38*Control!$B$2,0)</f>
        <v>1.30181664</v>
      </c>
      <c r="AY38">
        <f>IF(AND(COUNTIF(Control!$D$20:$D$100,$B38)=0,COUNTIF(Control!$D$20:$D$100,AY$2)=0),VISUM_Freeway_OD!AY38*Control!$B$2,0)</f>
        <v>0</v>
      </c>
    </row>
    <row r="39" spans="1:51" x14ac:dyDescent="0.25">
      <c r="A39" s="4">
        <f>IF(VLOOKUP(B39,Freeway_Zone_Link_Mapping!$A:$C,2,FALSE)&lt;&gt;"",VLOOKUP(B39,Freeway_Zone_Link_Mapping!$A:$C,2,FALSE),"")</f>
        <v>28280066</v>
      </c>
      <c r="B39" s="4">
        <v>59</v>
      </c>
      <c r="C39">
        <f>IF(AND(COUNTIF(Control!$D$20:$D$100,$B39)=0,COUNTIF(Control!$D$20:$D$100,C$2)=0),VISUM_Freeway_OD!C39*Control!$B$2,0)</f>
        <v>0</v>
      </c>
      <c r="D39">
        <f>IF(AND(COUNTIF(Control!$D$20:$D$100,$B39)=0,COUNTIF(Control!$D$20:$D$100,D$2)=0),VISUM_Freeway_OD!D39*Control!$B$2,0)</f>
        <v>0</v>
      </c>
      <c r="E39">
        <f>IF(AND(COUNTIF(Control!$D$20:$D$100,$B39)=0,COUNTIF(Control!$D$20:$D$100,E$2)=0),VISUM_Freeway_OD!E39*Control!$B$2,0)</f>
        <v>0</v>
      </c>
      <c r="F39">
        <f>IF(AND(COUNTIF(Control!$D$20:$D$100,$B39)=0,COUNTIF(Control!$D$20:$D$100,F$2)=0),VISUM_Freeway_OD!F39*Control!$B$2,0)</f>
        <v>0</v>
      </c>
      <c r="G39">
        <f>IF(AND(COUNTIF(Control!$D$20:$D$100,$B39)=0,COUNTIF(Control!$D$20:$D$100,G$2)=0),VISUM_Freeway_OD!G39*Control!$B$2,0)</f>
        <v>0</v>
      </c>
      <c r="H39">
        <f>IF(AND(COUNTIF(Control!$D$20:$D$100,$B39)=0,COUNTIF(Control!$D$20:$D$100,H$2)=0),VISUM_Freeway_OD!H39*Control!$B$2,0)</f>
        <v>0</v>
      </c>
      <c r="I39">
        <f>IF(AND(COUNTIF(Control!$D$20:$D$100,$B39)=0,COUNTIF(Control!$D$20:$D$100,I$2)=0),VISUM_Freeway_OD!I39*Control!$B$2,0)</f>
        <v>0</v>
      </c>
      <c r="J39">
        <f>IF(AND(COUNTIF(Control!$D$20:$D$100,$B39)=0,COUNTIF(Control!$D$20:$D$100,J$2)=0),VISUM_Freeway_OD!J39*Control!$B$2,0)</f>
        <v>0</v>
      </c>
      <c r="K39">
        <f>IF(AND(COUNTIF(Control!$D$20:$D$100,$B39)=0,COUNTIF(Control!$D$20:$D$100,K$2)=0),VISUM_Freeway_OD!K39*Control!$B$2,0)</f>
        <v>0</v>
      </c>
      <c r="L39">
        <f>IF(AND(COUNTIF(Control!$D$20:$D$100,$B39)=0,COUNTIF(Control!$D$20:$D$100,L$2)=0),VISUM_Freeway_OD!L39*Control!$B$2,0)</f>
        <v>0</v>
      </c>
      <c r="M39">
        <f>IF(AND(COUNTIF(Control!$D$20:$D$100,$B39)=0,COUNTIF(Control!$D$20:$D$100,M$2)=0),VISUM_Freeway_OD!M39*Control!$B$2,0)</f>
        <v>0</v>
      </c>
      <c r="N39">
        <f>IF(AND(COUNTIF(Control!$D$20:$D$100,$B39)=0,COUNTIF(Control!$D$20:$D$100,N$2)=0),VISUM_Freeway_OD!N39*Control!$B$2,0)</f>
        <v>0</v>
      </c>
      <c r="O39">
        <f>IF(AND(COUNTIF(Control!$D$20:$D$100,$B39)=0,COUNTIF(Control!$D$20:$D$100,O$2)=0),VISUM_Freeway_OD!O39*Control!$B$2,0)</f>
        <v>0</v>
      </c>
      <c r="P39">
        <f>IF(AND(COUNTIF(Control!$D$20:$D$100,$B39)=0,COUNTIF(Control!$D$20:$D$100,P$2)=0),VISUM_Freeway_OD!P39*Control!$B$2,0)</f>
        <v>0</v>
      </c>
      <c r="Q39">
        <f>IF(AND(COUNTIF(Control!$D$20:$D$100,$B39)=0,COUNTIF(Control!$D$20:$D$100,Q$2)=0),VISUM_Freeway_OD!Q39*Control!$B$2,0)</f>
        <v>0</v>
      </c>
      <c r="R39">
        <f>IF(AND(COUNTIF(Control!$D$20:$D$100,$B39)=0,COUNTIF(Control!$D$20:$D$100,R$2)=0),VISUM_Freeway_OD!R39*Control!$B$2,0)</f>
        <v>0</v>
      </c>
      <c r="S39">
        <f>IF(AND(COUNTIF(Control!$D$20:$D$100,$B39)=0,COUNTIF(Control!$D$20:$D$100,S$2)=0),VISUM_Freeway_OD!S39*Control!$B$2,0)</f>
        <v>0</v>
      </c>
      <c r="T39">
        <f>IF(AND(COUNTIF(Control!$D$20:$D$100,$B39)=0,COUNTIF(Control!$D$20:$D$100,T$2)=0),VISUM_Freeway_OD!T39*Control!$B$2,0)</f>
        <v>0</v>
      </c>
      <c r="U39">
        <f>IF(AND(COUNTIF(Control!$D$20:$D$100,$B39)=0,COUNTIF(Control!$D$20:$D$100,U$2)=0),VISUM_Freeway_OD!U39*Control!$B$2,0)</f>
        <v>0</v>
      </c>
      <c r="V39">
        <f>IF(AND(COUNTIF(Control!$D$20:$D$100,$B39)=0,COUNTIF(Control!$D$20:$D$100,V$2)=0),VISUM_Freeway_OD!V39*Control!$B$2,0)</f>
        <v>0</v>
      </c>
      <c r="W39">
        <f>IF(AND(COUNTIF(Control!$D$20:$D$100,$B39)=0,COUNTIF(Control!$D$20:$D$100,W$2)=0),VISUM_Freeway_OD!W39*Control!$B$2,0)</f>
        <v>0</v>
      </c>
      <c r="X39">
        <f>IF(AND(COUNTIF(Control!$D$20:$D$100,$B39)=0,COUNTIF(Control!$D$20:$D$100,X$2)=0),VISUM_Freeway_OD!X39*Control!$B$2,0)</f>
        <v>0</v>
      </c>
      <c r="Y39">
        <f>IF(AND(COUNTIF(Control!$D$20:$D$100,$B39)=0,COUNTIF(Control!$D$20:$D$100,Y$2)=0),VISUM_Freeway_OD!Y39*Control!$B$2,0)</f>
        <v>0</v>
      </c>
      <c r="Z39">
        <f>IF(AND(COUNTIF(Control!$D$20:$D$100,$B39)=0,COUNTIF(Control!$D$20:$D$100,Z$2)=0),VISUM_Freeway_OD!Z39*Control!$B$2,0)</f>
        <v>0</v>
      </c>
      <c r="AA39">
        <f>IF(AND(COUNTIF(Control!$D$20:$D$100,$B39)=0,COUNTIF(Control!$D$20:$D$100,AA$2)=0),VISUM_Freeway_OD!AA39*Control!$B$2,0)</f>
        <v>0</v>
      </c>
      <c r="AB39">
        <f>IF(AND(COUNTIF(Control!$D$20:$D$100,$B39)=0,COUNTIF(Control!$D$20:$D$100,AB$2)=0),VISUM_Freeway_OD!AB39*Control!$B$2,0)</f>
        <v>0</v>
      </c>
      <c r="AC39">
        <f>IF(AND(COUNTIF(Control!$D$20:$D$100,$B39)=0,COUNTIF(Control!$D$20:$D$100,AC$2)=0),VISUM_Freeway_OD!AC39*Control!$B$2,0)</f>
        <v>0</v>
      </c>
      <c r="AD39">
        <f>IF(AND(COUNTIF(Control!$D$20:$D$100,$B39)=0,COUNTIF(Control!$D$20:$D$100,AD$2)=0),VISUM_Freeway_OD!AD39*Control!$B$2,0)</f>
        <v>0</v>
      </c>
      <c r="AE39">
        <f>IF(AND(COUNTIF(Control!$D$20:$D$100,$B39)=0,COUNTIF(Control!$D$20:$D$100,AE$2)=0),VISUM_Freeway_OD!AE39*Control!$B$2,0)</f>
        <v>0</v>
      </c>
      <c r="AF39">
        <f>IF(AND(COUNTIF(Control!$D$20:$D$100,$B39)=0,COUNTIF(Control!$D$20:$D$100,AF$2)=0),VISUM_Freeway_OD!AF39*Control!$B$2,0)</f>
        <v>0</v>
      </c>
      <c r="AG39">
        <f>IF(AND(COUNTIF(Control!$D$20:$D$100,$B39)=0,COUNTIF(Control!$D$20:$D$100,AG$2)=0),VISUM_Freeway_OD!AG39*Control!$B$2,0)</f>
        <v>0</v>
      </c>
      <c r="AH39">
        <f>IF(AND(COUNTIF(Control!$D$20:$D$100,$B39)=0,COUNTIF(Control!$D$20:$D$100,AH$2)=0),VISUM_Freeway_OD!AH39*Control!$B$2,0)</f>
        <v>0</v>
      </c>
      <c r="AI39">
        <f>IF(AND(COUNTIF(Control!$D$20:$D$100,$B39)=0,COUNTIF(Control!$D$20:$D$100,AI$2)=0),VISUM_Freeway_OD!AI39*Control!$B$2,0)</f>
        <v>0</v>
      </c>
      <c r="AJ39">
        <f>IF(AND(COUNTIF(Control!$D$20:$D$100,$B39)=0,COUNTIF(Control!$D$20:$D$100,AJ$2)=0),VISUM_Freeway_OD!AJ39*Control!$B$2,0)</f>
        <v>0</v>
      </c>
      <c r="AK39">
        <f>IF(AND(COUNTIF(Control!$D$20:$D$100,$B39)=0,COUNTIF(Control!$D$20:$D$100,AK$2)=0),VISUM_Freeway_OD!AK39*Control!$B$2,0)</f>
        <v>0</v>
      </c>
      <c r="AL39">
        <f>IF(AND(COUNTIF(Control!$D$20:$D$100,$B39)=0,COUNTIF(Control!$D$20:$D$100,AL$2)=0),VISUM_Freeway_OD!AL39*Control!$B$2,0)</f>
        <v>0</v>
      </c>
      <c r="AM39">
        <f>IF(AND(COUNTIF(Control!$D$20:$D$100,$B39)=0,COUNTIF(Control!$D$20:$D$100,AM$2)=0),VISUM_Freeway_OD!AM39*Control!$B$2,0)</f>
        <v>0</v>
      </c>
      <c r="AN39">
        <f>IF(AND(COUNTIF(Control!$D$20:$D$100,$B39)=0,COUNTIF(Control!$D$20:$D$100,AN$2)=0),VISUM_Freeway_OD!AN39*Control!$B$2,0)</f>
        <v>0</v>
      </c>
      <c r="AO39">
        <f>IF(AND(COUNTIF(Control!$D$20:$D$100,$B39)=0,COUNTIF(Control!$D$20:$D$100,AO$2)=0),VISUM_Freeway_OD!AO39*Control!$B$2,0)</f>
        <v>0</v>
      </c>
      <c r="AP39">
        <f>IF(AND(COUNTIF(Control!$D$20:$D$100,$B39)=0,COUNTIF(Control!$D$20:$D$100,AP$2)=0),VISUM_Freeway_OD!AP39*Control!$B$2,0)</f>
        <v>0</v>
      </c>
      <c r="AQ39">
        <f>IF(AND(COUNTIF(Control!$D$20:$D$100,$B39)=0,COUNTIF(Control!$D$20:$D$100,AQ$2)=0),VISUM_Freeway_OD!AQ39*Control!$B$2,0)</f>
        <v>0</v>
      </c>
      <c r="AR39">
        <f>IF(AND(COUNTIF(Control!$D$20:$D$100,$B39)=0,COUNTIF(Control!$D$20:$D$100,AR$2)=0),VISUM_Freeway_OD!AR39*Control!$B$2,0)</f>
        <v>0</v>
      </c>
      <c r="AS39">
        <f>IF(AND(COUNTIF(Control!$D$20:$D$100,$B39)=0,COUNTIF(Control!$D$20:$D$100,AS$2)=0),VISUM_Freeway_OD!AS39*Control!$B$2,0)</f>
        <v>0</v>
      </c>
      <c r="AT39">
        <f>IF(AND(COUNTIF(Control!$D$20:$D$100,$B39)=0,COUNTIF(Control!$D$20:$D$100,AT$2)=0),VISUM_Freeway_OD!AT39*Control!$B$2,0)</f>
        <v>0</v>
      </c>
      <c r="AU39">
        <f>IF(AND(COUNTIF(Control!$D$20:$D$100,$B39)=0,COUNTIF(Control!$D$20:$D$100,AU$2)=0),VISUM_Freeway_OD!AU39*Control!$B$2,0)</f>
        <v>0</v>
      </c>
      <c r="AV39">
        <f>IF(AND(COUNTIF(Control!$D$20:$D$100,$B39)=0,COUNTIF(Control!$D$20:$D$100,AV$2)=0),VISUM_Freeway_OD!AV39*Control!$B$2,0)</f>
        <v>0</v>
      </c>
      <c r="AW39">
        <f>IF(AND(COUNTIF(Control!$D$20:$D$100,$B39)=0,COUNTIF(Control!$D$20:$D$100,AW$2)=0),VISUM_Freeway_OD!AW39*Control!$B$2,0)</f>
        <v>0</v>
      </c>
      <c r="AX39">
        <f>IF(AND(COUNTIF(Control!$D$20:$D$100,$B39)=0,COUNTIF(Control!$D$20:$D$100,AX$2)=0),VISUM_Freeway_OD!AX39*Control!$B$2,0)</f>
        <v>0</v>
      </c>
      <c r="AY39">
        <f>IF(AND(COUNTIF(Control!$D$20:$D$100,$B39)=0,COUNTIF(Control!$D$20:$D$100,AY$2)=0),VISUM_Freeway_OD!AY39*Control!$B$2,0)</f>
        <v>0</v>
      </c>
    </row>
    <row r="40" spans="1:51" x14ac:dyDescent="0.25">
      <c r="A40" s="4">
        <f>IF(VLOOKUP(B40,Freeway_Zone_Link_Mapping!$A:$C,2,FALSE)&lt;&gt;"",VLOOKUP(B40,Freeway_Zone_Link_Mapping!$A:$C,2,FALSE),"")</f>
        <v>105920001</v>
      </c>
      <c r="B40" s="4">
        <v>60</v>
      </c>
      <c r="C40">
        <f>IF(AND(COUNTIF(Control!$D$20:$D$100,$B40)=0,COUNTIF(Control!$D$20:$D$100,C$2)=0),VISUM_Freeway_OD!C40*Control!$B$2,0)</f>
        <v>0</v>
      </c>
      <c r="D40">
        <f>IF(AND(COUNTIF(Control!$D$20:$D$100,$B40)=0,COUNTIF(Control!$D$20:$D$100,D$2)=0),VISUM_Freeway_OD!D40*Control!$B$2,0)</f>
        <v>0</v>
      </c>
      <c r="E40">
        <f>IF(AND(COUNTIF(Control!$D$20:$D$100,$B40)=0,COUNTIF(Control!$D$20:$D$100,E$2)=0),VISUM_Freeway_OD!E40*Control!$B$2,0)</f>
        <v>0</v>
      </c>
      <c r="F40">
        <f>IF(AND(COUNTIF(Control!$D$20:$D$100,$B40)=0,COUNTIF(Control!$D$20:$D$100,F$2)=0),VISUM_Freeway_OD!F40*Control!$B$2,0)</f>
        <v>0</v>
      </c>
      <c r="G40">
        <f>IF(AND(COUNTIF(Control!$D$20:$D$100,$B40)=0,COUNTIF(Control!$D$20:$D$100,G$2)=0),VISUM_Freeway_OD!G40*Control!$B$2,0)</f>
        <v>0</v>
      </c>
      <c r="H40">
        <f>IF(AND(COUNTIF(Control!$D$20:$D$100,$B40)=0,COUNTIF(Control!$D$20:$D$100,H$2)=0),VISUM_Freeway_OD!H40*Control!$B$2,0)</f>
        <v>0</v>
      </c>
      <c r="I40">
        <f>IF(AND(COUNTIF(Control!$D$20:$D$100,$B40)=0,COUNTIF(Control!$D$20:$D$100,I$2)=0),VISUM_Freeway_OD!I40*Control!$B$2,0)</f>
        <v>0</v>
      </c>
      <c r="J40">
        <f>IF(AND(COUNTIF(Control!$D$20:$D$100,$B40)=0,COUNTIF(Control!$D$20:$D$100,J$2)=0),VISUM_Freeway_OD!J40*Control!$B$2,0)</f>
        <v>0</v>
      </c>
      <c r="K40">
        <f>IF(AND(COUNTIF(Control!$D$20:$D$100,$B40)=0,COUNTIF(Control!$D$20:$D$100,K$2)=0),VISUM_Freeway_OD!K40*Control!$B$2,0)</f>
        <v>0</v>
      </c>
      <c r="L40">
        <f>IF(AND(COUNTIF(Control!$D$20:$D$100,$B40)=0,COUNTIF(Control!$D$20:$D$100,L$2)=0),VISUM_Freeway_OD!L40*Control!$B$2,0)</f>
        <v>0</v>
      </c>
      <c r="M40">
        <f>IF(AND(COUNTIF(Control!$D$20:$D$100,$B40)=0,COUNTIF(Control!$D$20:$D$100,M$2)=0),VISUM_Freeway_OD!M40*Control!$B$2,0)</f>
        <v>0</v>
      </c>
      <c r="N40">
        <f>IF(AND(COUNTIF(Control!$D$20:$D$100,$B40)=0,COUNTIF(Control!$D$20:$D$100,N$2)=0),VISUM_Freeway_OD!N40*Control!$B$2,0)</f>
        <v>0</v>
      </c>
      <c r="O40">
        <f>IF(AND(COUNTIF(Control!$D$20:$D$100,$B40)=0,COUNTIF(Control!$D$20:$D$100,O$2)=0),VISUM_Freeway_OD!O40*Control!$B$2,0)</f>
        <v>0</v>
      </c>
      <c r="P40">
        <f>IF(AND(COUNTIF(Control!$D$20:$D$100,$B40)=0,COUNTIF(Control!$D$20:$D$100,P$2)=0),VISUM_Freeway_OD!P40*Control!$B$2,0)</f>
        <v>0</v>
      </c>
      <c r="Q40">
        <f>IF(AND(COUNTIF(Control!$D$20:$D$100,$B40)=0,COUNTIF(Control!$D$20:$D$100,Q$2)=0),VISUM_Freeway_OD!Q40*Control!$B$2,0)</f>
        <v>0</v>
      </c>
      <c r="R40">
        <f>IF(AND(COUNTIF(Control!$D$20:$D$100,$B40)=0,COUNTIF(Control!$D$20:$D$100,R$2)=0),VISUM_Freeway_OD!R40*Control!$B$2,0)</f>
        <v>0</v>
      </c>
      <c r="S40">
        <f>IF(AND(COUNTIF(Control!$D$20:$D$100,$B40)=0,COUNTIF(Control!$D$20:$D$100,S$2)=0),VISUM_Freeway_OD!S40*Control!$B$2,0)</f>
        <v>0</v>
      </c>
      <c r="T40">
        <f>IF(AND(COUNTIF(Control!$D$20:$D$100,$B40)=0,COUNTIF(Control!$D$20:$D$100,T$2)=0),VISUM_Freeway_OD!T40*Control!$B$2,0)</f>
        <v>0</v>
      </c>
      <c r="U40">
        <f>IF(AND(COUNTIF(Control!$D$20:$D$100,$B40)=0,COUNTIF(Control!$D$20:$D$100,U$2)=0),VISUM_Freeway_OD!U40*Control!$B$2,0)</f>
        <v>0</v>
      </c>
      <c r="V40">
        <f>IF(AND(COUNTIF(Control!$D$20:$D$100,$B40)=0,COUNTIF(Control!$D$20:$D$100,V$2)=0),VISUM_Freeway_OD!V40*Control!$B$2,0)</f>
        <v>0</v>
      </c>
      <c r="W40">
        <f>IF(AND(COUNTIF(Control!$D$20:$D$100,$B40)=0,COUNTIF(Control!$D$20:$D$100,W$2)=0),VISUM_Freeway_OD!W40*Control!$B$2,0)</f>
        <v>0</v>
      </c>
      <c r="X40">
        <f>IF(AND(COUNTIF(Control!$D$20:$D$100,$B40)=0,COUNTIF(Control!$D$20:$D$100,X$2)=0),VISUM_Freeway_OD!X40*Control!$B$2,0)</f>
        <v>0</v>
      </c>
      <c r="Y40">
        <f>IF(AND(COUNTIF(Control!$D$20:$D$100,$B40)=0,COUNTIF(Control!$D$20:$D$100,Y$2)=0),VISUM_Freeway_OD!Y40*Control!$B$2,0)</f>
        <v>0</v>
      </c>
      <c r="Z40">
        <f>IF(AND(COUNTIF(Control!$D$20:$D$100,$B40)=0,COUNTIF(Control!$D$20:$D$100,Z$2)=0),VISUM_Freeway_OD!Z40*Control!$B$2,0)</f>
        <v>0</v>
      </c>
      <c r="AA40">
        <f>IF(AND(COUNTIF(Control!$D$20:$D$100,$B40)=0,COUNTIF(Control!$D$20:$D$100,AA$2)=0),VISUM_Freeway_OD!AA40*Control!$B$2,0)</f>
        <v>0</v>
      </c>
      <c r="AB40">
        <f>IF(AND(COUNTIF(Control!$D$20:$D$100,$B40)=0,COUNTIF(Control!$D$20:$D$100,AB$2)=0),VISUM_Freeway_OD!AB40*Control!$B$2,0)</f>
        <v>0</v>
      </c>
      <c r="AC40">
        <f>IF(AND(COUNTIF(Control!$D$20:$D$100,$B40)=0,COUNTIF(Control!$D$20:$D$100,AC$2)=0),VISUM_Freeway_OD!AC40*Control!$B$2,0)</f>
        <v>0</v>
      </c>
      <c r="AD40">
        <f>IF(AND(COUNTIF(Control!$D$20:$D$100,$B40)=0,COUNTIF(Control!$D$20:$D$100,AD$2)=0),VISUM_Freeway_OD!AD40*Control!$B$2,0)</f>
        <v>0</v>
      </c>
      <c r="AE40">
        <f>IF(AND(COUNTIF(Control!$D$20:$D$100,$B40)=0,COUNTIF(Control!$D$20:$D$100,AE$2)=0),VISUM_Freeway_OD!AE40*Control!$B$2,0)</f>
        <v>0</v>
      </c>
      <c r="AF40">
        <f>IF(AND(COUNTIF(Control!$D$20:$D$100,$B40)=0,COUNTIF(Control!$D$20:$D$100,AF$2)=0),VISUM_Freeway_OD!AF40*Control!$B$2,0)</f>
        <v>0</v>
      </c>
      <c r="AG40">
        <f>IF(AND(COUNTIF(Control!$D$20:$D$100,$B40)=0,COUNTIF(Control!$D$20:$D$100,AG$2)=0),VISUM_Freeway_OD!AG40*Control!$B$2,0)</f>
        <v>0</v>
      </c>
      <c r="AH40">
        <f>IF(AND(COUNTIF(Control!$D$20:$D$100,$B40)=0,COUNTIF(Control!$D$20:$D$100,AH$2)=0),VISUM_Freeway_OD!AH40*Control!$B$2,0)</f>
        <v>0</v>
      </c>
      <c r="AI40">
        <f>IF(AND(COUNTIF(Control!$D$20:$D$100,$B40)=0,COUNTIF(Control!$D$20:$D$100,AI$2)=0),VISUM_Freeway_OD!AI40*Control!$B$2,0)</f>
        <v>0</v>
      </c>
      <c r="AJ40">
        <f>IF(AND(COUNTIF(Control!$D$20:$D$100,$B40)=0,COUNTIF(Control!$D$20:$D$100,AJ$2)=0),VISUM_Freeway_OD!AJ40*Control!$B$2,0)</f>
        <v>0</v>
      </c>
      <c r="AK40">
        <f>IF(AND(COUNTIF(Control!$D$20:$D$100,$B40)=0,COUNTIF(Control!$D$20:$D$100,AK$2)=0),VISUM_Freeway_OD!AK40*Control!$B$2,0)</f>
        <v>0</v>
      </c>
      <c r="AL40">
        <f>IF(AND(COUNTIF(Control!$D$20:$D$100,$B40)=0,COUNTIF(Control!$D$20:$D$100,AL$2)=0),VISUM_Freeway_OD!AL40*Control!$B$2,0)</f>
        <v>0</v>
      </c>
      <c r="AM40">
        <f>IF(AND(COUNTIF(Control!$D$20:$D$100,$B40)=0,COUNTIF(Control!$D$20:$D$100,AM$2)=0),VISUM_Freeway_OD!AM40*Control!$B$2,0)</f>
        <v>0</v>
      </c>
      <c r="AN40">
        <f>IF(AND(COUNTIF(Control!$D$20:$D$100,$B40)=0,COUNTIF(Control!$D$20:$D$100,AN$2)=0),VISUM_Freeway_OD!AN40*Control!$B$2,0)</f>
        <v>0</v>
      </c>
      <c r="AO40">
        <f>IF(AND(COUNTIF(Control!$D$20:$D$100,$B40)=0,COUNTIF(Control!$D$20:$D$100,AO$2)=0),VISUM_Freeway_OD!AO40*Control!$B$2,0)</f>
        <v>0</v>
      </c>
      <c r="AP40">
        <f>IF(AND(COUNTIF(Control!$D$20:$D$100,$B40)=0,COUNTIF(Control!$D$20:$D$100,AP$2)=0),VISUM_Freeway_OD!AP40*Control!$B$2,0)</f>
        <v>0</v>
      </c>
      <c r="AQ40">
        <f>IF(AND(COUNTIF(Control!$D$20:$D$100,$B40)=0,COUNTIF(Control!$D$20:$D$100,AQ$2)=0),VISUM_Freeway_OD!AQ40*Control!$B$2,0)</f>
        <v>0</v>
      </c>
      <c r="AR40">
        <f>IF(AND(COUNTIF(Control!$D$20:$D$100,$B40)=0,COUNTIF(Control!$D$20:$D$100,AR$2)=0),VISUM_Freeway_OD!AR40*Control!$B$2,0)</f>
        <v>0</v>
      </c>
      <c r="AS40">
        <f>IF(AND(COUNTIF(Control!$D$20:$D$100,$B40)=0,COUNTIF(Control!$D$20:$D$100,AS$2)=0),VISUM_Freeway_OD!AS40*Control!$B$2,0)</f>
        <v>0</v>
      </c>
      <c r="AT40">
        <f>IF(AND(COUNTIF(Control!$D$20:$D$100,$B40)=0,COUNTIF(Control!$D$20:$D$100,AT$2)=0),VISUM_Freeway_OD!AT40*Control!$B$2,0)</f>
        <v>0</v>
      </c>
      <c r="AU40">
        <f>IF(AND(COUNTIF(Control!$D$20:$D$100,$B40)=0,COUNTIF(Control!$D$20:$D$100,AU$2)=0),VISUM_Freeway_OD!AU40*Control!$B$2,0)</f>
        <v>0</v>
      </c>
      <c r="AV40">
        <f>IF(AND(COUNTIF(Control!$D$20:$D$100,$B40)=0,COUNTIF(Control!$D$20:$D$100,AV$2)=0),VISUM_Freeway_OD!AV40*Control!$B$2,0)</f>
        <v>0</v>
      </c>
      <c r="AW40">
        <f>IF(AND(COUNTIF(Control!$D$20:$D$100,$B40)=0,COUNTIF(Control!$D$20:$D$100,AW$2)=0),VISUM_Freeway_OD!AW40*Control!$B$2,0)</f>
        <v>0</v>
      </c>
      <c r="AX40">
        <f>IF(AND(COUNTIF(Control!$D$20:$D$100,$B40)=0,COUNTIF(Control!$D$20:$D$100,AX$2)=0),VISUM_Freeway_OD!AX40*Control!$B$2,0)</f>
        <v>0</v>
      </c>
      <c r="AY40">
        <f>IF(AND(COUNTIF(Control!$D$20:$D$100,$B40)=0,COUNTIF(Control!$D$20:$D$100,AY$2)=0),VISUM_Freeway_OD!AY40*Control!$B$2,0)</f>
        <v>0</v>
      </c>
    </row>
    <row r="41" spans="1:51" x14ac:dyDescent="0.25">
      <c r="A41" s="4">
        <f>IF(VLOOKUP(B41,Freeway_Zone_Link_Mapping!$A:$C,2,FALSE)&lt;&gt;"",VLOOKUP(B41,Freeway_Zone_Link_Mapping!$A:$C,2,FALSE),"")</f>
        <v>371</v>
      </c>
      <c r="B41" s="4">
        <v>61</v>
      </c>
      <c r="C41">
        <f>IF(AND(COUNTIF(Control!$D$20:$D$100,$B41)=0,COUNTIF(Control!$D$20:$D$100,C$2)=0),VISUM_Freeway_OD!C41*Control!$B$2,0)</f>
        <v>9.7241399999999992E-3</v>
      </c>
      <c r="D41">
        <f>IF(AND(COUNTIF(Control!$D$20:$D$100,$B41)=0,COUNTIF(Control!$D$20:$D$100,D$2)=0),VISUM_Freeway_OD!D41*Control!$B$2,0)</f>
        <v>0</v>
      </c>
      <c r="E41">
        <f>IF(AND(COUNTIF(Control!$D$20:$D$100,$B41)=0,COUNTIF(Control!$D$20:$D$100,E$2)=0),VISUM_Freeway_OD!E41*Control!$B$2,0)</f>
        <v>2.0075700000000002E-3</v>
      </c>
      <c r="F41">
        <f>IF(AND(COUNTIF(Control!$D$20:$D$100,$B41)=0,COUNTIF(Control!$D$20:$D$100,F$2)=0),VISUM_Freeway_OD!F41*Control!$B$2,0)</f>
        <v>0.10234242</v>
      </c>
      <c r="G41">
        <f>IF(AND(COUNTIF(Control!$D$20:$D$100,$B41)=0,COUNTIF(Control!$D$20:$D$100,G$2)=0),VISUM_Freeway_OD!G41*Control!$B$2,0)</f>
        <v>0</v>
      </c>
      <c r="H41">
        <f>IF(AND(COUNTIF(Control!$D$20:$D$100,$B41)=0,COUNTIF(Control!$D$20:$D$100,H$2)=0),VISUM_Freeway_OD!H41*Control!$B$2,0)</f>
        <v>0.30197855999999995</v>
      </c>
      <c r="I41">
        <f>IF(AND(COUNTIF(Control!$D$20:$D$100,$B41)=0,COUNTIF(Control!$D$20:$D$100,I$2)=0),VISUM_Freeway_OD!I41*Control!$B$2,0)</f>
        <v>0</v>
      </c>
      <c r="J41">
        <f>IF(AND(COUNTIF(Control!$D$20:$D$100,$B41)=0,COUNTIF(Control!$D$20:$D$100,J$2)=0),VISUM_Freeway_OD!J41*Control!$B$2,0)</f>
        <v>0</v>
      </c>
      <c r="K41">
        <f>IF(AND(COUNTIF(Control!$D$20:$D$100,$B41)=0,COUNTIF(Control!$D$20:$D$100,K$2)=0),VISUM_Freeway_OD!K41*Control!$B$2,0)</f>
        <v>0.40082045999999999</v>
      </c>
      <c r="L41">
        <f>IF(AND(COUNTIF(Control!$D$20:$D$100,$B41)=0,COUNTIF(Control!$D$20:$D$100,L$2)=0),VISUM_Freeway_OD!L41*Control!$B$2,0)</f>
        <v>0</v>
      </c>
      <c r="M41">
        <f>IF(AND(COUNTIF(Control!$D$20:$D$100,$B41)=0,COUNTIF(Control!$D$20:$D$100,M$2)=0),VISUM_Freeway_OD!M41*Control!$B$2,0)</f>
        <v>0</v>
      </c>
      <c r="N41">
        <f>IF(AND(COUNTIF(Control!$D$20:$D$100,$B41)=0,COUNTIF(Control!$D$20:$D$100,N$2)=0),VISUM_Freeway_OD!N41*Control!$B$2,0)</f>
        <v>0</v>
      </c>
      <c r="O41">
        <f>IF(AND(COUNTIF(Control!$D$20:$D$100,$B41)=0,COUNTIF(Control!$D$20:$D$100,O$2)=0),VISUM_Freeway_OD!O41*Control!$B$2,0)</f>
        <v>0</v>
      </c>
      <c r="P41">
        <f>IF(AND(COUNTIF(Control!$D$20:$D$100,$B41)=0,COUNTIF(Control!$D$20:$D$100,P$2)=0),VISUM_Freeway_OD!P41*Control!$B$2,0)</f>
        <v>0</v>
      </c>
      <c r="Q41">
        <f>IF(AND(COUNTIF(Control!$D$20:$D$100,$B41)=0,COUNTIF(Control!$D$20:$D$100,Q$2)=0),VISUM_Freeway_OD!Q41*Control!$B$2,0)</f>
        <v>0</v>
      </c>
      <c r="R41">
        <f>IF(AND(COUNTIF(Control!$D$20:$D$100,$B41)=0,COUNTIF(Control!$D$20:$D$100,R$2)=0),VISUM_Freeway_OD!R41*Control!$B$2,0)</f>
        <v>0</v>
      </c>
      <c r="S41">
        <f>IF(AND(COUNTIF(Control!$D$20:$D$100,$B41)=0,COUNTIF(Control!$D$20:$D$100,S$2)=0),VISUM_Freeway_OD!S41*Control!$B$2,0)</f>
        <v>0</v>
      </c>
      <c r="T41">
        <f>IF(AND(COUNTIF(Control!$D$20:$D$100,$B41)=0,COUNTIF(Control!$D$20:$D$100,T$2)=0),VISUM_Freeway_OD!T41*Control!$B$2,0)</f>
        <v>0</v>
      </c>
      <c r="U41">
        <f>IF(AND(COUNTIF(Control!$D$20:$D$100,$B41)=0,COUNTIF(Control!$D$20:$D$100,U$2)=0),VISUM_Freeway_OD!U41*Control!$B$2,0)</f>
        <v>0</v>
      </c>
      <c r="V41">
        <f>IF(AND(COUNTIF(Control!$D$20:$D$100,$B41)=0,COUNTIF(Control!$D$20:$D$100,V$2)=0),VISUM_Freeway_OD!V41*Control!$B$2,0)</f>
        <v>0</v>
      </c>
      <c r="W41">
        <f>IF(AND(COUNTIF(Control!$D$20:$D$100,$B41)=0,COUNTIF(Control!$D$20:$D$100,W$2)=0),VISUM_Freeway_OD!W41*Control!$B$2,0)</f>
        <v>0</v>
      </c>
      <c r="X41">
        <f>IF(AND(COUNTIF(Control!$D$20:$D$100,$B41)=0,COUNTIF(Control!$D$20:$D$100,X$2)=0),VISUM_Freeway_OD!X41*Control!$B$2,0)</f>
        <v>0</v>
      </c>
      <c r="Y41">
        <f>IF(AND(COUNTIF(Control!$D$20:$D$100,$B41)=0,COUNTIF(Control!$D$20:$D$100,Y$2)=0),VISUM_Freeway_OD!Y41*Control!$B$2,0)</f>
        <v>0</v>
      </c>
      <c r="Z41">
        <f>IF(AND(COUNTIF(Control!$D$20:$D$100,$B41)=0,COUNTIF(Control!$D$20:$D$100,Z$2)=0),VISUM_Freeway_OD!Z41*Control!$B$2,0)</f>
        <v>0</v>
      </c>
      <c r="AA41">
        <f>IF(AND(COUNTIF(Control!$D$20:$D$100,$B41)=0,COUNTIF(Control!$D$20:$D$100,AA$2)=0),VISUM_Freeway_OD!AA41*Control!$B$2,0)</f>
        <v>0</v>
      </c>
      <c r="AB41">
        <f>IF(AND(COUNTIF(Control!$D$20:$D$100,$B41)=0,COUNTIF(Control!$D$20:$D$100,AB$2)=0),VISUM_Freeway_OD!AB41*Control!$B$2,0)</f>
        <v>0</v>
      </c>
      <c r="AC41">
        <f>IF(AND(COUNTIF(Control!$D$20:$D$100,$B41)=0,COUNTIF(Control!$D$20:$D$100,AC$2)=0),VISUM_Freeway_OD!AC41*Control!$B$2,0)</f>
        <v>0</v>
      </c>
      <c r="AD41">
        <f>IF(AND(COUNTIF(Control!$D$20:$D$100,$B41)=0,COUNTIF(Control!$D$20:$D$100,AD$2)=0),VISUM_Freeway_OD!AD41*Control!$B$2,0)</f>
        <v>0</v>
      </c>
      <c r="AE41">
        <f>IF(AND(COUNTIF(Control!$D$20:$D$100,$B41)=0,COUNTIF(Control!$D$20:$D$100,AE$2)=0),VISUM_Freeway_OD!AE41*Control!$B$2,0)</f>
        <v>6.9240419999999997E-2</v>
      </c>
      <c r="AF41">
        <f>IF(AND(COUNTIF(Control!$D$20:$D$100,$B41)=0,COUNTIF(Control!$D$20:$D$100,AF$2)=0),VISUM_Freeway_OD!AF41*Control!$B$2,0)</f>
        <v>0</v>
      </c>
      <c r="AG41">
        <f>IF(AND(COUNTIF(Control!$D$20:$D$100,$B41)=0,COUNTIF(Control!$D$20:$D$100,AG$2)=0),VISUM_Freeway_OD!AG41*Control!$B$2,0)</f>
        <v>0</v>
      </c>
      <c r="AH41">
        <f>IF(AND(COUNTIF(Control!$D$20:$D$100,$B41)=0,COUNTIF(Control!$D$20:$D$100,AH$2)=0),VISUM_Freeway_OD!AH41*Control!$B$2,0)</f>
        <v>0</v>
      </c>
      <c r="AI41">
        <f>IF(AND(COUNTIF(Control!$D$20:$D$100,$B41)=0,COUNTIF(Control!$D$20:$D$100,AI$2)=0),VISUM_Freeway_OD!AI41*Control!$B$2,0)</f>
        <v>0</v>
      </c>
      <c r="AJ41">
        <f>IF(AND(COUNTIF(Control!$D$20:$D$100,$B41)=0,COUNTIF(Control!$D$20:$D$100,AJ$2)=0),VISUM_Freeway_OD!AJ41*Control!$B$2,0)</f>
        <v>0</v>
      </c>
      <c r="AK41">
        <f>IF(AND(COUNTIF(Control!$D$20:$D$100,$B41)=0,COUNTIF(Control!$D$20:$D$100,AK$2)=0),VISUM_Freeway_OD!AK41*Control!$B$2,0)</f>
        <v>0</v>
      </c>
      <c r="AL41">
        <f>IF(AND(COUNTIF(Control!$D$20:$D$100,$B41)=0,COUNTIF(Control!$D$20:$D$100,AL$2)=0),VISUM_Freeway_OD!AL41*Control!$B$2,0)</f>
        <v>1.038177E-2</v>
      </c>
      <c r="AM41">
        <f>IF(AND(COUNTIF(Control!$D$20:$D$100,$B41)=0,COUNTIF(Control!$D$20:$D$100,AM$2)=0),VISUM_Freeway_OD!AM41*Control!$B$2,0)</f>
        <v>0</v>
      </c>
      <c r="AN41">
        <f>IF(AND(COUNTIF(Control!$D$20:$D$100,$B41)=0,COUNTIF(Control!$D$20:$D$100,AN$2)=0),VISUM_Freeway_OD!AN41*Control!$B$2,0)</f>
        <v>0</v>
      </c>
      <c r="AO41">
        <f>IF(AND(COUNTIF(Control!$D$20:$D$100,$B41)=0,COUNTIF(Control!$D$20:$D$100,AO$2)=0),VISUM_Freeway_OD!AO41*Control!$B$2,0)</f>
        <v>0</v>
      </c>
      <c r="AP41">
        <f>IF(AND(COUNTIF(Control!$D$20:$D$100,$B41)=0,COUNTIF(Control!$D$20:$D$100,AP$2)=0),VISUM_Freeway_OD!AP41*Control!$B$2,0)</f>
        <v>0</v>
      </c>
      <c r="AQ41">
        <f>IF(AND(COUNTIF(Control!$D$20:$D$100,$B41)=0,COUNTIF(Control!$D$20:$D$100,AQ$2)=0),VISUM_Freeway_OD!AQ41*Control!$B$2,0)</f>
        <v>0</v>
      </c>
      <c r="AR41">
        <f>IF(AND(COUNTIF(Control!$D$20:$D$100,$B41)=0,COUNTIF(Control!$D$20:$D$100,AR$2)=0),VISUM_Freeway_OD!AR41*Control!$B$2,0)</f>
        <v>0</v>
      </c>
      <c r="AS41">
        <f>IF(AND(COUNTIF(Control!$D$20:$D$100,$B41)=0,COUNTIF(Control!$D$20:$D$100,AS$2)=0),VISUM_Freeway_OD!AS41*Control!$B$2,0)</f>
        <v>0</v>
      </c>
      <c r="AT41">
        <f>IF(AND(COUNTIF(Control!$D$20:$D$100,$B41)=0,COUNTIF(Control!$D$20:$D$100,AT$2)=0),VISUM_Freeway_OD!AT41*Control!$B$2,0)</f>
        <v>0</v>
      </c>
      <c r="AU41">
        <f>IF(AND(COUNTIF(Control!$D$20:$D$100,$B41)=0,COUNTIF(Control!$D$20:$D$100,AU$2)=0),VISUM_Freeway_OD!AU41*Control!$B$2,0)</f>
        <v>0</v>
      </c>
      <c r="AV41">
        <f>IF(AND(COUNTIF(Control!$D$20:$D$100,$B41)=0,COUNTIF(Control!$D$20:$D$100,AV$2)=0),VISUM_Freeway_OD!AV41*Control!$B$2,0)</f>
        <v>0</v>
      </c>
      <c r="AW41">
        <f>IF(AND(COUNTIF(Control!$D$20:$D$100,$B41)=0,COUNTIF(Control!$D$20:$D$100,AW$2)=0),VISUM_Freeway_OD!AW41*Control!$B$2,0)</f>
        <v>0</v>
      </c>
      <c r="AX41">
        <f>IF(AND(COUNTIF(Control!$D$20:$D$100,$B41)=0,COUNTIF(Control!$D$20:$D$100,AX$2)=0),VISUM_Freeway_OD!AX41*Control!$B$2,0)</f>
        <v>0</v>
      </c>
      <c r="AY41">
        <f>IF(AND(COUNTIF(Control!$D$20:$D$100,$B41)=0,COUNTIF(Control!$D$20:$D$100,AY$2)=0),VISUM_Freeway_OD!AY41*Control!$B$2,0)</f>
        <v>0</v>
      </c>
    </row>
    <row r="42" spans="1:51" x14ac:dyDescent="0.25">
      <c r="A42" s="4">
        <f>IF(VLOOKUP(B42,Freeway_Zone_Link_Mapping!$A:$C,2,FALSE)&lt;&gt;"",VLOOKUP(B42,Freeway_Zone_Link_Mapping!$A:$C,2,FALSE),"")</f>
        <v>424</v>
      </c>
      <c r="B42" s="4">
        <v>62</v>
      </c>
      <c r="C42">
        <f>IF(AND(COUNTIF(Control!$D$20:$D$100,$B42)=0,COUNTIF(Control!$D$20:$D$100,C$2)=0),VISUM_Freeway_OD!C42*Control!$B$2,0)</f>
        <v>0</v>
      </c>
      <c r="D42">
        <f>IF(AND(COUNTIF(Control!$D$20:$D$100,$B42)=0,COUNTIF(Control!$D$20:$D$100,D$2)=0),VISUM_Freeway_OD!D42*Control!$B$2,0)</f>
        <v>0</v>
      </c>
      <c r="E42">
        <f>IF(AND(COUNTIF(Control!$D$20:$D$100,$B42)=0,COUNTIF(Control!$D$20:$D$100,E$2)=0),VISUM_Freeway_OD!E42*Control!$B$2,0)</f>
        <v>0</v>
      </c>
      <c r="F42">
        <f>IF(AND(COUNTIF(Control!$D$20:$D$100,$B42)=0,COUNTIF(Control!$D$20:$D$100,F$2)=0),VISUM_Freeway_OD!F42*Control!$B$2,0)</f>
        <v>0</v>
      </c>
      <c r="G42">
        <f>IF(AND(COUNTIF(Control!$D$20:$D$100,$B42)=0,COUNTIF(Control!$D$20:$D$100,G$2)=0),VISUM_Freeway_OD!G42*Control!$B$2,0)</f>
        <v>0</v>
      </c>
      <c r="H42">
        <f>IF(AND(COUNTIF(Control!$D$20:$D$100,$B42)=0,COUNTIF(Control!$D$20:$D$100,H$2)=0),VISUM_Freeway_OD!H42*Control!$B$2,0)</f>
        <v>4.3671314399999996</v>
      </c>
      <c r="I42">
        <f>IF(AND(COUNTIF(Control!$D$20:$D$100,$B42)=0,COUNTIF(Control!$D$20:$D$100,I$2)=0),VISUM_Freeway_OD!I42*Control!$B$2,0)</f>
        <v>0</v>
      </c>
      <c r="J42">
        <f>IF(AND(COUNTIF(Control!$D$20:$D$100,$B42)=0,COUNTIF(Control!$D$20:$D$100,J$2)=0),VISUM_Freeway_OD!J42*Control!$B$2,0)</f>
        <v>0</v>
      </c>
      <c r="K42">
        <f>IF(AND(COUNTIF(Control!$D$20:$D$100,$B42)=0,COUNTIF(Control!$D$20:$D$100,K$2)=0),VISUM_Freeway_OD!K42*Control!$B$2,0)</f>
        <v>2.0864377800000002</v>
      </c>
      <c r="L42">
        <f>IF(AND(COUNTIF(Control!$D$20:$D$100,$B42)=0,COUNTIF(Control!$D$20:$D$100,L$2)=0),VISUM_Freeway_OD!L42*Control!$B$2,0)</f>
        <v>0</v>
      </c>
      <c r="M42">
        <f>IF(AND(COUNTIF(Control!$D$20:$D$100,$B42)=0,COUNTIF(Control!$D$20:$D$100,M$2)=0),VISUM_Freeway_OD!M42*Control!$B$2,0)</f>
        <v>0</v>
      </c>
      <c r="N42">
        <f>IF(AND(COUNTIF(Control!$D$20:$D$100,$B42)=0,COUNTIF(Control!$D$20:$D$100,N$2)=0),VISUM_Freeway_OD!N42*Control!$B$2,0)</f>
        <v>3.7201296899999998</v>
      </c>
      <c r="O42">
        <f>IF(AND(COUNTIF(Control!$D$20:$D$100,$B42)=0,COUNTIF(Control!$D$20:$D$100,O$2)=0),VISUM_Freeway_OD!O42*Control!$B$2,0)</f>
        <v>0</v>
      </c>
      <c r="P42">
        <f>IF(AND(COUNTIF(Control!$D$20:$D$100,$B42)=0,COUNTIF(Control!$D$20:$D$100,P$2)=0),VISUM_Freeway_OD!P42*Control!$B$2,0)</f>
        <v>0</v>
      </c>
      <c r="Q42">
        <f>IF(AND(COUNTIF(Control!$D$20:$D$100,$B42)=0,COUNTIF(Control!$D$20:$D$100,Q$2)=0),VISUM_Freeway_OD!Q42*Control!$B$2,0)</f>
        <v>0</v>
      </c>
      <c r="R42">
        <f>IF(AND(COUNTIF(Control!$D$20:$D$100,$B42)=0,COUNTIF(Control!$D$20:$D$100,R$2)=0),VISUM_Freeway_OD!R42*Control!$B$2,0)</f>
        <v>0</v>
      </c>
      <c r="S42">
        <f>IF(AND(COUNTIF(Control!$D$20:$D$100,$B42)=0,COUNTIF(Control!$D$20:$D$100,S$2)=0),VISUM_Freeway_OD!S42*Control!$B$2,0)</f>
        <v>0</v>
      </c>
      <c r="T42">
        <f>IF(AND(COUNTIF(Control!$D$20:$D$100,$B42)=0,COUNTIF(Control!$D$20:$D$100,T$2)=0),VISUM_Freeway_OD!T42*Control!$B$2,0)</f>
        <v>0</v>
      </c>
      <c r="U42">
        <f>IF(AND(COUNTIF(Control!$D$20:$D$100,$B42)=0,COUNTIF(Control!$D$20:$D$100,U$2)=0),VISUM_Freeway_OD!U42*Control!$B$2,0)</f>
        <v>0</v>
      </c>
      <c r="V42">
        <f>IF(AND(COUNTIF(Control!$D$20:$D$100,$B42)=0,COUNTIF(Control!$D$20:$D$100,V$2)=0),VISUM_Freeway_OD!V42*Control!$B$2,0)</f>
        <v>0</v>
      </c>
      <c r="W42">
        <f>IF(AND(COUNTIF(Control!$D$20:$D$100,$B42)=0,COUNTIF(Control!$D$20:$D$100,W$2)=0),VISUM_Freeway_OD!W42*Control!$B$2,0)</f>
        <v>0</v>
      </c>
      <c r="X42">
        <f>IF(AND(COUNTIF(Control!$D$20:$D$100,$B42)=0,COUNTIF(Control!$D$20:$D$100,X$2)=0),VISUM_Freeway_OD!X42*Control!$B$2,0)</f>
        <v>0</v>
      </c>
      <c r="Y42">
        <f>IF(AND(COUNTIF(Control!$D$20:$D$100,$B42)=0,COUNTIF(Control!$D$20:$D$100,Y$2)=0),VISUM_Freeway_OD!Y42*Control!$B$2,0)</f>
        <v>0</v>
      </c>
      <c r="Z42">
        <f>IF(AND(COUNTIF(Control!$D$20:$D$100,$B42)=0,COUNTIF(Control!$D$20:$D$100,Z$2)=0),VISUM_Freeway_OD!Z42*Control!$B$2,0)</f>
        <v>0</v>
      </c>
      <c r="AA42">
        <f>IF(AND(COUNTIF(Control!$D$20:$D$100,$B42)=0,COUNTIF(Control!$D$20:$D$100,AA$2)=0),VISUM_Freeway_OD!AA42*Control!$B$2,0)</f>
        <v>0</v>
      </c>
      <c r="AB42">
        <f>IF(AND(COUNTIF(Control!$D$20:$D$100,$B42)=0,COUNTIF(Control!$D$20:$D$100,AB$2)=0),VISUM_Freeway_OD!AB42*Control!$B$2,0)</f>
        <v>0</v>
      </c>
      <c r="AC42">
        <f>IF(AND(COUNTIF(Control!$D$20:$D$100,$B42)=0,COUNTIF(Control!$D$20:$D$100,AC$2)=0),VISUM_Freeway_OD!AC42*Control!$B$2,0)</f>
        <v>0</v>
      </c>
      <c r="AD42">
        <f>IF(AND(COUNTIF(Control!$D$20:$D$100,$B42)=0,COUNTIF(Control!$D$20:$D$100,AD$2)=0),VISUM_Freeway_OD!AD42*Control!$B$2,0)</f>
        <v>0</v>
      </c>
      <c r="AE42">
        <f>IF(AND(COUNTIF(Control!$D$20:$D$100,$B42)=0,COUNTIF(Control!$D$20:$D$100,AE$2)=0),VISUM_Freeway_OD!AE42*Control!$B$2,0)</f>
        <v>0.25867340999999999</v>
      </c>
      <c r="AF42">
        <f>IF(AND(COUNTIF(Control!$D$20:$D$100,$B42)=0,COUNTIF(Control!$D$20:$D$100,AF$2)=0),VISUM_Freeway_OD!AF42*Control!$B$2,0)</f>
        <v>0</v>
      </c>
      <c r="AG42">
        <f>IF(AND(COUNTIF(Control!$D$20:$D$100,$B42)=0,COUNTIF(Control!$D$20:$D$100,AG$2)=0),VISUM_Freeway_OD!AG42*Control!$B$2,0)</f>
        <v>0</v>
      </c>
      <c r="AH42">
        <f>IF(AND(COUNTIF(Control!$D$20:$D$100,$B42)=0,COUNTIF(Control!$D$20:$D$100,AH$2)=0),VISUM_Freeway_OD!AH42*Control!$B$2,0)</f>
        <v>0</v>
      </c>
      <c r="AI42">
        <f>IF(AND(COUNTIF(Control!$D$20:$D$100,$B42)=0,COUNTIF(Control!$D$20:$D$100,AI$2)=0),VISUM_Freeway_OD!AI42*Control!$B$2,0)</f>
        <v>0</v>
      </c>
      <c r="AJ42">
        <f>IF(AND(COUNTIF(Control!$D$20:$D$100,$B42)=0,COUNTIF(Control!$D$20:$D$100,AJ$2)=0),VISUM_Freeway_OD!AJ42*Control!$B$2,0)</f>
        <v>0</v>
      </c>
      <c r="AK42">
        <f>IF(AND(COUNTIF(Control!$D$20:$D$100,$B42)=0,COUNTIF(Control!$D$20:$D$100,AK$2)=0),VISUM_Freeway_OD!AK42*Control!$B$2,0)</f>
        <v>0</v>
      </c>
      <c r="AL42">
        <f>IF(AND(COUNTIF(Control!$D$20:$D$100,$B42)=0,COUNTIF(Control!$D$20:$D$100,AL$2)=0),VISUM_Freeway_OD!AL42*Control!$B$2,0)</f>
        <v>0</v>
      </c>
      <c r="AM42">
        <f>IF(AND(COUNTIF(Control!$D$20:$D$100,$B42)=0,COUNTIF(Control!$D$20:$D$100,AM$2)=0),VISUM_Freeway_OD!AM42*Control!$B$2,0)</f>
        <v>0</v>
      </c>
      <c r="AN42">
        <f>IF(AND(COUNTIF(Control!$D$20:$D$100,$B42)=0,COUNTIF(Control!$D$20:$D$100,AN$2)=0),VISUM_Freeway_OD!AN42*Control!$B$2,0)</f>
        <v>0</v>
      </c>
      <c r="AO42">
        <f>IF(AND(COUNTIF(Control!$D$20:$D$100,$B42)=0,COUNTIF(Control!$D$20:$D$100,AO$2)=0),VISUM_Freeway_OD!AO42*Control!$B$2,0)</f>
        <v>0</v>
      </c>
      <c r="AP42">
        <f>IF(AND(COUNTIF(Control!$D$20:$D$100,$B42)=0,COUNTIF(Control!$D$20:$D$100,AP$2)=0),VISUM_Freeway_OD!AP42*Control!$B$2,0)</f>
        <v>0</v>
      </c>
      <c r="AQ42">
        <f>IF(AND(COUNTIF(Control!$D$20:$D$100,$B42)=0,COUNTIF(Control!$D$20:$D$100,AQ$2)=0),VISUM_Freeway_OD!AQ42*Control!$B$2,0)</f>
        <v>0</v>
      </c>
      <c r="AR42">
        <f>IF(AND(COUNTIF(Control!$D$20:$D$100,$B42)=0,COUNTIF(Control!$D$20:$D$100,AR$2)=0),VISUM_Freeway_OD!AR42*Control!$B$2,0)</f>
        <v>0</v>
      </c>
      <c r="AS42">
        <f>IF(AND(COUNTIF(Control!$D$20:$D$100,$B42)=0,COUNTIF(Control!$D$20:$D$100,AS$2)=0),VISUM_Freeway_OD!AS42*Control!$B$2,0)</f>
        <v>0</v>
      </c>
      <c r="AT42">
        <f>IF(AND(COUNTIF(Control!$D$20:$D$100,$B42)=0,COUNTIF(Control!$D$20:$D$100,AT$2)=0),VISUM_Freeway_OD!AT42*Control!$B$2,0)</f>
        <v>2.5354717500000001</v>
      </c>
      <c r="AU42">
        <f>IF(AND(COUNTIF(Control!$D$20:$D$100,$B42)=0,COUNTIF(Control!$D$20:$D$100,AU$2)=0),VISUM_Freeway_OD!AU42*Control!$B$2,0)</f>
        <v>0</v>
      </c>
      <c r="AV42">
        <f>IF(AND(COUNTIF(Control!$D$20:$D$100,$B42)=0,COUNTIF(Control!$D$20:$D$100,AV$2)=0),VISUM_Freeway_OD!AV42*Control!$B$2,0)</f>
        <v>0</v>
      </c>
      <c r="AW42">
        <f>IF(AND(COUNTIF(Control!$D$20:$D$100,$B42)=0,COUNTIF(Control!$D$20:$D$100,AW$2)=0),VISUM_Freeway_OD!AW42*Control!$B$2,0)</f>
        <v>29.991112439999998</v>
      </c>
      <c r="AX42">
        <f>IF(AND(COUNTIF(Control!$D$20:$D$100,$B42)=0,COUNTIF(Control!$D$20:$D$100,AX$2)=0),VISUM_Freeway_OD!AX42*Control!$B$2,0)</f>
        <v>0</v>
      </c>
      <c r="AY42">
        <f>IF(AND(COUNTIF(Control!$D$20:$D$100,$B42)=0,COUNTIF(Control!$D$20:$D$100,AY$2)=0),VISUM_Freeway_OD!AY42*Control!$B$2,0)</f>
        <v>0</v>
      </c>
    </row>
    <row r="43" spans="1:51" x14ac:dyDescent="0.25">
      <c r="A43" s="4" t="str">
        <f>IF(VLOOKUP(B43,Freeway_Zone_Link_Mapping!$A:$C,2,FALSE)&lt;&gt;"",VLOOKUP(B43,Freeway_Zone_Link_Mapping!$A:$C,2,FALSE),"")</f>
        <v/>
      </c>
      <c r="B43" s="4">
        <v>63</v>
      </c>
      <c r="C43">
        <f>IF(AND(COUNTIF(Control!$D$20:$D$100,$B43)=0,COUNTIF(Control!$D$20:$D$100,C$2)=0),VISUM_Freeway_OD!C43*Control!$B$2,0)</f>
        <v>0</v>
      </c>
      <c r="D43">
        <f>IF(AND(COUNTIF(Control!$D$20:$D$100,$B43)=0,COUNTIF(Control!$D$20:$D$100,D$2)=0),VISUM_Freeway_OD!D43*Control!$B$2,0)</f>
        <v>0</v>
      </c>
      <c r="E43">
        <f>IF(AND(COUNTIF(Control!$D$20:$D$100,$B43)=0,COUNTIF(Control!$D$20:$D$100,E$2)=0),VISUM_Freeway_OD!E43*Control!$B$2,0)</f>
        <v>0</v>
      </c>
      <c r="F43">
        <f>IF(AND(COUNTIF(Control!$D$20:$D$100,$B43)=0,COUNTIF(Control!$D$20:$D$100,F$2)=0),VISUM_Freeway_OD!F43*Control!$B$2,0)</f>
        <v>0</v>
      </c>
      <c r="G43">
        <f>IF(AND(COUNTIF(Control!$D$20:$D$100,$B43)=0,COUNTIF(Control!$D$20:$D$100,G$2)=0),VISUM_Freeway_OD!G43*Control!$B$2,0)</f>
        <v>0</v>
      </c>
      <c r="H43">
        <f>IF(AND(COUNTIF(Control!$D$20:$D$100,$B43)=0,COUNTIF(Control!$D$20:$D$100,H$2)=0),VISUM_Freeway_OD!H43*Control!$B$2,0)</f>
        <v>0</v>
      </c>
      <c r="I43">
        <f>IF(AND(COUNTIF(Control!$D$20:$D$100,$B43)=0,COUNTIF(Control!$D$20:$D$100,I$2)=0),VISUM_Freeway_OD!I43*Control!$B$2,0)</f>
        <v>0</v>
      </c>
      <c r="J43">
        <f>IF(AND(COUNTIF(Control!$D$20:$D$100,$B43)=0,COUNTIF(Control!$D$20:$D$100,J$2)=0),VISUM_Freeway_OD!J43*Control!$B$2,0)</f>
        <v>0</v>
      </c>
      <c r="K43">
        <f>IF(AND(COUNTIF(Control!$D$20:$D$100,$B43)=0,COUNTIF(Control!$D$20:$D$100,K$2)=0),VISUM_Freeway_OD!K43*Control!$B$2,0)</f>
        <v>0</v>
      </c>
      <c r="L43">
        <f>IF(AND(COUNTIF(Control!$D$20:$D$100,$B43)=0,COUNTIF(Control!$D$20:$D$100,L$2)=0),VISUM_Freeway_OD!L43*Control!$B$2,0)</f>
        <v>0</v>
      </c>
      <c r="M43">
        <f>IF(AND(COUNTIF(Control!$D$20:$D$100,$B43)=0,COUNTIF(Control!$D$20:$D$100,M$2)=0),VISUM_Freeway_OD!M43*Control!$B$2,0)</f>
        <v>0</v>
      </c>
      <c r="N43">
        <f>IF(AND(COUNTIF(Control!$D$20:$D$100,$B43)=0,COUNTIF(Control!$D$20:$D$100,N$2)=0),VISUM_Freeway_OD!N43*Control!$B$2,0)</f>
        <v>0</v>
      </c>
      <c r="O43">
        <f>IF(AND(COUNTIF(Control!$D$20:$D$100,$B43)=0,COUNTIF(Control!$D$20:$D$100,O$2)=0),VISUM_Freeway_OD!O43*Control!$B$2,0)</f>
        <v>0</v>
      </c>
      <c r="P43">
        <f>IF(AND(COUNTIF(Control!$D$20:$D$100,$B43)=0,COUNTIF(Control!$D$20:$D$100,P$2)=0),VISUM_Freeway_OD!P43*Control!$B$2,0)</f>
        <v>0</v>
      </c>
      <c r="Q43">
        <f>IF(AND(COUNTIF(Control!$D$20:$D$100,$B43)=0,COUNTIF(Control!$D$20:$D$100,Q$2)=0),VISUM_Freeway_OD!Q43*Control!$B$2,0)</f>
        <v>0</v>
      </c>
      <c r="R43">
        <f>IF(AND(COUNTIF(Control!$D$20:$D$100,$B43)=0,COUNTIF(Control!$D$20:$D$100,R$2)=0),VISUM_Freeway_OD!R43*Control!$B$2,0)</f>
        <v>0</v>
      </c>
      <c r="S43">
        <f>IF(AND(COUNTIF(Control!$D$20:$D$100,$B43)=0,COUNTIF(Control!$D$20:$D$100,S$2)=0),VISUM_Freeway_OD!S43*Control!$B$2,0)</f>
        <v>0</v>
      </c>
      <c r="T43">
        <f>IF(AND(COUNTIF(Control!$D$20:$D$100,$B43)=0,COUNTIF(Control!$D$20:$D$100,T$2)=0),VISUM_Freeway_OD!T43*Control!$B$2,0)</f>
        <v>0</v>
      </c>
      <c r="U43">
        <f>IF(AND(COUNTIF(Control!$D$20:$D$100,$B43)=0,COUNTIF(Control!$D$20:$D$100,U$2)=0),VISUM_Freeway_OD!U43*Control!$B$2,0)</f>
        <v>0</v>
      </c>
      <c r="V43">
        <f>IF(AND(COUNTIF(Control!$D$20:$D$100,$B43)=0,COUNTIF(Control!$D$20:$D$100,V$2)=0),VISUM_Freeway_OD!V43*Control!$B$2,0)</f>
        <v>0</v>
      </c>
      <c r="W43">
        <f>IF(AND(COUNTIF(Control!$D$20:$D$100,$B43)=0,COUNTIF(Control!$D$20:$D$100,W$2)=0),VISUM_Freeway_OD!W43*Control!$B$2,0)</f>
        <v>0</v>
      </c>
      <c r="X43">
        <f>IF(AND(COUNTIF(Control!$D$20:$D$100,$B43)=0,COUNTIF(Control!$D$20:$D$100,X$2)=0),VISUM_Freeway_OD!X43*Control!$B$2,0)</f>
        <v>0</v>
      </c>
      <c r="Y43">
        <f>IF(AND(COUNTIF(Control!$D$20:$D$100,$B43)=0,COUNTIF(Control!$D$20:$D$100,Y$2)=0),VISUM_Freeway_OD!Y43*Control!$B$2,0)</f>
        <v>0</v>
      </c>
      <c r="Z43">
        <f>IF(AND(COUNTIF(Control!$D$20:$D$100,$B43)=0,COUNTIF(Control!$D$20:$D$100,Z$2)=0),VISUM_Freeway_OD!Z43*Control!$B$2,0)</f>
        <v>0</v>
      </c>
      <c r="AA43">
        <f>IF(AND(COUNTIF(Control!$D$20:$D$100,$B43)=0,COUNTIF(Control!$D$20:$D$100,AA$2)=0),VISUM_Freeway_OD!AA43*Control!$B$2,0)</f>
        <v>0</v>
      </c>
      <c r="AB43">
        <f>IF(AND(COUNTIF(Control!$D$20:$D$100,$B43)=0,COUNTIF(Control!$D$20:$D$100,AB$2)=0),VISUM_Freeway_OD!AB43*Control!$B$2,0)</f>
        <v>0</v>
      </c>
      <c r="AC43">
        <f>IF(AND(COUNTIF(Control!$D$20:$D$100,$B43)=0,COUNTIF(Control!$D$20:$D$100,AC$2)=0),VISUM_Freeway_OD!AC43*Control!$B$2,0)</f>
        <v>0</v>
      </c>
      <c r="AD43">
        <f>IF(AND(COUNTIF(Control!$D$20:$D$100,$B43)=0,COUNTIF(Control!$D$20:$D$100,AD$2)=0),VISUM_Freeway_OD!AD43*Control!$B$2,0)</f>
        <v>0</v>
      </c>
      <c r="AE43">
        <f>IF(AND(COUNTIF(Control!$D$20:$D$100,$B43)=0,COUNTIF(Control!$D$20:$D$100,AE$2)=0),VISUM_Freeway_OD!AE43*Control!$B$2,0)</f>
        <v>0</v>
      </c>
      <c r="AF43">
        <f>IF(AND(COUNTIF(Control!$D$20:$D$100,$B43)=0,COUNTIF(Control!$D$20:$D$100,AF$2)=0),VISUM_Freeway_OD!AF43*Control!$B$2,0)</f>
        <v>0</v>
      </c>
      <c r="AG43">
        <f>IF(AND(COUNTIF(Control!$D$20:$D$100,$B43)=0,COUNTIF(Control!$D$20:$D$100,AG$2)=0),VISUM_Freeway_OD!AG43*Control!$B$2,0)</f>
        <v>0</v>
      </c>
      <c r="AH43">
        <f>IF(AND(COUNTIF(Control!$D$20:$D$100,$B43)=0,COUNTIF(Control!$D$20:$D$100,AH$2)=0),VISUM_Freeway_OD!AH43*Control!$B$2,0)</f>
        <v>0</v>
      </c>
      <c r="AI43">
        <f>IF(AND(COUNTIF(Control!$D$20:$D$100,$B43)=0,COUNTIF(Control!$D$20:$D$100,AI$2)=0),VISUM_Freeway_OD!AI43*Control!$B$2,0)</f>
        <v>0</v>
      </c>
      <c r="AJ43">
        <f>IF(AND(COUNTIF(Control!$D$20:$D$100,$B43)=0,COUNTIF(Control!$D$20:$D$100,AJ$2)=0),VISUM_Freeway_OD!AJ43*Control!$B$2,0)</f>
        <v>0</v>
      </c>
      <c r="AK43">
        <f>IF(AND(COUNTIF(Control!$D$20:$D$100,$B43)=0,COUNTIF(Control!$D$20:$D$100,AK$2)=0),VISUM_Freeway_OD!AK43*Control!$B$2,0)</f>
        <v>0</v>
      </c>
      <c r="AL43">
        <f>IF(AND(COUNTIF(Control!$D$20:$D$100,$B43)=0,COUNTIF(Control!$D$20:$D$100,AL$2)=0),VISUM_Freeway_OD!AL43*Control!$B$2,0)</f>
        <v>0</v>
      </c>
      <c r="AM43">
        <f>IF(AND(COUNTIF(Control!$D$20:$D$100,$B43)=0,COUNTIF(Control!$D$20:$D$100,AM$2)=0),VISUM_Freeway_OD!AM43*Control!$B$2,0)</f>
        <v>0</v>
      </c>
      <c r="AN43">
        <f>IF(AND(COUNTIF(Control!$D$20:$D$100,$B43)=0,COUNTIF(Control!$D$20:$D$100,AN$2)=0),VISUM_Freeway_OD!AN43*Control!$B$2,0)</f>
        <v>0</v>
      </c>
      <c r="AO43">
        <f>IF(AND(COUNTIF(Control!$D$20:$D$100,$B43)=0,COUNTIF(Control!$D$20:$D$100,AO$2)=0),VISUM_Freeway_OD!AO43*Control!$B$2,0)</f>
        <v>0</v>
      </c>
      <c r="AP43">
        <f>IF(AND(COUNTIF(Control!$D$20:$D$100,$B43)=0,COUNTIF(Control!$D$20:$D$100,AP$2)=0),VISUM_Freeway_OD!AP43*Control!$B$2,0)</f>
        <v>0</v>
      </c>
      <c r="AQ43">
        <f>IF(AND(COUNTIF(Control!$D$20:$D$100,$B43)=0,COUNTIF(Control!$D$20:$D$100,AQ$2)=0),VISUM_Freeway_OD!AQ43*Control!$B$2,0)</f>
        <v>0</v>
      </c>
      <c r="AR43">
        <f>IF(AND(COUNTIF(Control!$D$20:$D$100,$B43)=0,COUNTIF(Control!$D$20:$D$100,AR$2)=0),VISUM_Freeway_OD!AR43*Control!$B$2,0)</f>
        <v>0</v>
      </c>
      <c r="AS43">
        <f>IF(AND(COUNTIF(Control!$D$20:$D$100,$B43)=0,COUNTIF(Control!$D$20:$D$100,AS$2)=0),VISUM_Freeway_OD!AS43*Control!$B$2,0)</f>
        <v>0</v>
      </c>
      <c r="AT43">
        <f>IF(AND(COUNTIF(Control!$D$20:$D$100,$B43)=0,COUNTIF(Control!$D$20:$D$100,AT$2)=0),VISUM_Freeway_OD!AT43*Control!$B$2,0)</f>
        <v>0</v>
      </c>
      <c r="AU43">
        <f>IF(AND(COUNTIF(Control!$D$20:$D$100,$B43)=0,COUNTIF(Control!$D$20:$D$100,AU$2)=0),VISUM_Freeway_OD!AU43*Control!$B$2,0)</f>
        <v>0</v>
      </c>
      <c r="AV43">
        <f>IF(AND(COUNTIF(Control!$D$20:$D$100,$B43)=0,COUNTIF(Control!$D$20:$D$100,AV$2)=0),VISUM_Freeway_OD!AV43*Control!$B$2,0)</f>
        <v>0</v>
      </c>
      <c r="AW43">
        <f>IF(AND(COUNTIF(Control!$D$20:$D$100,$B43)=0,COUNTIF(Control!$D$20:$D$100,AW$2)=0),VISUM_Freeway_OD!AW43*Control!$B$2,0)</f>
        <v>0</v>
      </c>
      <c r="AX43">
        <f>IF(AND(COUNTIF(Control!$D$20:$D$100,$B43)=0,COUNTIF(Control!$D$20:$D$100,AX$2)=0),VISUM_Freeway_OD!AX43*Control!$B$2,0)</f>
        <v>0</v>
      </c>
      <c r="AY43">
        <f>IF(AND(COUNTIF(Control!$D$20:$D$100,$B43)=0,COUNTIF(Control!$D$20:$D$100,AY$2)=0),VISUM_Freeway_OD!AY43*Control!$B$2,0)</f>
        <v>0</v>
      </c>
    </row>
    <row r="44" spans="1:51" x14ac:dyDescent="0.25">
      <c r="A44" s="4" t="str">
        <f>IF(VLOOKUP(B44,Freeway_Zone_Link_Mapping!$A:$C,2,FALSE)&lt;&gt;"",VLOOKUP(B44,Freeway_Zone_Link_Mapping!$A:$C,2,FALSE),"")</f>
        <v/>
      </c>
      <c r="B44" s="4">
        <v>64</v>
      </c>
      <c r="C44">
        <f>IF(AND(COUNTIF(Control!$D$20:$D$100,$B44)=0,COUNTIF(Control!$D$20:$D$100,C$2)=0),VISUM_Freeway_OD!C44*Control!$B$2,0)</f>
        <v>0</v>
      </c>
      <c r="D44">
        <f>IF(AND(COUNTIF(Control!$D$20:$D$100,$B44)=0,COUNTIF(Control!$D$20:$D$100,D$2)=0),VISUM_Freeway_OD!D44*Control!$B$2,0)</f>
        <v>0</v>
      </c>
      <c r="E44">
        <f>IF(AND(COUNTIF(Control!$D$20:$D$100,$B44)=0,COUNTIF(Control!$D$20:$D$100,E$2)=0),VISUM_Freeway_OD!E44*Control!$B$2,0)</f>
        <v>0</v>
      </c>
      <c r="F44">
        <f>IF(AND(COUNTIF(Control!$D$20:$D$100,$B44)=0,COUNTIF(Control!$D$20:$D$100,F$2)=0),VISUM_Freeway_OD!F44*Control!$B$2,0)</f>
        <v>0</v>
      </c>
      <c r="G44">
        <f>IF(AND(COUNTIF(Control!$D$20:$D$100,$B44)=0,COUNTIF(Control!$D$20:$D$100,G$2)=0),VISUM_Freeway_OD!G44*Control!$B$2,0)</f>
        <v>0</v>
      </c>
      <c r="H44">
        <f>IF(AND(COUNTIF(Control!$D$20:$D$100,$B44)=0,COUNTIF(Control!$D$20:$D$100,H$2)=0),VISUM_Freeway_OD!H44*Control!$B$2,0)</f>
        <v>0</v>
      </c>
      <c r="I44">
        <f>IF(AND(COUNTIF(Control!$D$20:$D$100,$B44)=0,COUNTIF(Control!$D$20:$D$100,I$2)=0),VISUM_Freeway_OD!I44*Control!$B$2,0)</f>
        <v>0</v>
      </c>
      <c r="J44">
        <f>IF(AND(COUNTIF(Control!$D$20:$D$100,$B44)=0,COUNTIF(Control!$D$20:$D$100,J$2)=0),VISUM_Freeway_OD!J44*Control!$B$2,0)</f>
        <v>0</v>
      </c>
      <c r="K44">
        <f>IF(AND(COUNTIF(Control!$D$20:$D$100,$B44)=0,COUNTIF(Control!$D$20:$D$100,K$2)=0),VISUM_Freeway_OD!K44*Control!$B$2,0)</f>
        <v>0</v>
      </c>
      <c r="L44">
        <f>IF(AND(COUNTIF(Control!$D$20:$D$100,$B44)=0,COUNTIF(Control!$D$20:$D$100,L$2)=0),VISUM_Freeway_OD!L44*Control!$B$2,0)</f>
        <v>0</v>
      </c>
      <c r="M44">
        <f>IF(AND(COUNTIF(Control!$D$20:$D$100,$B44)=0,COUNTIF(Control!$D$20:$D$100,M$2)=0),VISUM_Freeway_OD!M44*Control!$B$2,0)</f>
        <v>0</v>
      </c>
      <c r="N44">
        <f>IF(AND(COUNTIF(Control!$D$20:$D$100,$B44)=0,COUNTIF(Control!$D$20:$D$100,N$2)=0),VISUM_Freeway_OD!N44*Control!$B$2,0)</f>
        <v>0</v>
      </c>
      <c r="O44">
        <f>IF(AND(COUNTIF(Control!$D$20:$D$100,$B44)=0,COUNTIF(Control!$D$20:$D$100,O$2)=0),VISUM_Freeway_OD!O44*Control!$B$2,0)</f>
        <v>0</v>
      </c>
      <c r="P44">
        <f>IF(AND(COUNTIF(Control!$D$20:$D$100,$B44)=0,COUNTIF(Control!$D$20:$D$100,P$2)=0),VISUM_Freeway_OD!P44*Control!$B$2,0)</f>
        <v>0</v>
      </c>
      <c r="Q44">
        <f>IF(AND(COUNTIF(Control!$D$20:$D$100,$B44)=0,COUNTIF(Control!$D$20:$D$100,Q$2)=0),VISUM_Freeway_OD!Q44*Control!$B$2,0)</f>
        <v>0</v>
      </c>
      <c r="R44">
        <f>IF(AND(COUNTIF(Control!$D$20:$D$100,$B44)=0,COUNTIF(Control!$D$20:$D$100,R$2)=0),VISUM_Freeway_OD!R44*Control!$B$2,0)</f>
        <v>0</v>
      </c>
      <c r="S44">
        <f>IF(AND(COUNTIF(Control!$D$20:$D$100,$B44)=0,COUNTIF(Control!$D$20:$D$100,S$2)=0),VISUM_Freeway_OD!S44*Control!$B$2,0)</f>
        <v>0</v>
      </c>
      <c r="T44">
        <f>IF(AND(COUNTIF(Control!$D$20:$D$100,$B44)=0,COUNTIF(Control!$D$20:$D$100,T$2)=0),VISUM_Freeway_OD!T44*Control!$B$2,0)</f>
        <v>0</v>
      </c>
      <c r="U44">
        <f>IF(AND(COUNTIF(Control!$D$20:$D$100,$B44)=0,COUNTIF(Control!$D$20:$D$100,U$2)=0),VISUM_Freeway_OD!U44*Control!$B$2,0)</f>
        <v>0</v>
      </c>
      <c r="V44">
        <f>IF(AND(COUNTIF(Control!$D$20:$D$100,$B44)=0,COUNTIF(Control!$D$20:$D$100,V$2)=0),VISUM_Freeway_OD!V44*Control!$B$2,0)</f>
        <v>0</v>
      </c>
      <c r="W44">
        <f>IF(AND(COUNTIF(Control!$D$20:$D$100,$B44)=0,COUNTIF(Control!$D$20:$D$100,W$2)=0),VISUM_Freeway_OD!W44*Control!$B$2,0)</f>
        <v>0</v>
      </c>
      <c r="X44">
        <f>IF(AND(COUNTIF(Control!$D$20:$D$100,$B44)=0,COUNTIF(Control!$D$20:$D$100,X$2)=0),VISUM_Freeway_OD!X44*Control!$B$2,0)</f>
        <v>0</v>
      </c>
      <c r="Y44">
        <f>IF(AND(COUNTIF(Control!$D$20:$D$100,$B44)=0,COUNTIF(Control!$D$20:$D$100,Y$2)=0),VISUM_Freeway_OD!Y44*Control!$B$2,0)</f>
        <v>0</v>
      </c>
      <c r="Z44">
        <f>IF(AND(COUNTIF(Control!$D$20:$D$100,$B44)=0,COUNTIF(Control!$D$20:$D$100,Z$2)=0),VISUM_Freeway_OD!Z44*Control!$B$2,0)</f>
        <v>0</v>
      </c>
      <c r="AA44">
        <f>IF(AND(COUNTIF(Control!$D$20:$D$100,$B44)=0,COUNTIF(Control!$D$20:$D$100,AA$2)=0),VISUM_Freeway_OD!AA44*Control!$B$2,0)</f>
        <v>0</v>
      </c>
      <c r="AB44">
        <f>IF(AND(COUNTIF(Control!$D$20:$D$100,$B44)=0,COUNTIF(Control!$D$20:$D$100,AB$2)=0),VISUM_Freeway_OD!AB44*Control!$B$2,0)</f>
        <v>0</v>
      </c>
      <c r="AC44">
        <f>IF(AND(COUNTIF(Control!$D$20:$D$100,$B44)=0,COUNTIF(Control!$D$20:$D$100,AC$2)=0),VISUM_Freeway_OD!AC44*Control!$B$2,0)</f>
        <v>0</v>
      </c>
      <c r="AD44">
        <f>IF(AND(COUNTIF(Control!$D$20:$D$100,$B44)=0,COUNTIF(Control!$D$20:$D$100,AD$2)=0),VISUM_Freeway_OD!AD44*Control!$B$2,0)</f>
        <v>0</v>
      </c>
      <c r="AE44">
        <f>IF(AND(COUNTIF(Control!$D$20:$D$100,$B44)=0,COUNTIF(Control!$D$20:$D$100,AE$2)=0),VISUM_Freeway_OD!AE44*Control!$B$2,0)</f>
        <v>0</v>
      </c>
      <c r="AF44">
        <f>IF(AND(COUNTIF(Control!$D$20:$D$100,$B44)=0,COUNTIF(Control!$D$20:$D$100,AF$2)=0),VISUM_Freeway_OD!AF44*Control!$B$2,0)</f>
        <v>0</v>
      </c>
      <c r="AG44">
        <f>IF(AND(COUNTIF(Control!$D$20:$D$100,$B44)=0,COUNTIF(Control!$D$20:$D$100,AG$2)=0),VISUM_Freeway_OD!AG44*Control!$B$2,0)</f>
        <v>0</v>
      </c>
      <c r="AH44">
        <f>IF(AND(COUNTIF(Control!$D$20:$D$100,$B44)=0,COUNTIF(Control!$D$20:$D$100,AH$2)=0),VISUM_Freeway_OD!AH44*Control!$B$2,0)</f>
        <v>0</v>
      </c>
      <c r="AI44">
        <f>IF(AND(COUNTIF(Control!$D$20:$D$100,$B44)=0,COUNTIF(Control!$D$20:$D$100,AI$2)=0),VISUM_Freeway_OD!AI44*Control!$B$2,0)</f>
        <v>0</v>
      </c>
      <c r="AJ44">
        <f>IF(AND(COUNTIF(Control!$D$20:$D$100,$B44)=0,COUNTIF(Control!$D$20:$D$100,AJ$2)=0),VISUM_Freeway_OD!AJ44*Control!$B$2,0)</f>
        <v>0</v>
      </c>
      <c r="AK44">
        <f>IF(AND(COUNTIF(Control!$D$20:$D$100,$B44)=0,COUNTIF(Control!$D$20:$D$100,AK$2)=0),VISUM_Freeway_OD!AK44*Control!$B$2,0)</f>
        <v>0</v>
      </c>
      <c r="AL44">
        <f>IF(AND(COUNTIF(Control!$D$20:$D$100,$B44)=0,COUNTIF(Control!$D$20:$D$100,AL$2)=0),VISUM_Freeway_OD!AL44*Control!$B$2,0)</f>
        <v>0</v>
      </c>
      <c r="AM44">
        <f>IF(AND(COUNTIF(Control!$D$20:$D$100,$B44)=0,COUNTIF(Control!$D$20:$D$100,AM$2)=0),VISUM_Freeway_OD!AM44*Control!$B$2,0)</f>
        <v>0</v>
      </c>
      <c r="AN44">
        <f>IF(AND(COUNTIF(Control!$D$20:$D$100,$B44)=0,COUNTIF(Control!$D$20:$D$100,AN$2)=0),VISUM_Freeway_OD!AN44*Control!$B$2,0)</f>
        <v>0</v>
      </c>
      <c r="AO44">
        <f>IF(AND(COUNTIF(Control!$D$20:$D$100,$B44)=0,COUNTIF(Control!$D$20:$D$100,AO$2)=0),VISUM_Freeway_OD!AO44*Control!$B$2,0)</f>
        <v>0</v>
      </c>
      <c r="AP44">
        <f>IF(AND(COUNTIF(Control!$D$20:$D$100,$B44)=0,COUNTIF(Control!$D$20:$D$100,AP$2)=0),VISUM_Freeway_OD!AP44*Control!$B$2,0)</f>
        <v>0</v>
      </c>
      <c r="AQ44">
        <f>IF(AND(COUNTIF(Control!$D$20:$D$100,$B44)=0,COUNTIF(Control!$D$20:$D$100,AQ$2)=0),VISUM_Freeway_OD!AQ44*Control!$B$2,0)</f>
        <v>0</v>
      </c>
      <c r="AR44">
        <f>IF(AND(COUNTIF(Control!$D$20:$D$100,$B44)=0,COUNTIF(Control!$D$20:$D$100,AR$2)=0),VISUM_Freeway_OD!AR44*Control!$B$2,0)</f>
        <v>0</v>
      </c>
      <c r="AS44">
        <f>IF(AND(COUNTIF(Control!$D$20:$D$100,$B44)=0,COUNTIF(Control!$D$20:$D$100,AS$2)=0),VISUM_Freeway_OD!AS44*Control!$B$2,0)</f>
        <v>0</v>
      </c>
      <c r="AT44">
        <f>IF(AND(COUNTIF(Control!$D$20:$D$100,$B44)=0,COUNTIF(Control!$D$20:$D$100,AT$2)=0),VISUM_Freeway_OD!AT44*Control!$B$2,0)</f>
        <v>0</v>
      </c>
      <c r="AU44">
        <f>IF(AND(COUNTIF(Control!$D$20:$D$100,$B44)=0,COUNTIF(Control!$D$20:$D$100,AU$2)=0),VISUM_Freeway_OD!AU44*Control!$B$2,0)</f>
        <v>0</v>
      </c>
      <c r="AV44">
        <f>IF(AND(COUNTIF(Control!$D$20:$D$100,$B44)=0,COUNTIF(Control!$D$20:$D$100,AV$2)=0),VISUM_Freeway_OD!AV44*Control!$B$2,0)</f>
        <v>0</v>
      </c>
      <c r="AW44">
        <f>IF(AND(COUNTIF(Control!$D$20:$D$100,$B44)=0,COUNTIF(Control!$D$20:$D$100,AW$2)=0),VISUM_Freeway_OD!AW44*Control!$B$2,0)</f>
        <v>0</v>
      </c>
      <c r="AX44">
        <f>IF(AND(COUNTIF(Control!$D$20:$D$100,$B44)=0,COUNTIF(Control!$D$20:$D$100,AX$2)=0),VISUM_Freeway_OD!AX44*Control!$B$2,0)</f>
        <v>0</v>
      </c>
      <c r="AY44">
        <f>IF(AND(COUNTIF(Control!$D$20:$D$100,$B44)=0,COUNTIF(Control!$D$20:$D$100,AY$2)=0),VISUM_Freeway_OD!AY44*Control!$B$2,0)</f>
        <v>0</v>
      </c>
    </row>
    <row r="45" spans="1:51" x14ac:dyDescent="0.25">
      <c r="A45" s="4">
        <f>IF(VLOOKUP(B45,Freeway_Zone_Link_Mapping!$A:$C,2,FALSE)&lt;&gt;"",VLOOKUP(B45,Freeway_Zone_Link_Mapping!$A:$C,2,FALSE),"")</f>
        <v>460</v>
      </c>
      <c r="B45" s="20">
        <v>66</v>
      </c>
      <c r="C45">
        <f>IF(AND(COUNTIF(Control!$D$20:$D$100,$B45)=0,COUNTIF(Control!$D$20:$D$100,C$2)=0),VISUM_Freeway_OD!C45*Control!$B$2,0)</f>
        <v>4.5947245800000003</v>
      </c>
      <c r="D45">
        <f>IF(AND(COUNTIF(Control!$D$20:$D$100,$B45)=0,COUNTIF(Control!$D$20:$D$100,D$2)=0),VISUM_Freeway_OD!D45*Control!$B$2,0)</f>
        <v>0</v>
      </c>
      <c r="E45">
        <f>IF(AND(COUNTIF(Control!$D$20:$D$100,$B45)=0,COUNTIF(Control!$D$20:$D$100,E$2)=0),VISUM_Freeway_OD!E45*Control!$B$2,0)</f>
        <v>3.9876505499999997</v>
      </c>
      <c r="F45">
        <f>IF(AND(COUNTIF(Control!$D$20:$D$100,$B45)=0,COUNTIF(Control!$D$20:$D$100,F$2)=0),VISUM_Freeway_OD!F45*Control!$B$2,0)</f>
        <v>5.3380261499999992</v>
      </c>
      <c r="G45">
        <f>IF(AND(COUNTIF(Control!$D$20:$D$100,$B45)=0,COUNTIF(Control!$D$20:$D$100,G$2)=0),VISUM_Freeway_OD!G45*Control!$B$2,0)</f>
        <v>0</v>
      </c>
      <c r="H45">
        <f>IF(AND(COUNTIF(Control!$D$20:$D$100,$B45)=0,COUNTIF(Control!$D$20:$D$100,H$2)=0),VISUM_Freeway_OD!H45*Control!$B$2,0)</f>
        <v>0</v>
      </c>
      <c r="I45">
        <f>IF(AND(COUNTIF(Control!$D$20:$D$100,$B45)=0,COUNTIF(Control!$D$20:$D$100,I$2)=0),VISUM_Freeway_OD!I45*Control!$B$2,0)</f>
        <v>0</v>
      </c>
      <c r="J45">
        <f>IF(AND(COUNTIF(Control!$D$20:$D$100,$B45)=0,COUNTIF(Control!$D$20:$D$100,J$2)=0),VISUM_Freeway_OD!J45*Control!$B$2,0)</f>
        <v>0</v>
      </c>
      <c r="K45">
        <f>IF(AND(COUNTIF(Control!$D$20:$D$100,$B45)=0,COUNTIF(Control!$D$20:$D$100,K$2)=0),VISUM_Freeway_OD!K45*Control!$B$2,0)</f>
        <v>0</v>
      </c>
      <c r="L45">
        <f>IF(AND(COUNTIF(Control!$D$20:$D$100,$B45)=0,COUNTIF(Control!$D$20:$D$100,L$2)=0),VISUM_Freeway_OD!L45*Control!$B$2,0)</f>
        <v>0</v>
      </c>
      <c r="M45">
        <f>IF(AND(COUNTIF(Control!$D$20:$D$100,$B45)=0,COUNTIF(Control!$D$20:$D$100,M$2)=0),VISUM_Freeway_OD!M45*Control!$B$2,0)</f>
        <v>0</v>
      </c>
      <c r="N45">
        <f>IF(AND(COUNTIF(Control!$D$20:$D$100,$B45)=0,COUNTIF(Control!$D$20:$D$100,N$2)=0),VISUM_Freeway_OD!N45*Control!$B$2,0)</f>
        <v>0</v>
      </c>
      <c r="O45">
        <f>IF(AND(COUNTIF(Control!$D$20:$D$100,$B45)=0,COUNTIF(Control!$D$20:$D$100,O$2)=0),VISUM_Freeway_OD!O45*Control!$B$2,0)</f>
        <v>0</v>
      </c>
      <c r="P45">
        <f>IF(AND(COUNTIF(Control!$D$20:$D$100,$B45)=0,COUNTIF(Control!$D$20:$D$100,P$2)=0),VISUM_Freeway_OD!P45*Control!$B$2,0)</f>
        <v>0</v>
      </c>
      <c r="Q45">
        <f>IF(AND(COUNTIF(Control!$D$20:$D$100,$B45)=0,COUNTIF(Control!$D$20:$D$100,Q$2)=0),VISUM_Freeway_OD!Q45*Control!$B$2,0)</f>
        <v>0</v>
      </c>
      <c r="R45">
        <f>IF(AND(COUNTIF(Control!$D$20:$D$100,$B45)=0,COUNTIF(Control!$D$20:$D$100,R$2)=0),VISUM_Freeway_OD!R45*Control!$B$2,0)</f>
        <v>0</v>
      </c>
      <c r="S45">
        <f>IF(AND(COUNTIF(Control!$D$20:$D$100,$B45)=0,COUNTIF(Control!$D$20:$D$100,S$2)=0),VISUM_Freeway_OD!S45*Control!$B$2,0)</f>
        <v>0</v>
      </c>
      <c r="T45">
        <f>IF(AND(COUNTIF(Control!$D$20:$D$100,$B45)=0,COUNTIF(Control!$D$20:$D$100,T$2)=0),VISUM_Freeway_OD!T45*Control!$B$2,0)</f>
        <v>0</v>
      </c>
      <c r="U45">
        <f>IF(AND(COUNTIF(Control!$D$20:$D$100,$B45)=0,COUNTIF(Control!$D$20:$D$100,U$2)=0),VISUM_Freeway_OD!U45*Control!$B$2,0)</f>
        <v>0</v>
      </c>
      <c r="V45">
        <f>IF(AND(COUNTIF(Control!$D$20:$D$100,$B45)=0,COUNTIF(Control!$D$20:$D$100,V$2)=0),VISUM_Freeway_OD!V45*Control!$B$2,0)</f>
        <v>0</v>
      </c>
      <c r="W45">
        <f>IF(AND(COUNTIF(Control!$D$20:$D$100,$B45)=0,COUNTIF(Control!$D$20:$D$100,W$2)=0),VISUM_Freeway_OD!W45*Control!$B$2,0)</f>
        <v>0</v>
      </c>
      <c r="X45">
        <f>IF(AND(COUNTIF(Control!$D$20:$D$100,$B45)=0,COUNTIF(Control!$D$20:$D$100,X$2)=0),VISUM_Freeway_OD!X45*Control!$B$2,0)</f>
        <v>0</v>
      </c>
      <c r="Y45">
        <f>IF(AND(COUNTIF(Control!$D$20:$D$100,$B45)=0,COUNTIF(Control!$D$20:$D$100,Y$2)=0),VISUM_Freeway_OD!Y45*Control!$B$2,0)</f>
        <v>0</v>
      </c>
      <c r="Z45">
        <f>IF(AND(COUNTIF(Control!$D$20:$D$100,$B45)=0,COUNTIF(Control!$D$20:$D$100,Z$2)=0),VISUM_Freeway_OD!Z45*Control!$B$2,0)</f>
        <v>0</v>
      </c>
      <c r="AA45">
        <f>IF(AND(COUNTIF(Control!$D$20:$D$100,$B45)=0,COUNTIF(Control!$D$20:$D$100,AA$2)=0),VISUM_Freeway_OD!AA45*Control!$B$2,0)</f>
        <v>0</v>
      </c>
      <c r="AB45">
        <f>IF(AND(COUNTIF(Control!$D$20:$D$100,$B45)=0,COUNTIF(Control!$D$20:$D$100,AB$2)=0),VISUM_Freeway_OD!AB45*Control!$B$2,0)</f>
        <v>0</v>
      </c>
      <c r="AC45">
        <f>IF(AND(COUNTIF(Control!$D$20:$D$100,$B45)=0,COUNTIF(Control!$D$20:$D$100,AC$2)=0),VISUM_Freeway_OD!AC45*Control!$B$2,0)</f>
        <v>0</v>
      </c>
      <c r="AD45">
        <f>IF(AND(COUNTIF(Control!$D$20:$D$100,$B45)=0,COUNTIF(Control!$D$20:$D$100,AD$2)=0),VISUM_Freeway_OD!AD45*Control!$B$2,0)</f>
        <v>0</v>
      </c>
      <c r="AE45">
        <f>IF(AND(COUNTIF(Control!$D$20:$D$100,$B45)=0,COUNTIF(Control!$D$20:$D$100,AE$2)=0),VISUM_Freeway_OD!AE45*Control!$B$2,0)</f>
        <v>0</v>
      </c>
      <c r="AF45">
        <f>IF(AND(COUNTIF(Control!$D$20:$D$100,$B45)=0,COUNTIF(Control!$D$20:$D$100,AF$2)=0),VISUM_Freeway_OD!AF45*Control!$B$2,0)</f>
        <v>0</v>
      </c>
      <c r="AG45">
        <f>IF(AND(COUNTIF(Control!$D$20:$D$100,$B45)=0,COUNTIF(Control!$D$20:$D$100,AG$2)=0),VISUM_Freeway_OD!AG45*Control!$B$2,0)</f>
        <v>0</v>
      </c>
      <c r="AH45">
        <f>IF(AND(COUNTIF(Control!$D$20:$D$100,$B45)=0,COUNTIF(Control!$D$20:$D$100,AH$2)=0),VISUM_Freeway_OD!AH45*Control!$B$2,0)</f>
        <v>0</v>
      </c>
      <c r="AI45">
        <f>IF(AND(COUNTIF(Control!$D$20:$D$100,$B45)=0,COUNTIF(Control!$D$20:$D$100,AI$2)=0),VISUM_Freeway_OD!AI45*Control!$B$2,0)</f>
        <v>0</v>
      </c>
      <c r="AJ45">
        <f>IF(AND(COUNTIF(Control!$D$20:$D$100,$B45)=0,COUNTIF(Control!$D$20:$D$100,AJ$2)=0),VISUM_Freeway_OD!AJ45*Control!$B$2,0)</f>
        <v>0</v>
      </c>
      <c r="AK45">
        <f>IF(AND(COUNTIF(Control!$D$20:$D$100,$B45)=0,COUNTIF(Control!$D$20:$D$100,AK$2)=0),VISUM_Freeway_OD!AK45*Control!$B$2,0)</f>
        <v>0</v>
      </c>
      <c r="AL45">
        <f>IF(AND(COUNTIF(Control!$D$20:$D$100,$B45)=0,COUNTIF(Control!$D$20:$D$100,AL$2)=0),VISUM_Freeway_OD!AL45*Control!$B$2,0)</f>
        <v>8.5064500200000008</v>
      </c>
      <c r="AM45">
        <f>IF(AND(COUNTIF(Control!$D$20:$D$100,$B45)=0,COUNTIF(Control!$D$20:$D$100,AM$2)=0),VISUM_Freeway_OD!AM45*Control!$B$2,0)</f>
        <v>0</v>
      </c>
      <c r="AN45">
        <f>IF(AND(COUNTIF(Control!$D$20:$D$100,$B45)=0,COUNTIF(Control!$D$20:$D$100,AN$2)=0),VISUM_Freeway_OD!AN45*Control!$B$2,0)</f>
        <v>0</v>
      </c>
      <c r="AO45">
        <f>IF(AND(COUNTIF(Control!$D$20:$D$100,$B45)=0,COUNTIF(Control!$D$20:$D$100,AO$2)=0),VISUM_Freeway_OD!AO45*Control!$B$2,0)</f>
        <v>0</v>
      </c>
      <c r="AP45">
        <f>IF(AND(COUNTIF(Control!$D$20:$D$100,$B45)=0,COUNTIF(Control!$D$20:$D$100,AP$2)=0),VISUM_Freeway_OD!AP45*Control!$B$2,0)</f>
        <v>0</v>
      </c>
      <c r="AQ45">
        <f>IF(AND(COUNTIF(Control!$D$20:$D$100,$B45)=0,COUNTIF(Control!$D$20:$D$100,AQ$2)=0),VISUM_Freeway_OD!AQ45*Control!$B$2,0)</f>
        <v>0</v>
      </c>
      <c r="AR45">
        <f>IF(AND(COUNTIF(Control!$D$20:$D$100,$B45)=0,COUNTIF(Control!$D$20:$D$100,AR$2)=0),VISUM_Freeway_OD!AR45*Control!$B$2,0)</f>
        <v>0</v>
      </c>
      <c r="AS45">
        <f>IF(AND(COUNTIF(Control!$D$20:$D$100,$B45)=0,COUNTIF(Control!$D$20:$D$100,AS$2)=0),VISUM_Freeway_OD!AS45*Control!$B$2,0)</f>
        <v>0</v>
      </c>
      <c r="AT45">
        <f>IF(AND(COUNTIF(Control!$D$20:$D$100,$B45)=0,COUNTIF(Control!$D$20:$D$100,AT$2)=0),VISUM_Freeway_OD!AT45*Control!$B$2,0)</f>
        <v>0</v>
      </c>
      <c r="AU45">
        <f>IF(AND(COUNTIF(Control!$D$20:$D$100,$B45)=0,COUNTIF(Control!$D$20:$D$100,AU$2)=0),VISUM_Freeway_OD!AU45*Control!$B$2,0)</f>
        <v>0</v>
      </c>
      <c r="AV45">
        <f>IF(AND(COUNTIF(Control!$D$20:$D$100,$B45)=0,COUNTIF(Control!$D$20:$D$100,AV$2)=0),VISUM_Freeway_OD!AV45*Control!$B$2,0)</f>
        <v>0</v>
      </c>
      <c r="AW45">
        <f>IF(AND(COUNTIF(Control!$D$20:$D$100,$B45)=0,COUNTIF(Control!$D$20:$D$100,AW$2)=0),VISUM_Freeway_OD!AW45*Control!$B$2,0)</f>
        <v>0</v>
      </c>
      <c r="AX45">
        <f>IF(AND(COUNTIF(Control!$D$20:$D$100,$B45)=0,COUNTIF(Control!$D$20:$D$100,AX$2)=0),VISUM_Freeway_OD!AX45*Control!$B$2,0)</f>
        <v>5.1982847699999999</v>
      </c>
      <c r="AY45">
        <f>IF(AND(COUNTIF(Control!$D$20:$D$100,$B45)=0,COUNTIF(Control!$D$20:$D$100,AY$2)=0),VISUM_Freeway_OD!AY45*Control!$B$2,0)</f>
        <v>0</v>
      </c>
    </row>
    <row r="46" spans="1:51" x14ac:dyDescent="0.25">
      <c r="A46" s="4">
        <f>IF(VLOOKUP(B46,Freeway_Zone_Link_Mapping!$A:$C,2,FALSE)&lt;&gt;"",VLOOKUP(B46,Freeway_Zone_Link_Mapping!$A:$C,2,FALSE),"")</f>
        <v>31</v>
      </c>
      <c r="B46" s="20">
        <v>67</v>
      </c>
      <c r="C46">
        <f>IF(AND(COUNTIF(Control!$D$20:$D$100,$B46)=0,COUNTIF(Control!$D$20:$D$100,C$2)=0),VISUM_Freeway_OD!C46*Control!$B$2,0)</f>
        <v>0</v>
      </c>
      <c r="D46">
        <f>IF(AND(COUNTIF(Control!$D$20:$D$100,$B46)=0,COUNTIF(Control!$D$20:$D$100,D$2)=0),VISUM_Freeway_OD!D46*Control!$B$2,0)</f>
        <v>0</v>
      </c>
      <c r="E46">
        <f>IF(AND(COUNTIF(Control!$D$20:$D$100,$B46)=0,COUNTIF(Control!$D$20:$D$100,E$2)=0),VISUM_Freeway_OD!E46*Control!$B$2,0)</f>
        <v>0</v>
      </c>
      <c r="F46">
        <f>IF(AND(COUNTIF(Control!$D$20:$D$100,$B46)=0,COUNTIF(Control!$D$20:$D$100,F$2)=0),VISUM_Freeway_OD!F46*Control!$B$2,0)</f>
        <v>0</v>
      </c>
      <c r="G46">
        <f>IF(AND(COUNTIF(Control!$D$20:$D$100,$B46)=0,COUNTIF(Control!$D$20:$D$100,G$2)=0),VISUM_Freeway_OD!G46*Control!$B$2,0)</f>
        <v>0</v>
      </c>
      <c r="H46">
        <f>IF(AND(COUNTIF(Control!$D$20:$D$100,$B46)=0,COUNTIF(Control!$D$20:$D$100,H$2)=0),VISUM_Freeway_OD!H46*Control!$B$2,0)</f>
        <v>0</v>
      </c>
      <c r="I46">
        <f>IF(AND(COUNTIF(Control!$D$20:$D$100,$B46)=0,COUNTIF(Control!$D$20:$D$100,I$2)=0),VISUM_Freeway_OD!I46*Control!$B$2,0)</f>
        <v>0</v>
      </c>
      <c r="J46">
        <f>IF(AND(COUNTIF(Control!$D$20:$D$100,$B46)=0,COUNTIF(Control!$D$20:$D$100,J$2)=0),VISUM_Freeway_OD!J46*Control!$B$2,0)</f>
        <v>0</v>
      </c>
      <c r="K46">
        <f>IF(AND(COUNTIF(Control!$D$20:$D$100,$B46)=0,COUNTIF(Control!$D$20:$D$100,K$2)=0),VISUM_Freeway_OD!K46*Control!$B$2,0)</f>
        <v>0</v>
      </c>
      <c r="L46">
        <f>IF(AND(COUNTIF(Control!$D$20:$D$100,$B46)=0,COUNTIF(Control!$D$20:$D$100,L$2)=0),VISUM_Freeway_OD!L46*Control!$B$2,0)</f>
        <v>0</v>
      </c>
      <c r="M46">
        <f>IF(AND(COUNTIF(Control!$D$20:$D$100,$B46)=0,COUNTIF(Control!$D$20:$D$100,M$2)=0),VISUM_Freeway_OD!M46*Control!$B$2,0)</f>
        <v>12.598612229999999</v>
      </c>
      <c r="N46">
        <f>IF(AND(COUNTIF(Control!$D$20:$D$100,$B46)=0,COUNTIF(Control!$D$20:$D$100,N$2)=0),VISUM_Freeway_OD!N46*Control!$B$2,0)</f>
        <v>0</v>
      </c>
      <c r="O46">
        <f>IF(AND(COUNTIF(Control!$D$20:$D$100,$B46)=0,COUNTIF(Control!$D$20:$D$100,O$2)=0),VISUM_Freeway_OD!O46*Control!$B$2,0)</f>
        <v>0</v>
      </c>
      <c r="P46">
        <f>IF(AND(COUNTIF(Control!$D$20:$D$100,$B46)=0,COUNTIF(Control!$D$20:$D$100,P$2)=0),VISUM_Freeway_OD!P46*Control!$B$2,0)</f>
        <v>0</v>
      </c>
      <c r="Q46">
        <f>IF(AND(COUNTIF(Control!$D$20:$D$100,$B46)=0,COUNTIF(Control!$D$20:$D$100,Q$2)=0),VISUM_Freeway_OD!Q46*Control!$B$2,0)</f>
        <v>0</v>
      </c>
      <c r="R46">
        <f>IF(AND(COUNTIF(Control!$D$20:$D$100,$B46)=0,COUNTIF(Control!$D$20:$D$100,R$2)=0),VISUM_Freeway_OD!R46*Control!$B$2,0)</f>
        <v>0</v>
      </c>
      <c r="S46">
        <f>IF(AND(COUNTIF(Control!$D$20:$D$100,$B46)=0,COUNTIF(Control!$D$20:$D$100,S$2)=0),VISUM_Freeway_OD!S46*Control!$B$2,0)</f>
        <v>0</v>
      </c>
      <c r="T46">
        <f>IF(AND(COUNTIF(Control!$D$20:$D$100,$B46)=0,COUNTIF(Control!$D$20:$D$100,T$2)=0),VISUM_Freeway_OD!T46*Control!$B$2,0)</f>
        <v>0</v>
      </c>
      <c r="U46">
        <f>IF(AND(COUNTIF(Control!$D$20:$D$100,$B46)=0,COUNTIF(Control!$D$20:$D$100,U$2)=0),VISUM_Freeway_OD!U46*Control!$B$2,0)</f>
        <v>0</v>
      </c>
      <c r="V46">
        <f>IF(AND(COUNTIF(Control!$D$20:$D$100,$B46)=0,COUNTIF(Control!$D$20:$D$100,V$2)=0),VISUM_Freeway_OD!V46*Control!$B$2,0)</f>
        <v>0</v>
      </c>
      <c r="W46">
        <f>IF(AND(COUNTIF(Control!$D$20:$D$100,$B46)=0,COUNTIF(Control!$D$20:$D$100,W$2)=0),VISUM_Freeway_OD!W46*Control!$B$2,0)</f>
        <v>0</v>
      </c>
      <c r="X46">
        <f>IF(AND(COUNTIF(Control!$D$20:$D$100,$B46)=0,COUNTIF(Control!$D$20:$D$100,X$2)=0),VISUM_Freeway_OD!X46*Control!$B$2,0)</f>
        <v>0</v>
      </c>
      <c r="Y46">
        <f>IF(AND(COUNTIF(Control!$D$20:$D$100,$B46)=0,COUNTIF(Control!$D$20:$D$100,Y$2)=0),VISUM_Freeway_OD!Y46*Control!$B$2,0)</f>
        <v>0</v>
      </c>
      <c r="Z46">
        <f>IF(AND(COUNTIF(Control!$D$20:$D$100,$B46)=0,COUNTIF(Control!$D$20:$D$100,Z$2)=0),VISUM_Freeway_OD!Z46*Control!$B$2,0)</f>
        <v>0</v>
      </c>
      <c r="AA46">
        <f>IF(AND(COUNTIF(Control!$D$20:$D$100,$B46)=0,COUNTIF(Control!$D$20:$D$100,AA$2)=0),VISUM_Freeway_OD!AA46*Control!$B$2,0)</f>
        <v>0</v>
      </c>
      <c r="AB46">
        <f>IF(AND(COUNTIF(Control!$D$20:$D$100,$B46)=0,COUNTIF(Control!$D$20:$D$100,AB$2)=0),VISUM_Freeway_OD!AB46*Control!$B$2,0)</f>
        <v>0</v>
      </c>
      <c r="AC46">
        <f>IF(AND(COUNTIF(Control!$D$20:$D$100,$B46)=0,COUNTIF(Control!$D$20:$D$100,AC$2)=0),VISUM_Freeway_OD!AC46*Control!$B$2,0)</f>
        <v>0</v>
      </c>
      <c r="AD46">
        <f>IF(AND(COUNTIF(Control!$D$20:$D$100,$B46)=0,COUNTIF(Control!$D$20:$D$100,AD$2)=0),VISUM_Freeway_OD!AD46*Control!$B$2,0)</f>
        <v>0</v>
      </c>
      <c r="AE46">
        <f>IF(AND(COUNTIF(Control!$D$20:$D$100,$B46)=0,COUNTIF(Control!$D$20:$D$100,AE$2)=0),VISUM_Freeway_OD!AE46*Control!$B$2,0)</f>
        <v>0</v>
      </c>
      <c r="AF46">
        <f>IF(AND(COUNTIF(Control!$D$20:$D$100,$B46)=0,COUNTIF(Control!$D$20:$D$100,AF$2)=0),VISUM_Freeway_OD!AF46*Control!$B$2,0)</f>
        <v>0</v>
      </c>
      <c r="AG46">
        <f>IF(AND(COUNTIF(Control!$D$20:$D$100,$B46)=0,COUNTIF(Control!$D$20:$D$100,AG$2)=0),VISUM_Freeway_OD!AG46*Control!$B$2,0)</f>
        <v>0</v>
      </c>
      <c r="AH46">
        <f>IF(AND(COUNTIF(Control!$D$20:$D$100,$B46)=0,COUNTIF(Control!$D$20:$D$100,AH$2)=0),VISUM_Freeway_OD!AH46*Control!$B$2,0)</f>
        <v>0</v>
      </c>
      <c r="AI46">
        <f>IF(AND(COUNTIF(Control!$D$20:$D$100,$B46)=0,COUNTIF(Control!$D$20:$D$100,AI$2)=0),VISUM_Freeway_OD!AI46*Control!$B$2,0)</f>
        <v>0</v>
      </c>
      <c r="AJ46">
        <f>IF(AND(COUNTIF(Control!$D$20:$D$100,$B46)=0,COUNTIF(Control!$D$20:$D$100,AJ$2)=0),VISUM_Freeway_OD!AJ46*Control!$B$2,0)</f>
        <v>0</v>
      </c>
      <c r="AK46">
        <f>IF(AND(COUNTIF(Control!$D$20:$D$100,$B46)=0,COUNTIF(Control!$D$20:$D$100,AK$2)=0),VISUM_Freeway_OD!AK46*Control!$B$2,0)</f>
        <v>0</v>
      </c>
      <c r="AL46">
        <f>IF(AND(COUNTIF(Control!$D$20:$D$100,$B46)=0,COUNTIF(Control!$D$20:$D$100,AL$2)=0),VISUM_Freeway_OD!AL46*Control!$B$2,0)</f>
        <v>0</v>
      </c>
      <c r="AM46">
        <f>IF(AND(COUNTIF(Control!$D$20:$D$100,$B46)=0,COUNTIF(Control!$D$20:$D$100,AM$2)=0),VISUM_Freeway_OD!AM46*Control!$B$2,0)</f>
        <v>0</v>
      </c>
      <c r="AN46">
        <f>IF(AND(COUNTIF(Control!$D$20:$D$100,$B46)=0,COUNTIF(Control!$D$20:$D$100,AN$2)=0),VISUM_Freeway_OD!AN46*Control!$B$2,0)</f>
        <v>0</v>
      </c>
      <c r="AO46">
        <f>IF(AND(COUNTIF(Control!$D$20:$D$100,$B46)=0,COUNTIF(Control!$D$20:$D$100,AO$2)=0),VISUM_Freeway_OD!AO46*Control!$B$2,0)</f>
        <v>0</v>
      </c>
      <c r="AP46">
        <f>IF(AND(COUNTIF(Control!$D$20:$D$100,$B46)=0,COUNTIF(Control!$D$20:$D$100,AP$2)=0),VISUM_Freeway_OD!AP46*Control!$B$2,0)</f>
        <v>0</v>
      </c>
      <c r="AQ46">
        <f>IF(AND(COUNTIF(Control!$D$20:$D$100,$B46)=0,COUNTIF(Control!$D$20:$D$100,AQ$2)=0),VISUM_Freeway_OD!AQ46*Control!$B$2,0)</f>
        <v>0</v>
      </c>
      <c r="AR46">
        <f>IF(AND(COUNTIF(Control!$D$20:$D$100,$B46)=0,COUNTIF(Control!$D$20:$D$100,AR$2)=0),VISUM_Freeway_OD!AR46*Control!$B$2,0)</f>
        <v>0</v>
      </c>
      <c r="AS46">
        <f>IF(AND(COUNTIF(Control!$D$20:$D$100,$B46)=0,COUNTIF(Control!$D$20:$D$100,AS$2)=0),VISUM_Freeway_OD!AS46*Control!$B$2,0)</f>
        <v>0</v>
      </c>
      <c r="AT46">
        <f>IF(AND(COUNTIF(Control!$D$20:$D$100,$B46)=0,COUNTIF(Control!$D$20:$D$100,AT$2)=0),VISUM_Freeway_OD!AT46*Control!$B$2,0)</f>
        <v>0</v>
      </c>
      <c r="AU46">
        <f>IF(AND(COUNTIF(Control!$D$20:$D$100,$B46)=0,COUNTIF(Control!$D$20:$D$100,AU$2)=0),VISUM_Freeway_OD!AU46*Control!$B$2,0)</f>
        <v>0</v>
      </c>
      <c r="AV46">
        <f>IF(AND(COUNTIF(Control!$D$20:$D$100,$B46)=0,COUNTIF(Control!$D$20:$D$100,AV$2)=0),VISUM_Freeway_OD!AV46*Control!$B$2,0)</f>
        <v>0</v>
      </c>
      <c r="AW46">
        <f>IF(AND(COUNTIF(Control!$D$20:$D$100,$B46)=0,COUNTIF(Control!$D$20:$D$100,AW$2)=0),VISUM_Freeway_OD!AW46*Control!$B$2,0)</f>
        <v>0</v>
      </c>
      <c r="AX46">
        <f>IF(AND(COUNTIF(Control!$D$20:$D$100,$B46)=0,COUNTIF(Control!$D$20:$D$100,AX$2)=0),VISUM_Freeway_OD!AX46*Control!$B$2,0)</f>
        <v>0</v>
      </c>
      <c r="AY46">
        <f>IF(AND(COUNTIF(Control!$D$20:$D$100,$B46)=0,COUNTIF(Control!$D$20:$D$100,AY$2)=0),VISUM_Freeway_OD!AY46*Control!$B$2,0)</f>
        <v>0</v>
      </c>
    </row>
    <row r="47" spans="1:51" x14ac:dyDescent="0.25">
      <c r="A47" s="4">
        <f>IF(VLOOKUP(B47,Freeway_Zone_Link_Mapping!$A:$C,2,FALSE)&lt;&gt;"",VLOOKUP(B47,Freeway_Zone_Link_Mapping!$A:$C,2,FALSE),"")</f>
        <v>28280069</v>
      </c>
      <c r="B47" s="20">
        <v>68</v>
      </c>
      <c r="C47">
        <f>IF(AND(COUNTIF(Control!$D$20:$D$100,$B47)=0,COUNTIF(Control!$D$20:$D$100,C$2)=0),VISUM_Freeway_OD!C47*Control!$B$2,0)</f>
        <v>0</v>
      </c>
      <c r="D47">
        <f>IF(AND(COUNTIF(Control!$D$20:$D$100,$B47)=0,COUNTIF(Control!$D$20:$D$100,D$2)=0),VISUM_Freeway_OD!D47*Control!$B$2,0)</f>
        <v>0</v>
      </c>
      <c r="E47">
        <f>IF(AND(COUNTIF(Control!$D$20:$D$100,$B47)=0,COUNTIF(Control!$D$20:$D$100,E$2)=0),VISUM_Freeway_OD!E47*Control!$B$2,0)</f>
        <v>0</v>
      </c>
      <c r="F47">
        <f>IF(AND(COUNTIF(Control!$D$20:$D$100,$B47)=0,COUNTIF(Control!$D$20:$D$100,F$2)=0),VISUM_Freeway_OD!F47*Control!$B$2,0)</f>
        <v>0</v>
      </c>
      <c r="G47">
        <f>IF(AND(COUNTIF(Control!$D$20:$D$100,$B47)=0,COUNTIF(Control!$D$20:$D$100,G$2)=0),VISUM_Freeway_OD!G47*Control!$B$2,0)</f>
        <v>0</v>
      </c>
      <c r="H47">
        <f>IF(AND(COUNTIF(Control!$D$20:$D$100,$B47)=0,COUNTIF(Control!$D$20:$D$100,H$2)=0),VISUM_Freeway_OD!H47*Control!$B$2,0)</f>
        <v>0</v>
      </c>
      <c r="I47">
        <f>IF(AND(COUNTIF(Control!$D$20:$D$100,$B47)=0,COUNTIF(Control!$D$20:$D$100,I$2)=0),VISUM_Freeway_OD!I47*Control!$B$2,0)</f>
        <v>0</v>
      </c>
      <c r="J47">
        <f>IF(AND(COUNTIF(Control!$D$20:$D$100,$B47)=0,COUNTIF(Control!$D$20:$D$100,J$2)=0),VISUM_Freeway_OD!J47*Control!$B$2,0)</f>
        <v>0</v>
      </c>
      <c r="K47">
        <f>IF(AND(COUNTIF(Control!$D$20:$D$100,$B47)=0,COUNTIF(Control!$D$20:$D$100,K$2)=0),VISUM_Freeway_OD!K47*Control!$B$2,0)</f>
        <v>0</v>
      </c>
      <c r="L47">
        <f>IF(AND(COUNTIF(Control!$D$20:$D$100,$B47)=0,COUNTIF(Control!$D$20:$D$100,L$2)=0),VISUM_Freeway_OD!L47*Control!$B$2,0)</f>
        <v>0</v>
      </c>
      <c r="M47">
        <f>IF(AND(COUNTIF(Control!$D$20:$D$100,$B47)=0,COUNTIF(Control!$D$20:$D$100,M$2)=0),VISUM_Freeway_OD!M47*Control!$B$2,0)</f>
        <v>0</v>
      </c>
      <c r="N47">
        <f>IF(AND(COUNTIF(Control!$D$20:$D$100,$B47)=0,COUNTIF(Control!$D$20:$D$100,N$2)=0),VISUM_Freeway_OD!N47*Control!$B$2,0)</f>
        <v>0</v>
      </c>
      <c r="O47">
        <f>IF(AND(COUNTIF(Control!$D$20:$D$100,$B47)=0,COUNTIF(Control!$D$20:$D$100,O$2)=0),VISUM_Freeway_OD!O47*Control!$B$2,0)</f>
        <v>0</v>
      </c>
      <c r="P47">
        <f>IF(AND(COUNTIF(Control!$D$20:$D$100,$B47)=0,COUNTIF(Control!$D$20:$D$100,P$2)=0),VISUM_Freeway_OD!P47*Control!$B$2,0)</f>
        <v>0</v>
      </c>
      <c r="Q47">
        <f>IF(AND(COUNTIF(Control!$D$20:$D$100,$B47)=0,COUNTIF(Control!$D$20:$D$100,Q$2)=0),VISUM_Freeway_OD!Q47*Control!$B$2,0)</f>
        <v>0</v>
      </c>
      <c r="R47">
        <f>IF(AND(COUNTIF(Control!$D$20:$D$100,$B47)=0,COUNTIF(Control!$D$20:$D$100,R$2)=0),VISUM_Freeway_OD!R47*Control!$B$2,0)</f>
        <v>0</v>
      </c>
      <c r="S47">
        <f>IF(AND(COUNTIF(Control!$D$20:$D$100,$B47)=0,COUNTIF(Control!$D$20:$D$100,S$2)=0),VISUM_Freeway_OD!S47*Control!$B$2,0)</f>
        <v>0</v>
      </c>
      <c r="T47">
        <f>IF(AND(COUNTIF(Control!$D$20:$D$100,$B47)=0,COUNTIF(Control!$D$20:$D$100,T$2)=0),VISUM_Freeway_OD!T47*Control!$B$2,0)</f>
        <v>0</v>
      </c>
      <c r="U47">
        <f>IF(AND(COUNTIF(Control!$D$20:$D$100,$B47)=0,COUNTIF(Control!$D$20:$D$100,U$2)=0),VISUM_Freeway_OD!U47*Control!$B$2,0)</f>
        <v>0</v>
      </c>
      <c r="V47">
        <f>IF(AND(COUNTIF(Control!$D$20:$D$100,$B47)=0,COUNTIF(Control!$D$20:$D$100,V$2)=0),VISUM_Freeway_OD!V47*Control!$B$2,0)</f>
        <v>0</v>
      </c>
      <c r="W47">
        <f>IF(AND(COUNTIF(Control!$D$20:$D$100,$B47)=0,COUNTIF(Control!$D$20:$D$100,W$2)=0),VISUM_Freeway_OD!W47*Control!$B$2,0)</f>
        <v>0</v>
      </c>
      <c r="X47">
        <f>IF(AND(COUNTIF(Control!$D$20:$D$100,$B47)=0,COUNTIF(Control!$D$20:$D$100,X$2)=0),VISUM_Freeway_OD!X47*Control!$B$2,0)</f>
        <v>0</v>
      </c>
      <c r="Y47">
        <f>IF(AND(COUNTIF(Control!$D$20:$D$100,$B47)=0,COUNTIF(Control!$D$20:$D$100,Y$2)=0),VISUM_Freeway_OD!Y47*Control!$B$2,0)</f>
        <v>0</v>
      </c>
      <c r="Z47">
        <f>IF(AND(COUNTIF(Control!$D$20:$D$100,$B47)=0,COUNTIF(Control!$D$20:$D$100,Z$2)=0),VISUM_Freeway_OD!Z47*Control!$B$2,0)</f>
        <v>0</v>
      </c>
      <c r="AA47">
        <f>IF(AND(COUNTIF(Control!$D$20:$D$100,$B47)=0,COUNTIF(Control!$D$20:$D$100,AA$2)=0),VISUM_Freeway_OD!AA47*Control!$B$2,0)</f>
        <v>0</v>
      </c>
      <c r="AB47">
        <f>IF(AND(COUNTIF(Control!$D$20:$D$100,$B47)=0,COUNTIF(Control!$D$20:$D$100,AB$2)=0),VISUM_Freeway_OD!AB47*Control!$B$2,0)</f>
        <v>0</v>
      </c>
      <c r="AC47">
        <f>IF(AND(COUNTIF(Control!$D$20:$D$100,$B47)=0,COUNTIF(Control!$D$20:$D$100,AC$2)=0),VISUM_Freeway_OD!AC47*Control!$B$2,0)</f>
        <v>0</v>
      </c>
      <c r="AD47">
        <f>IF(AND(COUNTIF(Control!$D$20:$D$100,$B47)=0,COUNTIF(Control!$D$20:$D$100,AD$2)=0),VISUM_Freeway_OD!AD47*Control!$B$2,0)</f>
        <v>0</v>
      </c>
      <c r="AE47">
        <f>IF(AND(COUNTIF(Control!$D$20:$D$100,$B47)=0,COUNTIF(Control!$D$20:$D$100,AE$2)=0),VISUM_Freeway_OD!AE47*Control!$B$2,0)</f>
        <v>0</v>
      </c>
      <c r="AF47">
        <f>IF(AND(COUNTIF(Control!$D$20:$D$100,$B47)=0,COUNTIF(Control!$D$20:$D$100,AF$2)=0),VISUM_Freeway_OD!AF47*Control!$B$2,0)</f>
        <v>0</v>
      </c>
      <c r="AG47">
        <f>IF(AND(COUNTIF(Control!$D$20:$D$100,$B47)=0,COUNTIF(Control!$D$20:$D$100,AG$2)=0),VISUM_Freeway_OD!AG47*Control!$B$2,0)</f>
        <v>0</v>
      </c>
      <c r="AH47">
        <f>IF(AND(COUNTIF(Control!$D$20:$D$100,$B47)=0,COUNTIF(Control!$D$20:$D$100,AH$2)=0),VISUM_Freeway_OD!AH47*Control!$B$2,0)</f>
        <v>0</v>
      </c>
      <c r="AI47">
        <f>IF(AND(COUNTIF(Control!$D$20:$D$100,$B47)=0,COUNTIF(Control!$D$20:$D$100,AI$2)=0),VISUM_Freeway_OD!AI47*Control!$B$2,0)</f>
        <v>0</v>
      </c>
      <c r="AJ47">
        <f>IF(AND(COUNTIF(Control!$D$20:$D$100,$B47)=0,COUNTIF(Control!$D$20:$D$100,AJ$2)=0),VISUM_Freeway_OD!AJ47*Control!$B$2,0)</f>
        <v>0</v>
      </c>
      <c r="AK47">
        <f>IF(AND(COUNTIF(Control!$D$20:$D$100,$B47)=0,COUNTIF(Control!$D$20:$D$100,AK$2)=0),VISUM_Freeway_OD!AK47*Control!$B$2,0)</f>
        <v>0</v>
      </c>
      <c r="AL47">
        <f>IF(AND(COUNTIF(Control!$D$20:$D$100,$B47)=0,COUNTIF(Control!$D$20:$D$100,AL$2)=0),VISUM_Freeway_OD!AL47*Control!$B$2,0)</f>
        <v>0</v>
      </c>
      <c r="AM47">
        <f>IF(AND(COUNTIF(Control!$D$20:$D$100,$B47)=0,COUNTIF(Control!$D$20:$D$100,AM$2)=0),VISUM_Freeway_OD!AM47*Control!$B$2,0)</f>
        <v>0</v>
      </c>
      <c r="AN47">
        <f>IF(AND(COUNTIF(Control!$D$20:$D$100,$B47)=0,COUNTIF(Control!$D$20:$D$100,AN$2)=0),VISUM_Freeway_OD!AN47*Control!$B$2,0)</f>
        <v>0</v>
      </c>
      <c r="AO47">
        <f>IF(AND(COUNTIF(Control!$D$20:$D$100,$B47)=0,COUNTIF(Control!$D$20:$D$100,AO$2)=0),VISUM_Freeway_OD!AO47*Control!$B$2,0)</f>
        <v>0</v>
      </c>
      <c r="AP47">
        <f>IF(AND(COUNTIF(Control!$D$20:$D$100,$B47)=0,COUNTIF(Control!$D$20:$D$100,AP$2)=0),VISUM_Freeway_OD!AP47*Control!$B$2,0)</f>
        <v>0</v>
      </c>
      <c r="AQ47">
        <f>IF(AND(COUNTIF(Control!$D$20:$D$100,$B47)=0,COUNTIF(Control!$D$20:$D$100,AQ$2)=0),VISUM_Freeway_OD!AQ47*Control!$B$2,0)</f>
        <v>6.6843245099999997</v>
      </c>
      <c r="AR47">
        <f>IF(AND(COUNTIF(Control!$D$20:$D$100,$B47)=0,COUNTIF(Control!$D$20:$D$100,AR$2)=0),VISUM_Freeway_OD!AR47*Control!$B$2,0)</f>
        <v>0</v>
      </c>
      <c r="AS47">
        <f>IF(AND(COUNTIF(Control!$D$20:$D$100,$B47)=0,COUNTIF(Control!$D$20:$D$100,AS$2)=0),VISUM_Freeway_OD!AS47*Control!$B$2,0)</f>
        <v>0</v>
      </c>
      <c r="AT47">
        <f>IF(AND(COUNTIF(Control!$D$20:$D$100,$B47)=0,COUNTIF(Control!$D$20:$D$100,AT$2)=0),VISUM_Freeway_OD!AT47*Control!$B$2,0)</f>
        <v>0</v>
      </c>
      <c r="AU47">
        <f>IF(AND(COUNTIF(Control!$D$20:$D$100,$B47)=0,COUNTIF(Control!$D$20:$D$100,AU$2)=0),VISUM_Freeway_OD!AU47*Control!$B$2,0)</f>
        <v>0</v>
      </c>
      <c r="AV47">
        <f>IF(AND(COUNTIF(Control!$D$20:$D$100,$B47)=0,COUNTIF(Control!$D$20:$D$100,AV$2)=0),VISUM_Freeway_OD!AV47*Control!$B$2,0)</f>
        <v>0</v>
      </c>
      <c r="AW47">
        <f>IF(AND(COUNTIF(Control!$D$20:$D$100,$B47)=0,COUNTIF(Control!$D$20:$D$100,AW$2)=0),VISUM_Freeway_OD!AW47*Control!$B$2,0)</f>
        <v>0</v>
      </c>
      <c r="AX47">
        <f>IF(AND(COUNTIF(Control!$D$20:$D$100,$B47)=0,COUNTIF(Control!$D$20:$D$100,AX$2)=0),VISUM_Freeway_OD!AX47*Control!$B$2,0)</f>
        <v>0</v>
      </c>
      <c r="AY47">
        <f>IF(AND(COUNTIF(Control!$D$20:$D$100,$B47)=0,COUNTIF(Control!$D$20:$D$100,AY$2)=0),VISUM_Freeway_OD!AY47*Control!$B$2,0)</f>
        <v>0</v>
      </c>
    </row>
    <row r="48" spans="1:51" x14ac:dyDescent="0.25">
      <c r="A48" s="4">
        <f>IF(VLOOKUP(B48,Freeway_Zone_Link_Mapping!$A:$C,2,FALSE)&lt;&gt;"",VLOOKUP(B48,Freeway_Zone_Link_Mapping!$A:$C,2,FALSE),"")</f>
        <v>447</v>
      </c>
      <c r="B48" s="20">
        <v>69</v>
      </c>
      <c r="C48">
        <f>IF(AND(COUNTIF(Control!$D$20:$D$100,$B48)=0,COUNTIF(Control!$D$20:$D$100,C$2)=0),VISUM_Freeway_OD!C48*Control!$B$2,0)</f>
        <v>0</v>
      </c>
      <c r="D48">
        <f>IF(AND(COUNTIF(Control!$D$20:$D$100,$B48)=0,COUNTIF(Control!$D$20:$D$100,D$2)=0),VISUM_Freeway_OD!D48*Control!$B$2,0)</f>
        <v>0</v>
      </c>
      <c r="E48">
        <f>IF(AND(COUNTIF(Control!$D$20:$D$100,$B48)=0,COUNTIF(Control!$D$20:$D$100,E$2)=0),VISUM_Freeway_OD!E48*Control!$B$2,0)</f>
        <v>0</v>
      </c>
      <c r="F48">
        <f>IF(AND(COUNTIF(Control!$D$20:$D$100,$B48)=0,COUNTIF(Control!$D$20:$D$100,F$2)=0),VISUM_Freeway_OD!F48*Control!$B$2,0)</f>
        <v>0</v>
      </c>
      <c r="G48">
        <f>IF(AND(COUNTIF(Control!$D$20:$D$100,$B48)=0,COUNTIF(Control!$D$20:$D$100,G$2)=0),VISUM_Freeway_OD!G48*Control!$B$2,0)</f>
        <v>0</v>
      </c>
      <c r="H48">
        <f>IF(AND(COUNTIF(Control!$D$20:$D$100,$B48)=0,COUNTIF(Control!$D$20:$D$100,H$2)=0),VISUM_Freeway_OD!H48*Control!$B$2,0)</f>
        <v>0</v>
      </c>
      <c r="I48">
        <f>IF(AND(COUNTIF(Control!$D$20:$D$100,$B48)=0,COUNTIF(Control!$D$20:$D$100,I$2)=0),VISUM_Freeway_OD!I48*Control!$B$2,0)</f>
        <v>0</v>
      </c>
      <c r="J48">
        <f>IF(AND(COUNTIF(Control!$D$20:$D$100,$B48)=0,COUNTIF(Control!$D$20:$D$100,J$2)=0),VISUM_Freeway_OD!J48*Control!$B$2,0)</f>
        <v>0</v>
      </c>
      <c r="K48">
        <f>IF(AND(COUNTIF(Control!$D$20:$D$100,$B48)=0,COUNTIF(Control!$D$20:$D$100,K$2)=0),VISUM_Freeway_OD!K48*Control!$B$2,0)</f>
        <v>0</v>
      </c>
      <c r="L48">
        <f>IF(AND(COUNTIF(Control!$D$20:$D$100,$B48)=0,COUNTIF(Control!$D$20:$D$100,L$2)=0),VISUM_Freeway_OD!L48*Control!$B$2,0)</f>
        <v>0</v>
      </c>
      <c r="M48">
        <f>IF(AND(COUNTIF(Control!$D$20:$D$100,$B48)=0,COUNTIF(Control!$D$20:$D$100,M$2)=0),VISUM_Freeway_OD!M48*Control!$B$2,0)</f>
        <v>1.5624600000000001E-3</v>
      </c>
      <c r="N48">
        <f>IF(AND(COUNTIF(Control!$D$20:$D$100,$B48)=0,COUNTIF(Control!$D$20:$D$100,N$2)=0),VISUM_Freeway_OD!N48*Control!$B$2,0)</f>
        <v>4.1659799999999997E-3</v>
      </c>
      <c r="O48">
        <f>IF(AND(COUNTIF(Control!$D$20:$D$100,$B48)=0,COUNTIF(Control!$D$20:$D$100,O$2)=0),VISUM_Freeway_OD!O48*Control!$B$2,0)</f>
        <v>0</v>
      </c>
      <c r="P48">
        <f>IF(AND(COUNTIF(Control!$D$20:$D$100,$B48)=0,COUNTIF(Control!$D$20:$D$100,P$2)=0),VISUM_Freeway_OD!P48*Control!$B$2,0)</f>
        <v>0</v>
      </c>
      <c r="Q48">
        <f>IF(AND(COUNTIF(Control!$D$20:$D$100,$B48)=0,COUNTIF(Control!$D$20:$D$100,Q$2)=0),VISUM_Freeway_OD!Q48*Control!$B$2,0)</f>
        <v>0</v>
      </c>
      <c r="R48">
        <f>IF(AND(COUNTIF(Control!$D$20:$D$100,$B48)=0,COUNTIF(Control!$D$20:$D$100,R$2)=0),VISUM_Freeway_OD!R48*Control!$B$2,0)</f>
        <v>0</v>
      </c>
      <c r="S48">
        <f>IF(AND(COUNTIF(Control!$D$20:$D$100,$B48)=0,COUNTIF(Control!$D$20:$D$100,S$2)=0),VISUM_Freeway_OD!S48*Control!$B$2,0)</f>
        <v>0</v>
      </c>
      <c r="T48">
        <f>IF(AND(COUNTIF(Control!$D$20:$D$100,$B48)=0,COUNTIF(Control!$D$20:$D$100,T$2)=0),VISUM_Freeway_OD!T48*Control!$B$2,0)</f>
        <v>0</v>
      </c>
      <c r="U48">
        <f>IF(AND(COUNTIF(Control!$D$20:$D$100,$B48)=0,COUNTIF(Control!$D$20:$D$100,U$2)=0),VISUM_Freeway_OD!U48*Control!$B$2,0)</f>
        <v>0</v>
      </c>
      <c r="V48">
        <f>IF(AND(COUNTIF(Control!$D$20:$D$100,$B48)=0,COUNTIF(Control!$D$20:$D$100,V$2)=0),VISUM_Freeway_OD!V48*Control!$B$2,0)</f>
        <v>0</v>
      </c>
      <c r="W48">
        <f>IF(AND(COUNTIF(Control!$D$20:$D$100,$B48)=0,COUNTIF(Control!$D$20:$D$100,W$2)=0),VISUM_Freeway_OD!W48*Control!$B$2,0)</f>
        <v>0</v>
      </c>
      <c r="X48">
        <f>IF(AND(COUNTIF(Control!$D$20:$D$100,$B48)=0,COUNTIF(Control!$D$20:$D$100,X$2)=0),VISUM_Freeway_OD!X48*Control!$B$2,0)</f>
        <v>0</v>
      </c>
      <c r="Y48">
        <f>IF(AND(COUNTIF(Control!$D$20:$D$100,$B48)=0,COUNTIF(Control!$D$20:$D$100,Y$2)=0),VISUM_Freeway_OD!Y48*Control!$B$2,0)</f>
        <v>0</v>
      </c>
      <c r="Z48">
        <f>IF(AND(COUNTIF(Control!$D$20:$D$100,$B48)=0,COUNTIF(Control!$D$20:$D$100,Z$2)=0),VISUM_Freeway_OD!Z48*Control!$B$2,0)</f>
        <v>0</v>
      </c>
      <c r="AA48">
        <f>IF(AND(COUNTIF(Control!$D$20:$D$100,$B48)=0,COUNTIF(Control!$D$20:$D$100,AA$2)=0),VISUM_Freeway_OD!AA48*Control!$B$2,0)</f>
        <v>0</v>
      </c>
      <c r="AB48">
        <f>IF(AND(COUNTIF(Control!$D$20:$D$100,$B48)=0,COUNTIF(Control!$D$20:$D$100,AB$2)=0),VISUM_Freeway_OD!AB48*Control!$B$2,0)</f>
        <v>0</v>
      </c>
      <c r="AC48">
        <f>IF(AND(COUNTIF(Control!$D$20:$D$100,$B48)=0,COUNTIF(Control!$D$20:$D$100,AC$2)=0),VISUM_Freeway_OD!AC48*Control!$B$2,0)</f>
        <v>0</v>
      </c>
      <c r="AD48">
        <f>IF(AND(COUNTIF(Control!$D$20:$D$100,$B48)=0,COUNTIF(Control!$D$20:$D$100,AD$2)=0),VISUM_Freeway_OD!AD48*Control!$B$2,0)</f>
        <v>0</v>
      </c>
      <c r="AE48">
        <f>IF(AND(COUNTIF(Control!$D$20:$D$100,$B48)=0,COUNTIF(Control!$D$20:$D$100,AE$2)=0),VISUM_Freeway_OD!AE48*Control!$B$2,0)</f>
        <v>0</v>
      </c>
      <c r="AF48">
        <f>IF(AND(COUNTIF(Control!$D$20:$D$100,$B48)=0,COUNTIF(Control!$D$20:$D$100,AF$2)=0),VISUM_Freeway_OD!AF48*Control!$B$2,0)</f>
        <v>0</v>
      </c>
      <c r="AG48">
        <f>IF(AND(COUNTIF(Control!$D$20:$D$100,$B48)=0,COUNTIF(Control!$D$20:$D$100,AG$2)=0),VISUM_Freeway_OD!AG48*Control!$B$2,0)</f>
        <v>0</v>
      </c>
      <c r="AH48">
        <f>IF(AND(COUNTIF(Control!$D$20:$D$100,$B48)=0,COUNTIF(Control!$D$20:$D$100,AH$2)=0),VISUM_Freeway_OD!AH48*Control!$B$2,0)</f>
        <v>0</v>
      </c>
      <c r="AI48">
        <f>IF(AND(COUNTIF(Control!$D$20:$D$100,$B48)=0,COUNTIF(Control!$D$20:$D$100,AI$2)=0),VISUM_Freeway_OD!AI48*Control!$B$2,0)</f>
        <v>0</v>
      </c>
      <c r="AJ48">
        <f>IF(AND(COUNTIF(Control!$D$20:$D$100,$B48)=0,COUNTIF(Control!$D$20:$D$100,AJ$2)=0),VISUM_Freeway_OD!AJ48*Control!$B$2,0)</f>
        <v>4.9922999999999999E-3</v>
      </c>
      <c r="AK48">
        <f>IF(AND(COUNTIF(Control!$D$20:$D$100,$B48)=0,COUNTIF(Control!$D$20:$D$100,AK$2)=0),VISUM_Freeway_OD!AK48*Control!$B$2,0)</f>
        <v>0</v>
      </c>
      <c r="AL48">
        <f>IF(AND(COUNTIF(Control!$D$20:$D$100,$B48)=0,COUNTIF(Control!$D$20:$D$100,AL$2)=0),VISUM_Freeway_OD!AL48*Control!$B$2,0)</f>
        <v>0</v>
      </c>
      <c r="AM48">
        <f>IF(AND(COUNTIF(Control!$D$20:$D$100,$B48)=0,COUNTIF(Control!$D$20:$D$100,AM$2)=0),VISUM_Freeway_OD!AM48*Control!$B$2,0)</f>
        <v>0</v>
      </c>
      <c r="AN48">
        <f>IF(AND(COUNTIF(Control!$D$20:$D$100,$B48)=0,COUNTIF(Control!$D$20:$D$100,AN$2)=0),VISUM_Freeway_OD!AN48*Control!$B$2,0)</f>
        <v>0</v>
      </c>
      <c r="AO48">
        <f>IF(AND(COUNTIF(Control!$D$20:$D$100,$B48)=0,COUNTIF(Control!$D$20:$D$100,AO$2)=0),VISUM_Freeway_OD!AO48*Control!$B$2,0)</f>
        <v>0</v>
      </c>
      <c r="AP48">
        <f>IF(AND(COUNTIF(Control!$D$20:$D$100,$B48)=0,COUNTIF(Control!$D$20:$D$100,AP$2)=0),VISUM_Freeway_OD!AP48*Control!$B$2,0)</f>
        <v>0</v>
      </c>
      <c r="AQ48">
        <f>IF(AND(COUNTIF(Control!$D$20:$D$100,$B48)=0,COUNTIF(Control!$D$20:$D$100,AQ$2)=0),VISUM_Freeway_OD!AQ48*Control!$B$2,0)</f>
        <v>4.4947624199999998</v>
      </c>
      <c r="AR48">
        <f>IF(AND(COUNTIF(Control!$D$20:$D$100,$B48)=0,COUNTIF(Control!$D$20:$D$100,AR$2)=0),VISUM_Freeway_OD!AR48*Control!$B$2,0)</f>
        <v>0</v>
      </c>
      <c r="AS48">
        <f>IF(AND(COUNTIF(Control!$D$20:$D$100,$B48)=0,COUNTIF(Control!$D$20:$D$100,AS$2)=0),VISUM_Freeway_OD!AS48*Control!$B$2,0)</f>
        <v>0.17384109</v>
      </c>
      <c r="AT48">
        <f>IF(AND(COUNTIF(Control!$D$20:$D$100,$B48)=0,COUNTIF(Control!$D$20:$D$100,AT$2)=0),VISUM_Freeway_OD!AT48*Control!$B$2,0)</f>
        <v>0</v>
      </c>
      <c r="AU48">
        <f>IF(AND(COUNTIF(Control!$D$20:$D$100,$B48)=0,COUNTIF(Control!$D$20:$D$100,AU$2)=0),VISUM_Freeway_OD!AU48*Control!$B$2,0)</f>
        <v>0</v>
      </c>
      <c r="AV48">
        <f>IF(AND(COUNTIF(Control!$D$20:$D$100,$B48)=0,COUNTIF(Control!$D$20:$D$100,AV$2)=0),VISUM_Freeway_OD!AV48*Control!$B$2,0)</f>
        <v>0</v>
      </c>
      <c r="AW48">
        <f>IF(AND(COUNTIF(Control!$D$20:$D$100,$B48)=0,COUNTIF(Control!$D$20:$D$100,AW$2)=0),VISUM_Freeway_OD!AW48*Control!$B$2,0)</f>
        <v>0</v>
      </c>
      <c r="AX48">
        <f>IF(AND(COUNTIF(Control!$D$20:$D$100,$B48)=0,COUNTIF(Control!$D$20:$D$100,AX$2)=0),VISUM_Freeway_OD!AX48*Control!$B$2,0)</f>
        <v>0</v>
      </c>
      <c r="AY48">
        <f>IF(AND(COUNTIF(Control!$D$20:$D$100,$B48)=0,COUNTIF(Control!$D$20:$D$100,AY$2)=0),VISUM_Freeway_OD!AY48*Control!$B$2,0)</f>
        <v>0</v>
      </c>
    </row>
    <row r="49" spans="1:51" x14ac:dyDescent="0.25">
      <c r="A49" s="4">
        <f>IF(VLOOKUP(B49,Freeway_Zone_Link_Mapping!$A:$C,2,FALSE)&lt;&gt;"",VLOOKUP(B49,Freeway_Zone_Link_Mapping!$A:$C,2,FALSE),"")</f>
        <v>523</v>
      </c>
      <c r="B49" s="20">
        <v>70</v>
      </c>
      <c r="C49">
        <f>IF(AND(COUNTIF(Control!$D$20:$D$100,$B49)=0,COUNTIF(Control!$D$20:$D$100,C$2)=0),VISUM_Freeway_OD!C49*Control!$B$2,0)</f>
        <v>0</v>
      </c>
      <c r="D49">
        <f>IF(AND(COUNTIF(Control!$D$20:$D$100,$B49)=0,COUNTIF(Control!$D$20:$D$100,D$2)=0),VISUM_Freeway_OD!D49*Control!$B$2,0)</f>
        <v>0</v>
      </c>
      <c r="E49">
        <f>IF(AND(COUNTIF(Control!$D$20:$D$100,$B49)=0,COUNTIF(Control!$D$20:$D$100,E$2)=0),VISUM_Freeway_OD!E49*Control!$B$2,0)</f>
        <v>0</v>
      </c>
      <c r="F49">
        <f>IF(AND(COUNTIF(Control!$D$20:$D$100,$B49)=0,COUNTIF(Control!$D$20:$D$100,F$2)=0),VISUM_Freeway_OD!F49*Control!$B$2,0)</f>
        <v>0</v>
      </c>
      <c r="G49">
        <f>IF(AND(COUNTIF(Control!$D$20:$D$100,$B49)=0,COUNTIF(Control!$D$20:$D$100,G$2)=0),VISUM_Freeway_OD!G49*Control!$B$2,0)</f>
        <v>0</v>
      </c>
      <c r="H49">
        <f>IF(AND(COUNTIF(Control!$D$20:$D$100,$B49)=0,COUNTIF(Control!$D$20:$D$100,H$2)=0),VISUM_Freeway_OD!H49*Control!$B$2,0)</f>
        <v>2.3568487500000002</v>
      </c>
      <c r="I49">
        <f>IF(AND(COUNTIF(Control!$D$20:$D$100,$B49)=0,COUNTIF(Control!$D$20:$D$100,I$2)=0),VISUM_Freeway_OD!I49*Control!$B$2,0)</f>
        <v>0</v>
      </c>
      <c r="J49">
        <f>IF(AND(COUNTIF(Control!$D$20:$D$100,$B49)=0,COUNTIF(Control!$D$20:$D$100,J$2)=0),VISUM_Freeway_OD!J49*Control!$B$2,0)</f>
        <v>0</v>
      </c>
      <c r="K49">
        <f>IF(AND(COUNTIF(Control!$D$20:$D$100,$B49)=0,COUNTIF(Control!$D$20:$D$100,K$2)=0),VISUM_Freeway_OD!K49*Control!$B$2,0)</f>
        <v>0.32367234</v>
      </c>
      <c r="L49">
        <f>IF(AND(COUNTIF(Control!$D$20:$D$100,$B49)=0,COUNTIF(Control!$D$20:$D$100,L$2)=0),VISUM_Freeway_OD!L49*Control!$B$2,0)</f>
        <v>0</v>
      </c>
      <c r="M49">
        <f>IF(AND(COUNTIF(Control!$D$20:$D$100,$B49)=0,COUNTIF(Control!$D$20:$D$100,M$2)=0),VISUM_Freeway_OD!M49*Control!$B$2,0)</f>
        <v>3.7434694199999998</v>
      </c>
      <c r="N49">
        <f>IF(AND(COUNTIF(Control!$D$20:$D$100,$B49)=0,COUNTIF(Control!$D$20:$D$100,N$2)=0),VISUM_Freeway_OD!N49*Control!$B$2,0)</f>
        <v>10.684543259999998</v>
      </c>
      <c r="O49">
        <f>IF(AND(COUNTIF(Control!$D$20:$D$100,$B49)=0,COUNTIF(Control!$D$20:$D$100,O$2)=0),VISUM_Freeway_OD!O49*Control!$B$2,0)</f>
        <v>0</v>
      </c>
      <c r="P49">
        <f>IF(AND(COUNTIF(Control!$D$20:$D$100,$B49)=0,COUNTIF(Control!$D$20:$D$100,P$2)=0),VISUM_Freeway_OD!P49*Control!$B$2,0)</f>
        <v>0</v>
      </c>
      <c r="Q49">
        <f>IF(AND(COUNTIF(Control!$D$20:$D$100,$B49)=0,COUNTIF(Control!$D$20:$D$100,Q$2)=0),VISUM_Freeway_OD!Q49*Control!$B$2,0)</f>
        <v>0</v>
      </c>
      <c r="R49">
        <f>IF(AND(COUNTIF(Control!$D$20:$D$100,$B49)=0,COUNTIF(Control!$D$20:$D$100,R$2)=0),VISUM_Freeway_OD!R49*Control!$B$2,0)</f>
        <v>0</v>
      </c>
      <c r="S49">
        <f>IF(AND(COUNTIF(Control!$D$20:$D$100,$B49)=0,COUNTIF(Control!$D$20:$D$100,S$2)=0),VISUM_Freeway_OD!S49*Control!$B$2,0)</f>
        <v>7.0964626499999994</v>
      </c>
      <c r="T49">
        <f>IF(AND(COUNTIF(Control!$D$20:$D$100,$B49)=0,COUNTIF(Control!$D$20:$D$100,T$2)=0),VISUM_Freeway_OD!T49*Control!$B$2,0)</f>
        <v>9.9621359999999992E-2</v>
      </c>
      <c r="U49">
        <f>IF(AND(COUNTIF(Control!$D$20:$D$100,$B49)=0,COUNTIF(Control!$D$20:$D$100,U$2)=0),VISUM_Freeway_OD!U49*Control!$B$2,0)</f>
        <v>0</v>
      </c>
      <c r="V49">
        <f>IF(AND(COUNTIF(Control!$D$20:$D$100,$B49)=0,COUNTIF(Control!$D$20:$D$100,V$2)=0),VISUM_Freeway_OD!V49*Control!$B$2,0)</f>
        <v>0</v>
      </c>
      <c r="W49">
        <f>IF(AND(COUNTIF(Control!$D$20:$D$100,$B49)=0,COUNTIF(Control!$D$20:$D$100,W$2)=0),VISUM_Freeway_OD!W49*Control!$B$2,0)</f>
        <v>0</v>
      </c>
      <c r="X49">
        <f>IF(AND(COUNTIF(Control!$D$20:$D$100,$B49)=0,COUNTIF(Control!$D$20:$D$100,X$2)=0),VISUM_Freeway_OD!X49*Control!$B$2,0)</f>
        <v>0</v>
      </c>
      <c r="Y49">
        <f>IF(AND(COUNTIF(Control!$D$20:$D$100,$B49)=0,COUNTIF(Control!$D$20:$D$100,Y$2)=0),VISUM_Freeway_OD!Y49*Control!$B$2,0)</f>
        <v>0</v>
      </c>
      <c r="Z49">
        <f>IF(AND(COUNTIF(Control!$D$20:$D$100,$B49)=0,COUNTIF(Control!$D$20:$D$100,Z$2)=0),VISUM_Freeway_OD!Z49*Control!$B$2,0)</f>
        <v>0</v>
      </c>
      <c r="AA49">
        <f>IF(AND(COUNTIF(Control!$D$20:$D$100,$B49)=0,COUNTIF(Control!$D$20:$D$100,AA$2)=0),VISUM_Freeway_OD!AA49*Control!$B$2,0)</f>
        <v>0</v>
      </c>
      <c r="AB49">
        <f>IF(AND(COUNTIF(Control!$D$20:$D$100,$B49)=0,COUNTIF(Control!$D$20:$D$100,AB$2)=0),VISUM_Freeway_OD!AB49*Control!$B$2,0)</f>
        <v>6.1363259999999996E-2</v>
      </c>
      <c r="AC49">
        <f>IF(AND(COUNTIF(Control!$D$20:$D$100,$B49)=0,COUNTIF(Control!$D$20:$D$100,AC$2)=0),VISUM_Freeway_OD!AC49*Control!$B$2,0)</f>
        <v>0</v>
      </c>
      <c r="AD49">
        <f>IF(AND(COUNTIF(Control!$D$20:$D$100,$B49)=0,COUNTIF(Control!$D$20:$D$100,AD$2)=0),VISUM_Freeway_OD!AD49*Control!$B$2,0)</f>
        <v>0</v>
      </c>
      <c r="AE49">
        <f>IF(AND(COUNTIF(Control!$D$20:$D$100,$B49)=0,COUNTIF(Control!$D$20:$D$100,AE$2)=0),VISUM_Freeway_OD!AE49*Control!$B$2,0)</f>
        <v>7.5071159999999998E-2</v>
      </c>
      <c r="AF49">
        <f>IF(AND(COUNTIF(Control!$D$20:$D$100,$B49)=0,COUNTIF(Control!$D$20:$D$100,AF$2)=0),VISUM_Freeway_OD!AF49*Control!$B$2,0)</f>
        <v>0</v>
      </c>
      <c r="AG49">
        <f>IF(AND(COUNTIF(Control!$D$20:$D$100,$B49)=0,COUNTIF(Control!$D$20:$D$100,AG$2)=0),VISUM_Freeway_OD!AG49*Control!$B$2,0)</f>
        <v>0</v>
      </c>
      <c r="AH49">
        <f>IF(AND(COUNTIF(Control!$D$20:$D$100,$B49)=0,COUNTIF(Control!$D$20:$D$100,AH$2)=0),VISUM_Freeway_OD!AH49*Control!$B$2,0)</f>
        <v>0</v>
      </c>
      <c r="AI49">
        <f>IF(AND(COUNTIF(Control!$D$20:$D$100,$B49)=0,COUNTIF(Control!$D$20:$D$100,AI$2)=0),VISUM_Freeway_OD!AI49*Control!$B$2,0)</f>
        <v>0</v>
      </c>
      <c r="AJ49">
        <f>IF(AND(COUNTIF(Control!$D$20:$D$100,$B49)=0,COUNTIF(Control!$D$20:$D$100,AJ$2)=0),VISUM_Freeway_OD!AJ49*Control!$B$2,0)</f>
        <v>0</v>
      </c>
      <c r="AK49">
        <f>IF(AND(COUNTIF(Control!$D$20:$D$100,$B49)=0,COUNTIF(Control!$D$20:$D$100,AK$2)=0),VISUM_Freeway_OD!AK49*Control!$B$2,0)</f>
        <v>5.2420717799999998</v>
      </c>
      <c r="AL49">
        <f>IF(AND(COUNTIF(Control!$D$20:$D$100,$B49)=0,COUNTIF(Control!$D$20:$D$100,AL$2)=0),VISUM_Freeway_OD!AL49*Control!$B$2,0)</f>
        <v>0</v>
      </c>
      <c r="AM49">
        <f>IF(AND(COUNTIF(Control!$D$20:$D$100,$B49)=0,COUNTIF(Control!$D$20:$D$100,AM$2)=0),VISUM_Freeway_OD!AM49*Control!$B$2,0)</f>
        <v>0</v>
      </c>
      <c r="AN49">
        <f>IF(AND(COUNTIF(Control!$D$20:$D$100,$B49)=0,COUNTIF(Control!$D$20:$D$100,AN$2)=0),VISUM_Freeway_OD!AN49*Control!$B$2,0)</f>
        <v>0</v>
      </c>
      <c r="AO49">
        <f>IF(AND(COUNTIF(Control!$D$20:$D$100,$B49)=0,COUNTIF(Control!$D$20:$D$100,AO$2)=0),VISUM_Freeway_OD!AO49*Control!$B$2,0)</f>
        <v>0</v>
      </c>
      <c r="AP49">
        <f>IF(AND(COUNTIF(Control!$D$20:$D$100,$B49)=0,COUNTIF(Control!$D$20:$D$100,AP$2)=0),VISUM_Freeway_OD!AP49*Control!$B$2,0)</f>
        <v>0</v>
      </c>
      <c r="AQ49">
        <f>IF(AND(COUNTIF(Control!$D$20:$D$100,$B49)=0,COUNTIF(Control!$D$20:$D$100,AQ$2)=0),VISUM_Freeway_OD!AQ49*Control!$B$2,0)</f>
        <v>0</v>
      </c>
      <c r="AR49">
        <f>IF(AND(COUNTIF(Control!$D$20:$D$100,$B49)=0,COUNTIF(Control!$D$20:$D$100,AR$2)=0),VISUM_Freeway_OD!AR49*Control!$B$2,0)</f>
        <v>0</v>
      </c>
      <c r="AS49">
        <f>IF(AND(COUNTIF(Control!$D$20:$D$100,$B49)=0,COUNTIF(Control!$D$20:$D$100,AS$2)=0),VISUM_Freeway_OD!AS49*Control!$B$2,0)</f>
        <v>0</v>
      </c>
      <c r="AT49">
        <f>IF(AND(COUNTIF(Control!$D$20:$D$100,$B49)=0,COUNTIF(Control!$D$20:$D$100,AT$2)=0),VISUM_Freeway_OD!AT49*Control!$B$2,0)</f>
        <v>0</v>
      </c>
      <c r="AU49">
        <f>IF(AND(COUNTIF(Control!$D$20:$D$100,$B49)=0,COUNTIF(Control!$D$20:$D$100,AU$2)=0),VISUM_Freeway_OD!AU49*Control!$B$2,0)</f>
        <v>0</v>
      </c>
      <c r="AV49">
        <f>IF(AND(COUNTIF(Control!$D$20:$D$100,$B49)=0,COUNTIF(Control!$D$20:$D$100,AV$2)=0),VISUM_Freeway_OD!AV49*Control!$B$2,0)</f>
        <v>0</v>
      </c>
      <c r="AW49">
        <f>IF(AND(COUNTIF(Control!$D$20:$D$100,$B49)=0,COUNTIF(Control!$D$20:$D$100,AW$2)=0),VISUM_Freeway_OD!AW49*Control!$B$2,0)</f>
        <v>0</v>
      </c>
      <c r="AX49">
        <f>IF(AND(COUNTIF(Control!$D$20:$D$100,$B49)=0,COUNTIF(Control!$D$20:$D$100,AX$2)=0),VISUM_Freeway_OD!AX49*Control!$B$2,0)</f>
        <v>0</v>
      </c>
      <c r="AY49">
        <f>IF(AND(COUNTIF(Control!$D$20:$D$100,$B49)=0,COUNTIF(Control!$D$20:$D$100,AY$2)=0),VISUM_Freeway_OD!AY49*Control!$B$2,0)</f>
        <v>0</v>
      </c>
    </row>
    <row r="50" spans="1:51" x14ac:dyDescent="0.25">
      <c r="A50" s="4">
        <f>IF(VLOOKUP(B50,Freeway_Zone_Link_Mapping!$A:$C,2,FALSE)&lt;&gt;"",VLOOKUP(B50,Freeway_Zone_Link_Mapping!$A:$C,2,FALSE),"")</f>
        <v>522</v>
      </c>
      <c r="B50" s="20">
        <v>71</v>
      </c>
      <c r="C50">
        <f>IF(AND(COUNTIF(Control!$D$20:$D$100,$B50)=0,COUNTIF(Control!$D$20:$D$100,C$2)=0),VISUM_Freeway_OD!C50*Control!$B$2,0)</f>
        <v>0</v>
      </c>
      <c r="D50">
        <f>IF(AND(COUNTIF(Control!$D$20:$D$100,$B50)=0,COUNTIF(Control!$D$20:$D$100,D$2)=0),VISUM_Freeway_OD!D50*Control!$B$2,0)</f>
        <v>0</v>
      </c>
      <c r="E50">
        <f>IF(AND(COUNTIF(Control!$D$20:$D$100,$B50)=0,COUNTIF(Control!$D$20:$D$100,E$2)=0),VISUM_Freeway_OD!E50*Control!$B$2,0)</f>
        <v>0</v>
      </c>
      <c r="F50">
        <f>IF(AND(COUNTIF(Control!$D$20:$D$100,$B50)=0,COUNTIF(Control!$D$20:$D$100,F$2)=0),VISUM_Freeway_OD!F50*Control!$B$2,0)</f>
        <v>0</v>
      </c>
      <c r="G50">
        <f>IF(AND(COUNTIF(Control!$D$20:$D$100,$B50)=0,COUNTIF(Control!$D$20:$D$100,G$2)=0),VISUM_Freeway_OD!G50*Control!$B$2,0)</f>
        <v>0</v>
      </c>
      <c r="H50">
        <f>IF(AND(COUNTIF(Control!$D$20:$D$100,$B50)=0,COUNTIF(Control!$D$20:$D$100,H$2)=0),VISUM_Freeway_OD!H50*Control!$B$2,0)</f>
        <v>0</v>
      </c>
      <c r="I50">
        <f>IF(AND(COUNTIF(Control!$D$20:$D$100,$B50)=0,COUNTIF(Control!$D$20:$D$100,I$2)=0),VISUM_Freeway_OD!I50*Control!$B$2,0)</f>
        <v>0</v>
      </c>
      <c r="J50">
        <f>IF(AND(COUNTIF(Control!$D$20:$D$100,$B50)=0,COUNTIF(Control!$D$20:$D$100,J$2)=0),VISUM_Freeway_OD!J50*Control!$B$2,0)</f>
        <v>0</v>
      </c>
      <c r="K50">
        <f>IF(AND(COUNTIF(Control!$D$20:$D$100,$B50)=0,COUNTIF(Control!$D$20:$D$100,K$2)=0),VISUM_Freeway_OD!K50*Control!$B$2,0)</f>
        <v>0</v>
      </c>
      <c r="L50">
        <f>IF(AND(COUNTIF(Control!$D$20:$D$100,$B50)=0,COUNTIF(Control!$D$20:$D$100,L$2)=0),VISUM_Freeway_OD!L50*Control!$B$2,0)</f>
        <v>0</v>
      </c>
      <c r="M50">
        <f>IF(AND(COUNTIF(Control!$D$20:$D$100,$B50)=0,COUNTIF(Control!$D$20:$D$100,M$2)=0),VISUM_Freeway_OD!M50*Control!$B$2,0)</f>
        <v>0</v>
      </c>
      <c r="N50">
        <f>IF(AND(COUNTIF(Control!$D$20:$D$100,$B50)=0,COUNTIF(Control!$D$20:$D$100,N$2)=0),VISUM_Freeway_OD!N50*Control!$B$2,0)</f>
        <v>0</v>
      </c>
      <c r="O50">
        <f>IF(AND(COUNTIF(Control!$D$20:$D$100,$B50)=0,COUNTIF(Control!$D$20:$D$100,O$2)=0),VISUM_Freeway_OD!O50*Control!$B$2,0)</f>
        <v>0</v>
      </c>
      <c r="P50">
        <f>IF(AND(COUNTIF(Control!$D$20:$D$100,$B50)=0,COUNTIF(Control!$D$20:$D$100,P$2)=0),VISUM_Freeway_OD!P50*Control!$B$2,0)</f>
        <v>0</v>
      </c>
      <c r="Q50">
        <f>IF(AND(COUNTIF(Control!$D$20:$D$100,$B50)=0,COUNTIF(Control!$D$20:$D$100,Q$2)=0),VISUM_Freeway_OD!Q50*Control!$B$2,0)</f>
        <v>0</v>
      </c>
      <c r="R50">
        <f>IF(AND(COUNTIF(Control!$D$20:$D$100,$B50)=0,COUNTIF(Control!$D$20:$D$100,R$2)=0),VISUM_Freeway_OD!R50*Control!$B$2,0)</f>
        <v>0</v>
      </c>
      <c r="S50">
        <f>IF(AND(COUNTIF(Control!$D$20:$D$100,$B50)=0,COUNTIF(Control!$D$20:$D$100,S$2)=0),VISUM_Freeway_OD!S50*Control!$B$2,0)</f>
        <v>0</v>
      </c>
      <c r="T50">
        <f>IF(AND(COUNTIF(Control!$D$20:$D$100,$B50)=0,COUNTIF(Control!$D$20:$D$100,T$2)=0),VISUM_Freeway_OD!T50*Control!$B$2,0)</f>
        <v>0</v>
      </c>
      <c r="U50">
        <f>IF(AND(COUNTIF(Control!$D$20:$D$100,$B50)=0,COUNTIF(Control!$D$20:$D$100,U$2)=0),VISUM_Freeway_OD!U50*Control!$B$2,0)</f>
        <v>0</v>
      </c>
      <c r="V50">
        <f>IF(AND(COUNTIF(Control!$D$20:$D$100,$B50)=0,COUNTIF(Control!$D$20:$D$100,V$2)=0),VISUM_Freeway_OD!V50*Control!$B$2,0)</f>
        <v>0</v>
      </c>
      <c r="W50">
        <f>IF(AND(COUNTIF(Control!$D$20:$D$100,$B50)=0,COUNTIF(Control!$D$20:$D$100,W$2)=0),VISUM_Freeway_OD!W50*Control!$B$2,0)</f>
        <v>0</v>
      </c>
      <c r="X50">
        <f>IF(AND(COUNTIF(Control!$D$20:$D$100,$B50)=0,COUNTIF(Control!$D$20:$D$100,X$2)=0),VISUM_Freeway_OD!X50*Control!$B$2,0)</f>
        <v>0</v>
      </c>
      <c r="Y50">
        <f>IF(AND(COUNTIF(Control!$D$20:$D$100,$B50)=0,COUNTIF(Control!$D$20:$D$100,Y$2)=0),VISUM_Freeway_OD!Y50*Control!$B$2,0)</f>
        <v>0</v>
      </c>
      <c r="Z50">
        <f>IF(AND(COUNTIF(Control!$D$20:$D$100,$B50)=0,COUNTIF(Control!$D$20:$D$100,Z$2)=0),VISUM_Freeway_OD!Z50*Control!$B$2,0)</f>
        <v>0</v>
      </c>
      <c r="AA50">
        <f>IF(AND(COUNTIF(Control!$D$20:$D$100,$B50)=0,COUNTIF(Control!$D$20:$D$100,AA$2)=0),VISUM_Freeway_OD!AA50*Control!$B$2,0)</f>
        <v>0</v>
      </c>
      <c r="AB50">
        <f>IF(AND(COUNTIF(Control!$D$20:$D$100,$B50)=0,COUNTIF(Control!$D$20:$D$100,AB$2)=0),VISUM_Freeway_OD!AB50*Control!$B$2,0)</f>
        <v>0</v>
      </c>
      <c r="AC50">
        <f>IF(AND(COUNTIF(Control!$D$20:$D$100,$B50)=0,COUNTIF(Control!$D$20:$D$100,AC$2)=0),VISUM_Freeway_OD!AC50*Control!$B$2,0)</f>
        <v>0</v>
      </c>
      <c r="AD50">
        <f>IF(AND(COUNTIF(Control!$D$20:$D$100,$B50)=0,COUNTIF(Control!$D$20:$D$100,AD$2)=0),VISUM_Freeway_OD!AD50*Control!$B$2,0)</f>
        <v>0</v>
      </c>
      <c r="AE50">
        <f>IF(AND(COUNTIF(Control!$D$20:$D$100,$B50)=0,COUNTIF(Control!$D$20:$D$100,AE$2)=0),VISUM_Freeway_OD!AE50*Control!$B$2,0)</f>
        <v>0</v>
      </c>
      <c r="AF50">
        <f>IF(AND(COUNTIF(Control!$D$20:$D$100,$B50)=0,COUNTIF(Control!$D$20:$D$100,AF$2)=0),VISUM_Freeway_OD!AF50*Control!$B$2,0)</f>
        <v>0</v>
      </c>
      <c r="AG50">
        <f>IF(AND(COUNTIF(Control!$D$20:$D$100,$B50)=0,COUNTIF(Control!$D$20:$D$100,AG$2)=0),VISUM_Freeway_OD!AG50*Control!$B$2,0)</f>
        <v>0</v>
      </c>
      <c r="AH50">
        <f>IF(AND(COUNTIF(Control!$D$20:$D$100,$B50)=0,COUNTIF(Control!$D$20:$D$100,AH$2)=0),VISUM_Freeway_OD!AH50*Control!$B$2,0)</f>
        <v>0</v>
      </c>
      <c r="AI50">
        <f>IF(AND(COUNTIF(Control!$D$20:$D$100,$B50)=0,COUNTIF(Control!$D$20:$D$100,AI$2)=0),VISUM_Freeway_OD!AI50*Control!$B$2,0)</f>
        <v>0</v>
      </c>
      <c r="AJ50">
        <f>IF(AND(COUNTIF(Control!$D$20:$D$100,$B50)=0,COUNTIF(Control!$D$20:$D$100,AJ$2)=0),VISUM_Freeway_OD!AJ50*Control!$B$2,0)</f>
        <v>0</v>
      </c>
      <c r="AK50">
        <f>IF(AND(COUNTIF(Control!$D$20:$D$100,$B50)=0,COUNTIF(Control!$D$20:$D$100,AK$2)=0),VISUM_Freeway_OD!AK50*Control!$B$2,0)</f>
        <v>0</v>
      </c>
      <c r="AL50">
        <f>IF(AND(COUNTIF(Control!$D$20:$D$100,$B50)=0,COUNTIF(Control!$D$20:$D$100,AL$2)=0),VISUM_Freeway_OD!AL50*Control!$B$2,0)</f>
        <v>0</v>
      </c>
      <c r="AM50">
        <f>IF(AND(COUNTIF(Control!$D$20:$D$100,$B50)=0,COUNTIF(Control!$D$20:$D$100,AM$2)=0),VISUM_Freeway_OD!AM50*Control!$B$2,0)</f>
        <v>0</v>
      </c>
      <c r="AN50">
        <f>IF(AND(COUNTIF(Control!$D$20:$D$100,$B50)=0,COUNTIF(Control!$D$20:$D$100,AN$2)=0),VISUM_Freeway_OD!AN50*Control!$B$2,0)</f>
        <v>0</v>
      </c>
      <c r="AO50">
        <f>IF(AND(COUNTIF(Control!$D$20:$D$100,$B50)=0,COUNTIF(Control!$D$20:$D$100,AO$2)=0),VISUM_Freeway_OD!AO50*Control!$B$2,0)</f>
        <v>0</v>
      </c>
      <c r="AP50">
        <f>IF(AND(COUNTIF(Control!$D$20:$D$100,$B50)=0,COUNTIF(Control!$D$20:$D$100,AP$2)=0),VISUM_Freeway_OD!AP50*Control!$B$2,0)</f>
        <v>0</v>
      </c>
      <c r="AQ50">
        <f>IF(AND(COUNTIF(Control!$D$20:$D$100,$B50)=0,COUNTIF(Control!$D$20:$D$100,AQ$2)=0),VISUM_Freeway_OD!AQ50*Control!$B$2,0)</f>
        <v>35.100222719999998</v>
      </c>
      <c r="AR50">
        <f>IF(AND(COUNTIF(Control!$D$20:$D$100,$B50)=0,COUNTIF(Control!$D$20:$D$100,AR$2)=0),VISUM_Freeway_OD!AR50*Control!$B$2,0)</f>
        <v>0</v>
      </c>
      <c r="AS50">
        <f>IF(AND(COUNTIF(Control!$D$20:$D$100,$B50)=0,COUNTIF(Control!$D$20:$D$100,AS$2)=0),VISUM_Freeway_OD!AS50*Control!$B$2,0)</f>
        <v>0</v>
      </c>
      <c r="AT50">
        <f>IF(AND(COUNTIF(Control!$D$20:$D$100,$B50)=0,COUNTIF(Control!$D$20:$D$100,AT$2)=0),VISUM_Freeway_OD!AT50*Control!$B$2,0)</f>
        <v>0</v>
      </c>
      <c r="AU50">
        <f>IF(AND(COUNTIF(Control!$D$20:$D$100,$B50)=0,COUNTIF(Control!$D$20:$D$100,AU$2)=0),VISUM_Freeway_OD!AU50*Control!$B$2,0)</f>
        <v>0</v>
      </c>
      <c r="AV50">
        <f>IF(AND(COUNTIF(Control!$D$20:$D$100,$B50)=0,COUNTIF(Control!$D$20:$D$100,AV$2)=0),VISUM_Freeway_OD!AV50*Control!$B$2,0)</f>
        <v>0</v>
      </c>
      <c r="AW50">
        <f>IF(AND(COUNTIF(Control!$D$20:$D$100,$B50)=0,COUNTIF(Control!$D$20:$D$100,AW$2)=0),VISUM_Freeway_OD!AW50*Control!$B$2,0)</f>
        <v>0</v>
      </c>
      <c r="AX50">
        <f>IF(AND(COUNTIF(Control!$D$20:$D$100,$B50)=0,COUNTIF(Control!$D$20:$D$100,AX$2)=0),VISUM_Freeway_OD!AX50*Control!$B$2,0)</f>
        <v>0</v>
      </c>
      <c r="AY50">
        <f>IF(AND(COUNTIF(Control!$D$20:$D$100,$B50)=0,COUNTIF(Control!$D$20:$D$100,AY$2)=0),VISUM_Freeway_OD!AY50*Control!$B$2,0)</f>
        <v>0</v>
      </c>
    </row>
    <row r="51" spans="1:51" x14ac:dyDescent="0.25">
      <c r="A51" s="4" t="str">
        <f>IF(VLOOKUP(B51,Freeway_Zone_Link_Mapping!$A:$C,2,FALSE)&lt;&gt;"",VLOOKUP(B51,Freeway_Zone_Link_Mapping!$A:$C,2,FALSE),"")</f>
        <v/>
      </c>
      <c r="B51" s="20">
        <v>72</v>
      </c>
      <c r="Y51">
        <f>IF(AND(COUNTIF(Control!$D$20:$D$100,$B51)=0,COUNTIF(Control!$D$20:$D$100,Y$2)=0),VISUM_Freeway_OD!Y51*Control!$B$2,0)</f>
        <v>0</v>
      </c>
      <c r="Z51">
        <f>IF(AND(COUNTIF(Control!$D$20:$D$100,$B51)=0,COUNTIF(Control!$D$20:$D$100,Z$2)=0),VISUM_Freeway_OD!Z51*Control!$B$2,0)</f>
        <v>0</v>
      </c>
      <c r="AA51">
        <f>IF(AND(COUNTIF(Control!$D$20:$D$100,$B51)=0,COUNTIF(Control!$D$20:$D$100,AA$2)=0),VISUM_Freeway_OD!AA51*Control!$B$2,0)</f>
        <v>0</v>
      </c>
      <c r="AB51">
        <f>IF(AND(COUNTIF(Control!$D$20:$D$100,$B51)=0,COUNTIF(Control!$D$20:$D$100,AB$2)=0),VISUM_Freeway_OD!AB51*Control!$B$2,0)</f>
        <v>0</v>
      </c>
      <c r="AC51">
        <f>IF(AND(COUNTIF(Control!$D$20:$D$100,$B51)=0,COUNTIF(Control!$D$20:$D$100,AC$2)=0),VISUM_Freeway_OD!AC51*Control!$B$2,0)</f>
        <v>0</v>
      </c>
      <c r="AD51">
        <f>IF(AND(COUNTIF(Control!$D$20:$D$100,$B51)=0,COUNTIF(Control!$D$20:$D$100,AD$2)=0),VISUM_Freeway_OD!AD51*Control!$B$2,0)</f>
        <v>0</v>
      </c>
      <c r="AE51">
        <f>IF(AND(COUNTIF(Control!$D$20:$D$100,$B51)=0,COUNTIF(Control!$D$20:$D$100,AE$2)=0),VISUM_Freeway_OD!AE51*Control!$B$2,0)</f>
        <v>0</v>
      </c>
      <c r="AF51">
        <f>IF(AND(COUNTIF(Control!$D$20:$D$100,$B51)=0,COUNTIF(Control!$D$20:$D$100,AF$2)=0),VISUM_Freeway_OD!AF51*Control!$B$2,0)</f>
        <v>0</v>
      </c>
      <c r="AG51">
        <f>IF(AND(COUNTIF(Control!$D$20:$D$100,$B51)=0,COUNTIF(Control!$D$20:$D$100,AG$2)=0),VISUM_Freeway_OD!AG51*Control!$B$2,0)</f>
        <v>0</v>
      </c>
      <c r="AH51">
        <f>IF(AND(COUNTIF(Control!$D$20:$D$100,$B51)=0,COUNTIF(Control!$D$20:$D$100,AH$2)=0),VISUM_Freeway_OD!AH51*Control!$B$2,0)</f>
        <v>0</v>
      </c>
      <c r="AI51">
        <f>IF(AND(COUNTIF(Control!$D$20:$D$100,$B51)=0,COUNTIF(Control!$D$20:$D$100,AI$2)=0),VISUM_Freeway_OD!AI51*Control!$B$2,0)</f>
        <v>0</v>
      </c>
      <c r="AJ51">
        <f>IF(AND(COUNTIF(Control!$D$20:$D$100,$B51)=0,COUNTIF(Control!$D$20:$D$100,AJ$2)=0),VISUM_Freeway_OD!AJ51*Control!$B$2,0)</f>
        <v>0</v>
      </c>
      <c r="AK51">
        <f>IF(AND(COUNTIF(Control!$D$20:$D$100,$B51)=0,COUNTIF(Control!$D$20:$D$100,AK$2)=0),VISUM_Freeway_OD!AK51*Control!$B$2,0)</f>
        <v>0</v>
      </c>
      <c r="AL51">
        <f>IF(AND(COUNTIF(Control!$D$20:$D$100,$B51)=0,COUNTIF(Control!$D$20:$D$100,AL$2)=0),VISUM_Freeway_OD!AL51*Control!$B$2,0)</f>
        <v>0</v>
      </c>
      <c r="AM51">
        <f>IF(AND(COUNTIF(Control!$D$20:$D$100,$B51)=0,COUNTIF(Control!$D$20:$D$100,AM$2)=0),VISUM_Freeway_OD!AM51*Control!$B$2,0)</f>
        <v>0</v>
      </c>
      <c r="AN51">
        <f>IF(AND(COUNTIF(Control!$D$20:$D$100,$B51)=0,COUNTIF(Control!$D$20:$D$100,AN$2)=0),VISUM_Freeway_OD!AN51*Control!$B$2,0)</f>
        <v>0</v>
      </c>
      <c r="AO51">
        <f>IF(AND(COUNTIF(Control!$D$20:$D$100,$B51)=0,COUNTIF(Control!$D$20:$D$100,AO$2)=0),VISUM_Freeway_OD!AO51*Control!$B$2,0)</f>
        <v>0</v>
      </c>
      <c r="AP51">
        <f>IF(AND(COUNTIF(Control!$D$20:$D$100,$B51)=0,COUNTIF(Control!$D$20:$D$100,AP$2)=0),VISUM_Freeway_OD!AP51*Control!$B$2,0)</f>
        <v>0</v>
      </c>
      <c r="AQ51">
        <f>IF(AND(COUNTIF(Control!$D$20:$D$100,$B51)=0,COUNTIF(Control!$D$20:$D$100,AQ$2)=0),VISUM_Freeway_OD!AQ51*Control!$B$2,0)</f>
        <v>0</v>
      </c>
      <c r="AR51">
        <f>IF(AND(COUNTIF(Control!$D$20:$D$100,$B51)=0,COUNTIF(Control!$D$20:$D$100,AR$2)=0),VISUM_Freeway_OD!AR51*Control!$B$2,0)</f>
        <v>0</v>
      </c>
      <c r="AS51">
        <f>IF(AND(COUNTIF(Control!$D$20:$D$100,$B51)=0,COUNTIF(Control!$D$20:$D$100,AS$2)=0),VISUM_Freeway_OD!AS51*Control!$B$2,0)</f>
        <v>0</v>
      </c>
      <c r="AT51">
        <f>IF(AND(COUNTIF(Control!$D$20:$D$100,$B51)=0,COUNTIF(Control!$D$20:$D$100,AT$2)=0),VISUM_Freeway_OD!AT51*Control!$B$2,0)</f>
        <v>0</v>
      </c>
      <c r="AU51">
        <f>IF(AND(COUNTIF(Control!$D$20:$D$100,$B51)=0,COUNTIF(Control!$D$20:$D$100,AU$2)=0),VISUM_Freeway_OD!AU51*Control!$B$2,0)</f>
        <v>0</v>
      </c>
      <c r="AV51">
        <f>IF(AND(COUNTIF(Control!$D$20:$D$100,$B51)=0,COUNTIF(Control!$D$20:$D$100,AV$2)=0),VISUM_Freeway_OD!AV51*Control!$B$2,0)</f>
        <v>0</v>
      </c>
      <c r="AW51">
        <f>IF(AND(COUNTIF(Control!$D$20:$D$100,$B51)=0,COUNTIF(Control!$D$20:$D$100,AW$2)=0),VISUM_Freeway_OD!AW51*Control!$B$2,0)</f>
        <v>0</v>
      </c>
      <c r="AX51">
        <f>IF(AND(COUNTIF(Control!$D$20:$D$100,$B51)=0,COUNTIF(Control!$D$20:$D$100,AX$2)=0),VISUM_Freeway_OD!AX51*Control!$B$2,0)</f>
        <v>0</v>
      </c>
      <c r="AY51">
        <f>IF(AND(COUNTIF(Control!$D$20:$D$100,$B51)=0,COUNTIF(Control!$D$20:$D$100,AY$2)=0),VISUM_Freeway_OD!AY51*Control!$B$2,0)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tabColor rgb="FF0070C0"/>
  </sheetPr>
  <dimension ref="A1:AY51"/>
  <sheetViews>
    <sheetView zoomScale="55" zoomScaleNormal="55" workbookViewId="0">
      <pane xSplit="2" ySplit="2" topLeftCell="D3" activePane="bottomRight" state="frozen"/>
      <selection activeCell="AS3" sqref="AS3"/>
      <selection pane="topRight" activeCell="AS3" sqref="AS3"/>
      <selection pane="bottomLeft" activeCell="AS3" sqref="AS3"/>
      <selection pane="bottomRight" activeCell="K11" sqref="K11"/>
    </sheetView>
  </sheetViews>
  <sheetFormatPr defaultRowHeight="15" x14ac:dyDescent="0.25"/>
  <cols>
    <col min="1" max="1" width="11.28515625" customWidth="1"/>
    <col min="3" max="40" width="9.85546875" customWidth="1"/>
  </cols>
  <sheetData>
    <row r="1" spans="1:51" x14ac:dyDescent="0.25">
      <c r="A1" s="4">
        <v>2</v>
      </c>
      <c r="B1" s="4"/>
      <c r="C1" s="4">
        <f>IF(VLOOKUP(C2,Freeway_Zone_Link_Mapping!$A:$C,3,FALSE)&lt;&gt;"",VLOOKUP(C2,Freeway_Zone_Link_Mapping!$A:$C,3,FALSE),"")</f>
        <v>105920061</v>
      </c>
      <c r="D1" s="4" t="str">
        <f>IF(VLOOKUP(D2,Freeway_Zone_Link_Mapping!$A:$C,3,FALSE)&lt;&gt;"",VLOOKUP(D2,Freeway_Zone_Link_Mapping!$A:$C,3,FALSE),"")</f>
        <v/>
      </c>
      <c r="E1" s="4">
        <f>IF(VLOOKUP(E2,Freeway_Zone_Link_Mapping!$A:$C,3,FALSE)&lt;&gt;"",VLOOKUP(E2,Freeway_Zone_Link_Mapping!$A:$C,3,FALSE),"")</f>
        <v>105920056</v>
      </c>
      <c r="F1" s="4">
        <f>IF(VLOOKUP(F2,Freeway_Zone_Link_Mapping!$A:$C,3,FALSE)&lt;&gt;"",VLOOKUP(F2,Freeway_Zone_Link_Mapping!$A:$C,3,FALSE),"")</f>
        <v>308</v>
      </c>
      <c r="G1" s="4">
        <f>IF(VLOOKUP(G2,Freeway_Zone_Link_Mapping!$A:$C,3,FALSE)&lt;&gt;"",VLOOKUP(G2,Freeway_Zone_Link_Mapping!$A:$C,3,FALSE),"")</f>
        <v>389</v>
      </c>
      <c r="H1" s="4">
        <f>IF(VLOOKUP(H2,Freeway_Zone_Link_Mapping!$A:$C,3,FALSE)&lt;&gt;"",VLOOKUP(H2,Freeway_Zone_Link_Mapping!$A:$C,3,FALSE),"")</f>
        <v>189</v>
      </c>
      <c r="I1" s="4" t="str">
        <f>IF(VLOOKUP(I2,Freeway_Zone_Link_Mapping!$A:$C,3,FALSE)&lt;&gt;"",VLOOKUP(I2,Freeway_Zone_Link_Mapping!$A:$C,3,FALSE),"")</f>
        <v/>
      </c>
      <c r="J1" s="4" t="str">
        <f>IF(VLOOKUP(J2,Freeway_Zone_Link_Mapping!$A:$C,3,FALSE)&lt;&gt;"",VLOOKUP(J2,Freeway_Zone_Link_Mapping!$A:$C,3,FALSE),"")</f>
        <v/>
      </c>
      <c r="K1" s="4">
        <f>IF(VLOOKUP(K2,Freeway_Zone_Link_Mapping!$A:$C,3,FALSE)&lt;&gt;"",VLOOKUP(K2,Freeway_Zone_Link_Mapping!$A:$C,3,FALSE),"")</f>
        <v>321</v>
      </c>
      <c r="L1" s="4" t="str">
        <f>IF(VLOOKUP(L2,Freeway_Zone_Link_Mapping!$A:$C,3,FALSE)&lt;&gt;"",VLOOKUP(L2,Freeway_Zone_Link_Mapping!$A:$C,3,FALSE),"")</f>
        <v/>
      </c>
      <c r="M1" s="4">
        <f>IF(VLOOKUP(M2,Freeway_Zone_Link_Mapping!$A:$C,3,FALSE)&lt;&gt;"",VLOOKUP(M2,Freeway_Zone_Link_Mapping!$A:$C,3,FALSE),"")</f>
        <v>323</v>
      </c>
      <c r="N1" s="4">
        <f>IF(VLOOKUP(N2,Freeway_Zone_Link_Mapping!$A:$C,3,FALSE)&lt;&gt;"",VLOOKUP(N2,Freeway_Zone_Link_Mapping!$A:$C,3,FALSE),"")</f>
        <v>43</v>
      </c>
      <c r="O1" s="4" t="str">
        <f>IF(VLOOKUP(O2,Freeway_Zone_Link_Mapping!$A:$C,3,FALSE)&lt;&gt;"",VLOOKUP(O2,Freeway_Zone_Link_Mapping!$A:$C,3,FALSE),"")</f>
        <v/>
      </c>
      <c r="P1" s="4">
        <f>IF(VLOOKUP(P2,Freeway_Zone_Link_Mapping!$A:$C,3,FALSE)&lt;&gt;"",VLOOKUP(P2,Freeway_Zone_Link_Mapping!$A:$C,3,FALSE),"")</f>
        <v>190</v>
      </c>
      <c r="Q1" s="4" t="str">
        <f>IF(VLOOKUP(Q2,Freeway_Zone_Link_Mapping!$A:$C,3,FALSE)&lt;&gt;"",VLOOKUP(Q2,Freeway_Zone_Link_Mapping!$A:$C,3,FALSE),"")</f>
        <v/>
      </c>
      <c r="R1" s="4" t="str">
        <f>IF(VLOOKUP(R2,Freeway_Zone_Link_Mapping!$A:$C,3,FALSE)&lt;&gt;"",VLOOKUP(R2,Freeway_Zone_Link_Mapping!$A:$C,3,FALSE),"")</f>
        <v/>
      </c>
      <c r="S1" s="4">
        <f>IF(VLOOKUP(S2,Freeway_Zone_Link_Mapping!$A:$C,3,FALSE)&lt;&gt;"",VLOOKUP(S2,Freeway_Zone_Link_Mapping!$A:$C,3,FALSE),"")</f>
        <v>10228</v>
      </c>
      <c r="T1" s="4">
        <f>IF(VLOOKUP(T2,Freeway_Zone_Link_Mapping!$A:$C,3,FALSE)&lt;&gt;"",VLOOKUP(T2,Freeway_Zone_Link_Mapping!$A:$C,3,FALSE),"")</f>
        <v>10619</v>
      </c>
      <c r="U1" s="4" t="str">
        <f>IF(VLOOKUP(U2,Freeway_Zone_Link_Mapping!$A:$C,3,FALSE)&lt;&gt;"",VLOOKUP(U2,Freeway_Zone_Link_Mapping!$A:$C,3,FALSE),"")</f>
        <v/>
      </c>
      <c r="V1" s="4">
        <f>IF(VLOOKUP(V2,Freeway_Zone_Link_Mapping!$A:$C,3,FALSE)&lt;&gt;"",VLOOKUP(V2,Freeway_Zone_Link_Mapping!$A:$C,3,FALSE),"")</f>
        <v>10290</v>
      </c>
      <c r="W1" s="4" t="str">
        <f>IF(VLOOKUP(W2,Freeway_Zone_Link_Mapping!$A:$C,3,FALSE)&lt;&gt;"",VLOOKUP(W2,Freeway_Zone_Link_Mapping!$A:$C,3,FALSE),"")</f>
        <v/>
      </c>
      <c r="X1" s="4">
        <f>IF(VLOOKUP(X2,Freeway_Zone_Link_Mapping!$A:$C,3,FALSE)&lt;&gt;"",VLOOKUP(X2,Freeway_Zone_Link_Mapping!$A:$C,3,FALSE),"")</f>
        <v>10664</v>
      </c>
      <c r="Y1" s="4" t="str">
        <f>IF(VLOOKUP(Y2,Freeway_Zone_Link_Mapping!$A:$C,3,FALSE)&lt;&gt;"",VLOOKUP(Y2,Freeway_Zone_Link_Mapping!$A:$C,3,FALSE),"")</f>
        <v/>
      </c>
      <c r="Z1" s="4">
        <f>IF(VLOOKUP(Z2,Freeway_Zone_Link_Mapping!$A:$C,3,FALSE)&lt;&gt;"",VLOOKUP(Z2,Freeway_Zone_Link_Mapping!$A:$C,3,FALSE),"")</f>
        <v>201</v>
      </c>
      <c r="AA1" s="4">
        <f>IF(VLOOKUP(AA2,Freeway_Zone_Link_Mapping!$A:$C,3,FALSE)&lt;&gt;"",VLOOKUP(AA2,Freeway_Zone_Link_Mapping!$A:$C,3,FALSE),"")</f>
        <v>193</v>
      </c>
      <c r="AB1" s="4">
        <f>IF(VLOOKUP(AB2,Freeway_Zone_Link_Mapping!$A:$C,3,FALSE)&lt;&gt;"",VLOOKUP(AB2,Freeway_Zone_Link_Mapping!$A:$C,3,FALSE),"")</f>
        <v>369</v>
      </c>
      <c r="AC1" s="4" t="str">
        <f>IF(VLOOKUP(AC2,Freeway_Zone_Link_Mapping!$A:$C,3,FALSE)&lt;&gt;"",VLOOKUP(AC2,Freeway_Zone_Link_Mapping!$A:$C,3,FALSE),"")</f>
        <v/>
      </c>
      <c r="AD1" s="4" t="str">
        <f>IF(VLOOKUP(AD2,Freeway_Zone_Link_Mapping!$A:$C,3,FALSE)&lt;&gt;"",VLOOKUP(AD2,Freeway_Zone_Link_Mapping!$A:$C,3,FALSE),"")</f>
        <v/>
      </c>
      <c r="AE1" s="4">
        <f>IF(VLOOKUP(AE2,Freeway_Zone_Link_Mapping!$A:$C,3,FALSE)&lt;&gt;"",VLOOKUP(AE2,Freeway_Zone_Link_Mapping!$A:$C,3,FALSE),"")</f>
        <v>380</v>
      </c>
      <c r="AF1" s="4">
        <f>IF(VLOOKUP(AF2,Freeway_Zone_Link_Mapping!$A:$C,3,FALSE)&lt;&gt;"",VLOOKUP(AF2,Freeway_Zone_Link_Mapping!$A:$C,3,FALSE),"")</f>
        <v>401</v>
      </c>
      <c r="AG1" s="4">
        <f>IF(VLOOKUP(AG2,Freeway_Zone_Link_Mapping!$A:$C,3,FALSE)&lt;&gt;"",VLOOKUP(AG2,Freeway_Zone_Link_Mapping!$A:$C,3,FALSE),"")</f>
        <v>392</v>
      </c>
      <c r="AH1" s="4" t="str">
        <f>IF(VLOOKUP(AH2,Freeway_Zone_Link_Mapping!$A:$C,3,FALSE)&lt;&gt;"",VLOOKUP(AH2,Freeway_Zone_Link_Mapping!$A:$C,3,FALSE),"")</f>
        <v/>
      </c>
      <c r="AI1" s="4">
        <f>IF(VLOOKUP(AI2,Freeway_Zone_Link_Mapping!$A:$C,3,FALSE)&lt;&gt;"",VLOOKUP(AI2,Freeway_Zone_Link_Mapping!$A:$C,3,FALSE),"")</f>
        <v>61</v>
      </c>
      <c r="AJ1" s="4">
        <f>IF(VLOOKUP(AJ2,Freeway_Zone_Link_Mapping!$A:$C,3,FALSE)&lt;&gt;"",VLOOKUP(AJ2,Freeway_Zone_Link_Mapping!$A:$C,3,FALSE),"")</f>
        <v>20040</v>
      </c>
      <c r="AK1" s="4">
        <f>IF(VLOOKUP(AK2,Freeway_Zone_Link_Mapping!$A:$C,3,FALSE)&lt;&gt;"",VLOOKUP(AK2,Freeway_Zone_Link_Mapping!$A:$C,3,FALSE),"")</f>
        <v>466</v>
      </c>
      <c r="AL1" s="4">
        <f>IF(VLOOKUP(AL2,Freeway_Zone_Link_Mapping!$A:$C,3,FALSE)&lt;&gt;"",VLOOKUP(AL2,Freeway_Zone_Link_Mapping!$A:$C,3,FALSE),"")</f>
        <v>453</v>
      </c>
      <c r="AM1" s="4">
        <f>IF(VLOOKUP(AM2,Freeway_Zone_Link_Mapping!$A:$C,3,FALSE)&lt;&gt;"",VLOOKUP(AM2,Freeway_Zone_Link_Mapping!$A:$C,3,FALSE),"")</f>
        <v>28280063</v>
      </c>
      <c r="AN1" s="4">
        <f>IF(VLOOKUP(AN2,Freeway_Zone_Link_Mapping!$A:$C,3,FALSE)&lt;&gt;"",VLOOKUP(AN2,Freeway_Zone_Link_Mapping!$A:$C,3,FALSE),"")</f>
        <v>28280070</v>
      </c>
      <c r="AO1" s="4" t="str">
        <f>IF(VLOOKUP(AO2,Freeway_Zone_Link_Mapping!$A:$C,3,FALSE)&lt;&gt;"",VLOOKUP(AO2,Freeway_Zone_Link_Mapping!$A:$C,3,FALSE),"")</f>
        <v/>
      </c>
      <c r="AP1" s="4" t="str">
        <f>IF(VLOOKUP(AP2,Freeway_Zone_Link_Mapping!$A:$C,3,FALSE)&lt;&gt;"",VLOOKUP(AP2,Freeway_Zone_Link_Mapping!$A:$C,3,FALSE),"")</f>
        <v/>
      </c>
      <c r="AQ1" s="4">
        <f>IF(VLOOKUP(AQ2,Freeway_Zone_Link_Mapping!$A:$C,3,FALSE)&lt;&gt;"",VLOOKUP(AQ2,Freeway_Zone_Link_Mapping!$A:$C,3,FALSE),"")</f>
        <v>434</v>
      </c>
      <c r="AR1" s="4">
        <f>IF(VLOOKUP(AR2,Freeway_Zone_Link_Mapping!$A:$C,3,FALSE)&lt;&gt;"",VLOOKUP(AR2,Freeway_Zone_Link_Mapping!$A:$C,3,FALSE),"")</f>
        <v>42</v>
      </c>
      <c r="AS1" s="4">
        <f>IF(VLOOKUP(AS2,Freeway_Zone_Link_Mapping!$A:$C,3,FALSE)&lt;&gt;"",VLOOKUP(AS2,Freeway_Zone_Link_Mapping!$A:$C,3,FALSE),"")</f>
        <v>460</v>
      </c>
      <c r="AT1" s="4">
        <f>IF(VLOOKUP(AT2,Freeway_Zone_Link_Mapping!$A:$C,3,FALSE)&lt;&gt;"",VLOOKUP(AT2,Freeway_Zone_Link_Mapping!$A:$C,3,FALSE),"")</f>
        <v>31</v>
      </c>
      <c r="AU1" s="4">
        <f>IF(VLOOKUP(AU2,Freeway_Zone_Link_Mapping!$A:$C,3,FALSE)&lt;&gt;"",VLOOKUP(AU2,Freeway_Zone_Link_Mapping!$A:$C,3,FALSE),"")</f>
        <v>28280069</v>
      </c>
      <c r="AV1" s="4">
        <f>IF(VLOOKUP(AV2,Freeway_Zone_Link_Mapping!$A:$C,3,FALSE)&lt;&gt;"",VLOOKUP(AV2,Freeway_Zone_Link_Mapping!$A:$C,3,FALSE),"")</f>
        <v>447</v>
      </c>
      <c r="AW1" s="4">
        <f>IF(VLOOKUP(AW2,Freeway_Zone_Link_Mapping!$A:$C,3,FALSE)&lt;&gt;"",VLOOKUP(AW2,Freeway_Zone_Link_Mapping!$A:$C,3,FALSE),"")</f>
        <v>523</v>
      </c>
      <c r="AX1" s="4">
        <f>IF(VLOOKUP(AX2,Freeway_Zone_Link_Mapping!$A:$C,3,FALSE)&lt;&gt;"",VLOOKUP(AX2,Freeway_Zone_Link_Mapping!$A:$C,3,FALSE),"")</f>
        <v>522</v>
      </c>
      <c r="AY1" s="4">
        <f>IF(VLOOKUP(AY2,Freeway_Zone_Link_Mapping!$A:$C,3,FALSE)&lt;&gt;"",VLOOKUP(AY2,Freeway_Zone_Link_Mapping!$A:$C,3,FALSE),"")</f>
        <v>42</v>
      </c>
    </row>
    <row r="2" spans="1:51" x14ac:dyDescent="0.25">
      <c r="A2" s="4"/>
      <c r="B2" s="4"/>
      <c r="C2" s="4">
        <v>12</v>
      </c>
      <c r="D2" s="4">
        <v>13</v>
      </c>
      <c r="E2" s="4">
        <v>14</v>
      </c>
      <c r="F2" s="4">
        <v>15</v>
      </c>
      <c r="G2" s="4">
        <v>24</v>
      </c>
      <c r="H2" s="4">
        <v>28</v>
      </c>
      <c r="I2" s="4">
        <v>29</v>
      </c>
      <c r="J2" s="4">
        <v>30</v>
      </c>
      <c r="K2" s="4">
        <v>31</v>
      </c>
      <c r="L2" s="4">
        <v>32</v>
      </c>
      <c r="M2" s="4">
        <v>33</v>
      </c>
      <c r="N2" s="4">
        <v>34</v>
      </c>
      <c r="O2" s="4">
        <v>35</v>
      </c>
      <c r="P2" s="4">
        <v>36</v>
      </c>
      <c r="Q2" s="4">
        <v>37</v>
      </c>
      <c r="R2" s="4">
        <v>38</v>
      </c>
      <c r="S2" s="4">
        <v>39</v>
      </c>
      <c r="T2" s="4">
        <v>40</v>
      </c>
      <c r="U2" s="4">
        <v>41</v>
      </c>
      <c r="V2" s="4">
        <v>42</v>
      </c>
      <c r="W2" s="4">
        <v>43</v>
      </c>
      <c r="X2" s="4">
        <v>44</v>
      </c>
      <c r="Y2" s="4">
        <v>45</v>
      </c>
      <c r="Z2" s="4">
        <v>46</v>
      </c>
      <c r="AA2" s="4">
        <v>47</v>
      </c>
      <c r="AB2" s="4">
        <v>48</v>
      </c>
      <c r="AC2" s="4">
        <v>49</v>
      </c>
      <c r="AD2" s="4">
        <v>50</v>
      </c>
      <c r="AE2" s="4">
        <v>51</v>
      </c>
      <c r="AF2" s="4">
        <v>52</v>
      </c>
      <c r="AG2" s="4">
        <v>53</v>
      </c>
      <c r="AH2" s="4">
        <v>54</v>
      </c>
      <c r="AI2" s="4">
        <v>55</v>
      </c>
      <c r="AJ2" s="4">
        <v>56</v>
      </c>
      <c r="AK2" s="4">
        <v>57</v>
      </c>
      <c r="AL2" s="4">
        <v>58</v>
      </c>
      <c r="AM2" s="4">
        <v>59</v>
      </c>
      <c r="AN2" s="4">
        <v>60</v>
      </c>
      <c r="AO2" s="4">
        <v>61</v>
      </c>
      <c r="AP2" s="4">
        <v>62</v>
      </c>
      <c r="AQ2" s="4">
        <v>63</v>
      </c>
      <c r="AR2" s="4">
        <v>64</v>
      </c>
      <c r="AS2" s="20">
        <v>66</v>
      </c>
      <c r="AT2" s="20">
        <v>67</v>
      </c>
      <c r="AU2" s="20">
        <v>68</v>
      </c>
      <c r="AV2" s="20">
        <v>69</v>
      </c>
      <c r="AW2" s="20">
        <v>70</v>
      </c>
      <c r="AX2" s="20">
        <v>71</v>
      </c>
      <c r="AY2" s="20">
        <v>72</v>
      </c>
    </row>
    <row r="3" spans="1:51" x14ac:dyDescent="0.25">
      <c r="A3" s="4">
        <f>IF(VLOOKUP(B3,Freeway_Zone_Link_Mapping!$A:$C,2,FALSE)&lt;&gt;"",VLOOKUP(B3,Freeway_Zone_Link_Mapping!$A:$C,2,FALSE),"")</f>
        <v>105920028</v>
      </c>
      <c r="B3" s="4">
        <v>12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</row>
    <row r="4" spans="1:51" x14ac:dyDescent="0.25">
      <c r="A4" s="4">
        <f>IF(VLOOKUP(B4,Freeway_Zone_Link_Mapping!$A:$C,2,FALSE)&lt;&gt;"",VLOOKUP(B4,Freeway_Zone_Link_Mapping!$A:$C,2,FALSE),"")</f>
        <v>105920065</v>
      </c>
      <c r="B4" s="4">
        <v>13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</row>
    <row r="5" spans="1:51" x14ac:dyDescent="0.25">
      <c r="A5" s="4">
        <f>IF(VLOOKUP(B5,Freeway_Zone_Link_Mapping!$A:$C,2,FALSE)&lt;&gt;"",VLOOKUP(B5,Freeway_Zone_Link_Mapping!$A:$C,2,FALSE),"")</f>
        <v>105920026</v>
      </c>
      <c r="B5" s="4">
        <v>14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</row>
    <row r="6" spans="1:51" x14ac:dyDescent="0.25">
      <c r="A6" s="4" t="str">
        <f>IF(VLOOKUP(B6,Freeway_Zone_Link_Mapping!$A:$C,2,FALSE)&lt;&gt;"",VLOOKUP(B6,Freeway_Zone_Link_Mapping!$A:$C,2,FALSE),"")</f>
        <v/>
      </c>
      <c r="B6" s="4">
        <v>15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</row>
    <row r="7" spans="1:51" x14ac:dyDescent="0.25">
      <c r="A7" s="4">
        <f>IF(VLOOKUP(B7,Freeway_Zone_Link_Mapping!$A:$C,2,FALSE)&lt;&gt;"",VLOOKUP(B7,Freeway_Zone_Link_Mapping!$A:$C,2,FALSE),"")</f>
        <v>246</v>
      </c>
      <c r="B7" s="4">
        <v>24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</row>
    <row r="8" spans="1:51" x14ac:dyDescent="0.25">
      <c r="A8" s="4" t="str">
        <f>IF(VLOOKUP(B8,Freeway_Zone_Link_Mapping!$A:$C,2,FALSE)&lt;&gt;"",VLOOKUP(B8,Freeway_Zone_Link_Mapping!$A:$C,2,FALSE),"")</f>
        <v/>
      </c>
      <c r="B8" s="4">
        <v>28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</row>
    <row r="9" spans="1:51" x14ac:dyDescent="0.25">
      <c r="A9" s="4">
        <f>IF(VLOOKUP(B9,Freeway_Zone_Link_Mapping!$A:$C,2,FALSE)&lt;&gt;"",VLOOKUP(B9,Freeway_Zone_Link_Mapping!$A:$C,2,FALSE),"")</f>
        <v>210</v>
      </c>
      <c r="B9" s="4">
        <v>29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</row>
    <row r="10" spans="1:51" x14ac:dyDescent="0.25">
      <c r="A10" s="4">
        <f>IF(VLOOKUP(B10,Freeway_Zone_Link_Mapping!$A:$C,2,FALSE)&lt;&gt;"",VLOOKUP(B10,Freeway_Zone_Link_Mapping!$A:$C,2,FALSE),"")</f>
        <v>24</v>
      </c>
      <c r="B10" s="4">
        <v>30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</row>
    <row r="11" spans="1:51" x14ac:dyDescent="0.25">
      <c r="A11" s="4" t="str">
        <f>IF(VLOOKUP(B11,Freeway_Zone_Link_Mapping!$A:$C,2,FALSE)&lt;&gt;"",VLOOKUP(B11,Freeway_Zone_Link_Mapping!$A:$C,2,FALSE),"")</f>
        <v/>
      </c>
      <c r="B11" s="4">
        <v>31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</row>
    <row r="12" spans="1:51" x14ac:dyDescent="0.25">
      <c r="A12" s="4">
        <f>IF(VLOOKUP(B12,Freeway_Zone_Link_Mapping!$A:$C,2,FALSE)&lt;&gt;"",VLOOKUP(B12,Freeway_Zone_Link_Mapping!$A:$C,2,FALSE),"")</f>
        <v>65</v>
      </c>
      <c r="B12" s="4">
        <v>32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</row>
    <row r="13" spans="1:51" x14ac:dyDescent="0.25">
      <c r="A13" s="4" t="str">
        <f>IF(VLOOKUP(B13,Freeway_Zone_Link_Mapping!$A:$C,2,FALSE)&lt;&gt;"",VLOOKUP(B13,Freeway_Zone_Link_Mapping!$A:$C,2,FALSE),"")</f>
        <v/>
      </c>
      <c r="B13" s="4">
        <v>33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</row>
    <row r="14" spans="1:51" x14ac:dyDescent="0.25">
      <c r="A14" s="4" t="str">
        <f>IF(VLOOKUP(B14,Freeway_Zone_Link_Mapping!$A:$C,2,FALSE)&lt;&gt;"",VLOOKUP(B14,Freeway_Zone_Link_Mapping!$A:$C,2,FALSE),"")</f>
        <v/>
      </c>
      <c r="B14" s="4">
        <v>34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</row>
    <row r="15" spans="1:51" x14ac:dyDescent="0.25">
      <c r="A15" s="4">
        <f>IF(VLOOKUP(B15,Freeway_Zone_Link_Mapping!$A:$C,2,FALSE)&lt;&gt;"",VLOOKUP(B15,Freeway_Zone_Link_Mapping!$A:$C,2,FALSE),"")</f>
        <v>59</v>
      </c>
      <c r="B15" s="4">
        <v>35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</row>
    <row r="16" spans="1:51" x14ac:dyDescent="0.25">
      <c r="A16" s="4" t="str">
        <f>IF(VLOOKUP(B16,Freeway_Zone_Link_Mapping!$A:$C,2,FALSE)&lt;&gt;"",VLOOKUP(B16,Freeway_Zone_Link_Mapping!$A:$C,2,FALSE),"")</f>
        <v/>
      </c>
      <c r="B16" s="4">
        <v>36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</row>
    <row r="17" spans="1:51" x14ac:dyDescent="0.25">
      <c r="A17" s="4">
        <f>IF(VLOOKUP(B17,Freeway_Zone_Link_Mapping!$A:$C,2,FALSE)&lt;&gt;"",VLOOKUP(B17,Freeway_Zone_Link_Mapping!$A:$C,2,FALSE),"")</f>
        <v>245</v>
      </c>
      <c r="B17" s="4">
        <v>37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</row>
    <row r="18" spans="1:51" x14ac:dyDescent="0.25">
      <c r="A18" s="4">
        <f>IF(VLOOKUP(B18,Freeway_Zone_Link_Mapping!$A:$C,2,FALSE)&lt;&gt;"",VLOOKUP(B18,Freeway_Zone_Link_Mapping!$A:$C,2,FALSE),"")</f>
        <v>183</v>
      </c>
      <c r="B18" s="4">
        <v>38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</row>
    <row r="19" spans="1:51" x14ac:dyDescent="0.25">
      <c r="A19" s="4" t="str">
        <f>IF(VLOOKUP(B19,Freeway_Zone_Link_Mapping!$A:$C,2,FALSE)&lt;&gt;"",VLOOKUP(B19,Freeway_Zone_Link_Mapping!$A:$C,2,FALSE),"")</f>
        <v/>
      </c>
      <c r="B19" s="4">
        <v>39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</row>
    <row r="20" spans="1:51" x14ac:dyDescent="0.25">
      <c r="A20" s="4" t="str">
        <f>IF(VLOOKUP(B20,Freeway_Zone_Link_Mapping!$A:$C,2,FALSE)&lt;&gt;"",VLOOKUP(B20,Freeway_Zone_Link_Mapping!$A:$C,2,FALSE),"")</f>
        <v/>
      </c>
      <c r="B20" s="4">
        <v>40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</row>
    <row r="21" spans="1:51" x14ac:dyDescent="0.25">
      <c r="A21" s="4">
        <f>IF(VLOOKUP(B21,Freeway_Zone_Link_Mapping!$A:$C,2,FALSE)&lt;&gt;"",VLOOKUP(B21,Freeway_Zone_Link_Mapping!$A:$C,2,FALSE),"")</f>
        <v>179</v>
      </c>
      <c r="B21" s="4">
        <v>41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</row>
    <row r="22" spans="1:51" x14ac:dyDescent="0.25">
      <c r="A22" s="4" t="str">
        <f>IF(VLOOKUP(B22,Freeway_Zone_Link_Mapping!$A:$C,2,FALSE)&lt;&gt;"",VLOOKUP(B22,Freeway_Zone_Link_Mapping!$A:$C,2,FALSE),"")</f>
        <v/>
      </c>
      <c r="B22" s="4">
        <v>42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</row>
    <row r="23" spans="1:51" x14ac:dyDescent="0.25">
      <c r="A23" s="4">
        <f>IF(VLOOKUP(B23,Freeway_Zone_Link_Mapping!$A:$C,2,FALSE)&lt;&gt;"",VLOOKUP(B23,Freeway_Zone_Link_Mapping!$A:$C,2,FALSE),"")</f>
        <v>105920110</v>
      </c>
      <c r="B23" s="4">
        <v>43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</row>
    <row r="24" spans="1:51" x14ac:dyDescent="0.25">
      <c r="A24" s="4" t="str">
        <f>IF(VLOOKUP(B24,Freeway_Zone_Link_Mapping!$A:$C,2,FALSE)&lt;&gt;"",VLOOKUP(B24,Freeway_Zone_Link_Mapping!$A:$C,2,FALSE),"")</f>
        <v/>
      </c>
      <c r="B24" s="4">
        <v>44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</row>
    <row r="25" spans="1:51" x14ac:dyDescent="0.25">
      <c r="A25" s="4">
        <f>IF(VLOOKUP(B25,Freeway_Zone_Link_Mapping!$A:$C,2,FALSE)&lt;&gt;"",VLOOKUP(B25,Freeway_Zone_Link_Mapping!$A:$C,2,FALSE),"")</f>
        <v>214</v>
      </c>
      <c r="B25" s="4">
        <v>45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</row>
    <row r="26" spans="1:51" x14ac:dyDescent="0.25">
      <c r="A26" s="4">
        <f>IF(VLOOKUP(B26,Freeway_Zone_Link_Mapping!$A:$C,2,FALSE)&lt;&gt;"",VLOOKUP(B26,Freeway_Zone_Link_Mapping!$A:$C,2,FALSE),"")</f>
        <v>191</v>
      </c>
      <c r="B26" s="4">
        <v>46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</row>
    <row r="27" spans="1:51" x14ac:dyDescent="0.25">
      <c r="A27" s="4">
        <f>IF(VLOOKUP(B27,Freeway_Zone_Link_Mapping!$A:$C,2,FALSE)&lt;&gt;"",VLOOKUP(B27,Freeway_Zone_Link_Mapping!$A:$C,2,FALSE),"")</f>
        <v>196</v>
      </c>
      <c r="B27" s="4">
        <v>47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</row>
    <row r="28" spans="1:51" x14ac:dyDescent="0.25">
      <c r="A28" s="4" t="str">
        <f>IF(VLOOKUP(B28,Freeway_Zone_Link_Mapping!$A:$C,2,FALSE)&lt;&gt;"",VLOOKUP(B28,Freeway_Zone_Link_Mapping!$A:$C,2,FALSE),"")</f>
        <v/>
      </c>
      <c r="B28" s="4">
        <v>48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</row>
    <row r="29" spans="1:51" x14ac:dyDescent="0.25">
      <c r="A29" s="4">
        <f>IF(VLOOKUP(B29,Freeway_Zone_Link_Mapping!$A:$C,2,FALSE)&lt;&gt;"",VLOOKUP(B29,Freeway_Zone_Link_Mapping!$A:$C,2,FALSE),"")</f>
        <v>500</v>
      </c>
      <c r="B29" s="4">
        <v>49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</row>
    <row r="30" spans="1:51" x14ac:dyDescent="0.25">
      <c r="A30" s="4">
        <f>IF(VLOOKUP(B30,Freeway_Zone_Link_Mapping!$A:$C,2,FALSE)&lt;&gt;"",VLOOKUP(B30,Freeway_Zone_Link_Mapping!$A:$C,2,FALSE),"")</f>
        <v>384</v>
      </c>
      <c r="B30" s="4">
        <v>50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</row>
    <row r="31" spans="1:51" x14ac:dyDescent="0.25">
      <c r="A31" s="4" t="str">
        <f>IF(VLOOKUP(B31,Freeway_Zone_Link_Mapping!$A:$C,2,FALSE)&lt;&gt;"",VLOOKUP(B31,Freeway_Zone_Link_Mapping!$A:$C,2,FALSE),"")</f>
        <v/>
      </c>
      <c r="B31" s="4">
        <v>51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</row>
    <row r="32" spans="1:51" x14ac:dyDescent="0.25">
      <c r="A32" s="4" t="str">
        <f>IF(VLOOKUP(B32,Freeway_Zone_Link_Mapping!$A:$C,2,FALSE)&lt;&gt;"",VLOOKUP(B32,Freeway_Zone_Link_Mapping!$A:$C,2,FALSE),"")</f>
        <v/>
      </c>
      <c r="B32" s="4">
        <v>52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</row>
    <row r="33" spans="1:51" x14ac:dyDescent="0.25">
      <c r="A33" s="4" t="str">
        <f>IF(VLOOKUP(B33,Freeway_Zone_Link_Mapping!$A:$C,2,FALSE)&lt;&gt;"",VLOOKUP(B33,Freeway_Zone_Link_Mapping!$A:$C,2,FALSE),"")</f>
        <v/>
      </c>
      <c r="B33" s="4">
        <v>53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</row>
    <row r="34" spans="1:51" x14ac:dyDescent="0.25">
      <c r="A34" s="4">
        <f>IF(VLOOKUP(B34,Freeway_Zone_Link_Mapping!$A:$C,2,FALSE)&lt;&gt;"",VLOOKUP(B34,Freeway_Zone_Link_Mapping!$A:$C,2,FALSE),"")</f>
        <v>398</v>
      </c>
      <c r="B34" s="4">
        <v>54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</row>
    <row r="35" spans="1:51" x14ac:dyDescent="0.25">
      <c r="A35" s="4">
        <f>IF(VLOOKUP(B35,Freeway_Zone_Link_Mapping!$A:$C,2,FALSE)&lt;&gt;"",VLOOKUP(B35,Freeway_Zone_Link_Mapping!$A:$C,2,FALSE),"")</f>
        <v>304</v>
      </c>
      <c r="B35" s="4">
        <v>55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</row>
    <row r="36" spans="1:51" x14ac:dyDescent="0.25">
      <c r="A36" s="4">
        <f>IF(VLOOKUP(B36,Freeway_Zone_Link_Mapping!$A:$C,2,FALSE)&lt;&gt;"",VLOOKUP(B36,Freeway_Zone_Link_Mapping!$A:$C,2,FALSE),"")</f>
        <v>262</v>
      </c>
      <c r="B36" s="4">
        <v>56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</row>
    <row r="37" spans="1:51" x14ac:dyDescent="0.25">
      <c r="A37" s="4">
        <f>IF(VLOOKUP(B37,Freeway_Zone_Link_Mapping!$A:$C,2,FALSE)&lt;&gt;"",VLOOKUP(B37,Freeway_Zone_Link_Mapping!$A:$C,2,FALSE),"")</f>
        <v>459</v>
      </c>
      <c r="B37" s="4">
        <v>57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</row>
    <row r="38" spans="1:51" x14ac:dyDescent="0.25">
      <c r="A38" s="4">
        <f>IF(VLOOKUP(B38,Freeway_Zone_Link_Mapping!$A:$C,2,FALSE)&lt;&gt;"",VLOOKUP(B38,Freeway_Zone_Link_Mapping!$A:$C,2,FALSE),"")</f>
        <v>28240364</v>
      </c>
      <c r="B38" s="4">
        <v>58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</row>
    <row r="39" spans="1:51" x14ac:dyDescent="0.25">
      <c r="A39" s="4">
        <f>IF(VLOOKUP(B39,Freeway_Zone_Link_Mapping!$A:$C,2,FALSE)&lt;&gt;"",VLOOKUP(B39,Freeway_Zone_Link_Mapping!$A:$C,2,FALSE),"")</f>
        <v>28280066</v>
      </c>
      <c r="B39" s="4">
        <v>59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</row>
    <row r="40" spans="1:51" x14ac:dyDescent="0.25">
      <c r="A40" s="4">
        <f>IF(VLOOKUP(B40,Freeway_Zone_Link_Mapping!$A:$C,2,FALSE)&lt;&gt;"",VLOOKUP(B40,Freeway_Zone_Link_Mapping!$A:$C,2,FALSE),"")</f>
        <v>105920001</v>
      </c>
      <c r="B40" s="4">
        <v>60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</row>
    <row r="41" spans="1:51" x14ac:dyDescent="0.25">
      <c r="A41" s="4">
        <f>IF(VLOOKUP(B41,Freeway_Zone_Link_Mapping!$A:$C,2,FALSE)&lt;&gt;"",VLOOKUP(B41,Freeway_Zone_Link_Mapping!$A:$C,2,FALSE),"")</f>
        <v>371</v>
      </c>
      <c r="B41" s="4">
        <v>61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</row>
    <row r="42" spans="1:51" x14ac:dyDescent="0.25">
      <c r="A42" s="4">
        <f>IF(VLOOKUP(B42,Freeway_Zone_Link_Mapping!$A:$C,2,FALSE)&lt;&gt;"",VLOOKUP(B42,Freeway_Zone_Link_Mapping!$A:$C,2,FALSE),"")</f>
        <v>424</v>
      </c>
      <c r="B42" s="4">
        <v>62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</row>
    <row r="43" spans="1:51" x14ac:dyDescent="0.25">
      <c r="A43" s="4" t="str">
        <f>IF(VLOOKUP(B43,Freeway_Zone_Link_Mapping!$A:$C,2,FALSE)&lt;&gt;"",VLOOKUP(B43,Freeway_Zone_Link_Mapping!$A:$C,2,FALSE),"")</f>
        <v/>
      </c>
      <c r="B43" s="4">
        <v>63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</row>
    <row r="44" spans="1:51" x14ac:dyDescent="0.25">
      <c r="A44" s="4" t="str">
        <f>IF(VLOOKUP(B44,Freeway_Zone_Link_Mapping!$A:$C,2,FALSE)&lt;&gt;"",VLOOKUP(B44,Freeway_Zone_Link_Mapping!$A:$C,2,FALSE),"")</f>
        <v/>
      </c>
      <c r="B44" s="4">
        <v>64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</row>
    <row r="45" spans="1:51" x14ac:dyDescent="0.25">
      <c r="A45" s="4">
        <f>IF(VLOOKUP(B45,Freeway_Zone_Link_Mapping!$A:$C,2,FALSE)&lt;&gt;"",VLOOKUP(B45,Freeway_Zone_Link_Mapping!$A:$C,2,FALSE),"")</f>
        <v>460</v>
      </c>
      <c r="B45" s="20">
        <v>66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 x14ac:dyDescent="0.25">
      <c r="A46" s="4">
        <f>IF(VLOOKUP(B46,Freeway_Zone_Link_Mapping!$A:$C,2,FALSE)&lt;&gt;"",VLOOKUP(B46,Freeway_Zone_Link_Mapping!$A:$C,2,FALSE),"")</f>
        <v>31</v>
      </c>
      <c r="B46" s="20">
        <v>67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</row>
    <row r="47" spans="1:51" x14ac:dyDescent="0.25">
      <c r="A47" s="4">
        <f>IF(VLOOKUP(B47,Freeway_Zone_Link_Mapping!$A:$C,2,FALSE)&lt;&gt;"",VLOOKUP(B47,Freeway_Zone_Link_Mapping!$A:$C,2,FALSE),"")</f>
        <v>28280069</v>
      </c>
      <c r="B47" s="20">
        <v>68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</row>
    <row r="48" spans="1:51" x14ac:dyDescent="0.25">
      <c r="A48" s="4">
        <f>IF(VLOOKUP(B48,Freeway_Zone_Link_Mapping!$A:$C,2,FALSE)&lt;&gt;"",VLOOKUP(B48,Freeway_Zone_Link_Mapping!$A:$C,2,FALSE),"")</f>
        <v>447</v>
      </c>
      <c r="B48" s="20">
        <v>69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</row>
    <row r="49" spans="1:51" x14ac:dyDescent="0.25">
      <c r="A49" s="4">
        <f>IF(VLOOKUP(B49,Freeway_Zone_Link_Mapping!$A:$C,2,FALSE)&lt;&gt;"",VLOOKUP(B49,Freeway_Zone_Link_Mapping!$A:$C,2,FALSE),"")</f>
        <v>523</v>
      </c>
      <c r="B49" s="20">
        <v>70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 x14ac:dyDescent="0.25">
      <c r="A50" s="4">
        <f>IF(VLOOKUP(B50,Freeway_Zone_Link_Mapping!$A:$C,2,FALSE)&lt;&gt;"",VLOOKUP(B50,Freeway_Zone_Link_Mapping!$A:$C,2,FALSE),"")</f>
        <v>522</v>
      </c>
      <c r="B50" s="20">
        <v>71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</row>
    <row r="51" spans="1:51" x14ac:dyDescent="0.25">
      <c r="A51" s="4" t="str">
        <f>IF(VLOOKUP(B51,Freeway_Zone_Link_Mapping!$A:$C,2,FALSE)&lt;&gt;"",VLOOKUP(B51,Freeway_Zone_Link_Mapping!$A:$C,2,FALSE),"")</f>
        <v/>
      </c>
      <c r="B51" s="20">
        <v>72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0070C0"/>
  </sheetPr>
  <dimension ref="A1:AY51"/>
  <sheetViews>
    <sheetView zoomScale="55" zoomScaleNormal="55" workbookViewId="0">
      <pane xSplit="2" ySplit="2" topLeftCell="G3" activePane="bottomRight" state="frozen"/>
      <selection activeCell="AS3" sqref="AS3"/>
      <selection pane="topRight" activeCell="AS3" sqref="AS3"/>
      <selection pane="bottomLeft" activeCell="AS3" sqref="AS3"/>
      <selection pane="bottomRight" sqref="A1:AY51"/>
    </sheetView>
  </sheetViews>
  <sheetFormatPr defaultRowHeight="15" x14ac:dyDescent="0.25"/>
  <cols>
    <col min="1" max="1" width="11.28515625" customWidth="1"/>
    <col min="3" max="40" width="9.85546875" customWidth="1"/>
  </cols>
  <sheetData>
    <row r="1" spans="1:51" x14ac:dyDescent="0.25">
      <c r="A1" s="4">
        <v>1</v>
      </c>
      <c r="B1" s="4"/>
      <c r="C1" s="4">
        <f>IF(VLOOKUP(C2,Freeway_Zone_Link_Mapping!$A:$C,3,FALSE)&lt;&gt;"",VLOOKUP(C2,Freeway_Zone_Link_Mapping!$A:$C,3,FALSE),"")</f>
        <v>105920061</v>
      </c>
      <c r="D1" s="4" t="str">
        <f>IF(VLOOKUP(D2,Freeway_Zone_Link_Mapping!$A:$C,3,FALSE)&lt;&gt;"",VLOOKUP(D2,Freeway_Zone_Link_Mapping!$A:$C,3,FALSE),"")</f>
        <v/>
      </c>
      <c r="E1" s="4">
        <f>IF(VLOOKUP(E2,Freeway_Zone_Link_Mapping!$A:$C,3,FALSE)&lt;&gt;"",VLOOKUP(E2,Freeway_Zone_Link_Mapping!$A:$C,3,FALSE),"")</f>
        <v>105920056</v>
      </c>
      <c r="F1" s="4">
        <f>IF(VLOOKUP(F2,Freeway_Zone_Link_Mapping!$A:$C,3,FALSE)&lt;&gt;"",VLOOKUP(F2,Freeway_Zone_Link_Mapping!$A:$C,3,FALSE),"")</f>
        <v>308</v>
      </c>
      <c r="G1" s="4">
        <f>IF(VLOOKUP(G2,Freeway_Zone_Link_Mapping!$A:$C,3,FALSE)&lt;&gt;"",VLOOKUP(G2,Freeway_Zone_Link_Mapping!$A:$C,3,FALSE),"")</f>
        <v>389</v>
      </c>
      <c r="H1" s="4">
        <f>IF(VLOOKUP(H2,Freeway_Zone_Link_Mapping!$A:$C,3,FALSE)&lt;&gt;"",VLOOKUP(H2,Freeway_Zone_Link_Mapping!$A:$C,3,FALSE),"")</f>
        <v>189</v>
      </c>
      <c r="I1" s="4" t="str">
        <f>IF(VLOOKUP(I2,Freeway_Zone_Link_Mapping!$A:$C,3,FALSE)&lt;&gt;"",VLOOKUP(I2,Freeway_Zone_Link_Mapping!$A:$C,3,FALSE),"")</f>
        <v/>
      </c>
      <c r="J1" s="4" t="str">
        <f>IF(VLOOKUP(J2,Freeway_Zone_Link_Mapping!$A:$C,3,FALSE)&lt;&gt;"",VLOOKUP(J2,Freeway_Zone_Link_Mapping!$A:$C,3,FALSE),"")</f>
        <v/>
      </c>
      <c r="K1" s="4">
        <f>IF(VLOOKUP(K2,Freeway_Zone_Link_Mapping!$A:$C,3,FALSE)&lt;&gt;"",VLOOKUP(K2,Freeway_Zone_Link_Mapping!$A:$C,3,FALSE),"")</f>
        <v>321</v>
      </c>
      <c r="L1" s="4" t="str">
        <f>IF(VLOOKUP(L2,Freeway_Zone_Link_Mapping!$A:$C,3,FALSE)&lt;&gt;"",VLOOKUP(L2,Freeway_Zone_Link_Mapping!$A:$C,3,FALSE),"")</f>
        <v/>
      </c>
      <c r="M1" s="4">
        <f>IF(VLOOKUP(M2,Freeway_Zone_Link_Mapping!$A:$C,3,FALSE)&lt;&gt;"",VLOOKUP(M2,Freeway_Zone_Link_Mapping!$A:$C,3,FALSE),"")</f>
        <v>323</v>
      </c>
      <c r="N1" s="4">
        <f>IF(VLOOKUP(N2,Freeway_Zone_Link_Mapping!$A:$C,3,FALSE)&lt;&gt;"",VLOOKUP(N2,Freeway_Zone_Link_Mapping!$A:$C,3,FALSE),"")</f>
        <v>43</v>
      </c>
      <c r="O1" s="4" t="str">
        <f>IF(VLOOKUP(O2,Freeway_Zone_Link_Mapping!$A:$C,3,FALSE)&lt;&gt;"",VLOOKUP(O2,Freeway_Zone_Link_Mapping!$A:$C,3,FALSE),"")</f>
        <v/>
      </c>
      <c r="P1" s="4">
        <f>IF(VLOOKUP(P2,Freeway_Zone_Link_Mapping!$A:$C,3,FALSE)&lt;&gt;"",VLOOKUP(P2,Freeway_Zone_Link_Mapping!$A:$C,3,FALSE),"")</f>
        <v>190</v>
      </c>
      <c r="Q1" s="4" t="str">
        <f>IF(VLOOKUP(Q2,Freeway_Zone_Link_Mapping!$A:$C,3,FALSE)&lt;&gt;"",VLOOKUP(Q2,Freeway_Zone_Link_Mapping!$A:$C,3,FALSE),"")</f>
        <v/>
      </c>
      <c r="R1" s="4" t="str">
        <f>IF(VLOOKUP(R2,Freeway_Zone_Link_Mapping!$A:$C,3,FALSE)&lt;&gt;"",VLOOKUP(R2,Freeway_Zone_Link_Mapping!$A:$C,3,FALSE),"")</f>
        <v/>
      </c>
      <c r="S1" s="4">
        <f>IF(VLOOKUP(S2,Freeway_Zone_Link_Mapping!$A:$C,3,FALSE)&lt;&gt;"",VLOOKUP(S2,Freeway_Zone_Link_Mapping!$A:$C,3,FALSE),"")</f>
        <v>10228</v>
      </c>
      <c r="T1" s="4">
        <f>IF(VLOOKUP(T2,Freeway_Zone_Link_Mapping!$A:$C,3,FALSE)&lt;&gt;"",VLOOKUP(T2,Freeway_Zone_Link_Mapping!$A:$C,3,FALSE),"")</f>
        <v>10619</v>
      </c>
      <c r="U1" s="4" t="str">
        <f>IF(VLOOKUP(U2,Freeway_Zone_Link_Mapping!$A:$C,3,FALSE)&lt;&gt;"",VLOOKUP(U2,Freeway_Zone_Link_Mapping!$A:$C,3,FALSE),"")</f>
        <v/>
      </c>
      <c r="V1" s="4">
        <f>IF(VLOOKUP(V2,Freeway_Zone_Link_Mapping!$A:$C,3,FALSE)&lt;&gt;"",VLOOKUP(V2,Freeway_Zone_Link_Mapping!$A:$C,3,FALSE),"")</f>
        <v>10290</v>
      </c>
      <c r="W1" s="4" t="str">
        <f>IF(VLOOKUP(W2,Freeway_Zone_Link_Mapping!$A:$C,3,FALSE)&lt;&gt;"",VLOOKUP(W2,Freeway_Zone_Link_Mapping!$A:$C,3,FALSE),"")</f>
        <v/>
      </c>
      <c r="X1" s="4">
        <f>IF(VLOOKUP(X2,Freeway_Zone_Link_Mapping!$A:$C,3,FALSE)&lt;&gt;"",VLOOKUP(X2,Freeway_Zone_Link_Mapping!$A:$C,3,FALSE),"")</f>
        <v>10664</v>
      </c>
      <c r="Y1" s="4" t="str">
        <f>IF(VLOOKUP(Y2,Freeway_Zone_Link_Mapping!$A:$C,3,FALSE)&lt;&gt;"",VLOOKUP(Y2,Freeway_Zone_Link_Mapping!$A:$C,3,FALSE),"")</f>
        <v/>
      </c>
      <c r="Z1" s="4">
        <f>IF(VLOOKUP(Z2,Freeway_Zone_Link_Mapping!$A:$C,3,FALSE)&lt;&gt;"",VLOOKUP(Z2,Freeway_Zone_Link_Mapping!$A:$C,3,FALSE),"")</f>
        <v>201</v>
      </c>
      <c r="AA1" s="4">
        <f>IF(VLOOKUP(AA2,Freeway_Zone_Link_Mapping!$A:$C,3,FALSE)&lt;&gt;"",VLOOKUP(AA2,Freeway_Zone_Link_Mapping!$A:$C,3,FALSE),"")</f>
        <v>193</v>
      </c>
      <c r="AB1" s="4">
        <f>IF(VLOOKUP(AB2,Freeway_Zone_Link_Mapping!$A:$C,3,FALSE)&lt;&gt;"",VLOOKUP(AB2,Freeway_Zone_Link_Mapping!$A:$C,3,FALSE),"")</f>
        <v>369</v>
      </c>
      <c r="AC1" s="4" t="str">
        <f>IF(VLOOKUP(AC2,Freeway_Zone_Link_Mapping!$A:$C,3,FALSE)&lt;&gt;"",VLOOKUP(AC2,Freeway_Zone_Link_Mapping!$A:$C,3,FALSE),"")</f>
        <v/>
      </c>
      <c r="AD1" s="4" t="str">
        <f>IF(VLOOKUP(AD2,Freeway_Zone_Link_Mapping!$A:$C,3,FALSE)&lt;&gt;"",VLOOKUP(AD2,Freeway_Zone_Link_Mapping!$A:$C,3,FALSE),"")</f>
        <v/>
      </c>
      <c r="AE1" s="4">
        <f>IF(VLOOKUP(AE2,Freeway_Zone_Link_Mapping!$A:$C,3,FALSE)&lt;&gt;"",VLOOKUP(AE2,Freeway_Zone_Link_Mapping!$A:$C,3,FALSE),"")</f>
        <v>380</v>
      </c>
      <c r="AF1" s="4">
        <f>IF(VLOOKUP(AF2,Freeway_Zone_Link_Mapping!$A:$C,3,FALSE)&lt;&gt;"",VLOOKUP(AF2,Freeway_Zone_Link_Mapping!$A:$C,3,FALSE),"")</f>
        <v>401</v>
      </c>
      <c r="AG1" s="4">
        <f>IF(VLOOKUP(AG2,Freeway_Zone_Link_Mapping!$A:$C,3,FALSE)&lt;&gt;"",VLOOKUP(AG2,Freeway_Zone_Link_Mapping!$A:$C,3,FALSE),"")</f>
        <v>392</v>
      </c>
      <c r="AH1" s="4" t="str">
        <f>IF(VLOOKUP(AH2,Freeway_Zone_Link_Mapping!$A:$C,3,FALSE)&lt;&gt;"",VLOOKUP(AH2,Freeway_Zone_Link_Mapping!$A:$C,3,FALSE),"")</f>
        <v/>
      </c>
      <c r="AI1" s="4">
        <f>IF(VLOOKUP(AI2,Freeway_Zone_Link_Mapping!$A:$C,3,FALSE)&lt;&gt;"",VLOOKUP(AI2,Freeway_Zone_Link_Mapping!$A:$C,3,FALSE),"")</f>
        <v>61</v>
      </c>
      <c r="AJ1" s="4">
        <f>IF(VLOOKUP(AJ2,Freeway_Zone_Link_Mapping!$A:$C,3,FALSE)&lt;&gt;"",VLOOKUP(AJ2,Freeway_Zone_Link_Mapping!$A:$C,3,FALSE),"")</f>
        <v>20040</v>
      </c>
      <c r="AK1" s="4">
        <f>IF(VLOOKUP(AK2,Freeway_Zone_Link_Mapping!$A:$C,3,FALSE)&lt;&gt;"",VLOOKUP(AK2,Freeway_Zone_Link_Mapping!$A:$C,3,FALSE),"")</f>
        <v>466</v>
      </c>
      <c r="AL1" s="4">
        <f>IF(VLOOKUP(AL2,Freeway_Zone_Link_Mapping!$A:$C,3,FALSE)&lt;&gt;"",VLOOKUP(AL2,Freeway_Zone_Link_Mapping!$A:$C,3,FALSE),"")</f>
        <v>453</v>
      </c>
      <c r="AM1" s="4">
        <f>IF(VLOOKUP(AM2,Freeway_Zone_Link_Mapping!$A:$C,3,FALSE)&lt;&gt;"",VLOOKUP(AM2,Freeway_Zone_Link_Mapping!$A:$C,3,FALSE),"")</f>
        <v>28280063</v>
      </c>
      <c r="AN1" s="4">
        <f>IF(VLOOKUP(AN2,Freeway_Zone_Link_Mapping!$A:$C,3,FALSE)&lt;&gt;"",VLOOKUP(AN2,Freeway_Zone_Link_Mapping!$A:$C,3,FALSE),"")</f>
        <v>28280070</v>
      </c>
      <c r="AO1" s="4" t="str">
        <f>IF(VLOOKUP(AO2,Freeway_Zone_Link_Mapping!$A:$C,3,FALSE)&lt;&gt;"",VLOOKUP(AO2,Freeway_Zone_Link_Mapping!$A:$C,3,FALSE),"")</f>
        <v/>
      </c>
      <c r="AP1" s="4" t="str">
        <f>IF(VLOOKUP(AP2,Freeway_Zone_Link_Mapping!$A:$C,3,FALSE)&lt;&gt;"",VLOOKUP(AP2,Freeway_Zone_Link_Mapping!$A:$C,3,FALSE),"")</f>
        <v/>
      </c>
      <c r="AQ1" s="4">
        <f>IF(VLOOKUP(AQ2,Freeway_Zone_Link_Mapping!$A:$C,3,FALSE)&lt;&gt;"",VLOOKUP(AQ2,Freeway_Zone_Link_Mapping!$A:$C,3,FALSE),"")</f>
        <v>434</v>
      </c>
      <c r="AR1" s="4">
        <f>IF(VLOOKUP(AR2,Freeway_Zone_Link_Mapping!$A:$C,3,FALSE)&lt;&gt;"",VLOOKUP(AR2,Freeway_Zone_Link_Mapping!$A:$C,3,FALSE),"")</f>
        <v>42</v>
      </c>
      <c r="AS1" s="4">
        <f>IF(VLOOKUP(AS2,Freeway_Zone_Link_Mapping!$A:$C,3,FALSE)&lt;&gt;"",VLOOKUP(AS2,Freeway_Zone_Link_Mapping!$A:$C,3,FALSE),"")</f>
        <v>460</v>
      </c>
      <c r="AT1" s="4">
        <f>IF(VLOOKUP(AT2,Freeway_Zone_Link_Mapping!$A:$C,3,FALSE)&lt;&gt;"",VLOOKUP(AT2,Freeway_Zone_Link_Mapping!$A:$C,3,FALSE),"")</f>
        <v>31</v>
      </c>
      <c r="AU1" s="4">
        <f>IF(VLOOKUP(AU2,Freeway_Zone_Link_Mapping!$A:$C,3,FALSE)&lt;&gt;"",VLOOKUP(AU2,Freeway_Zone_Link_Mapping!$A:$C,3,FALSE),"")</f>
        <v>28280069</v>
      </c>
      <c r="AV1" s="4">
        <f>IF(VLOOKUP(AV2,Freeway_Zone_Link_Mapping!$A:$C,3,FALSE)&lt;&gt;"",VLOOKUP(AV2,Freeway_Zone_Link_Mapping!$A:$C,3,FALSE),"")</f>
        <v>447</v>
      </c>
      <c r="AW1" s="4">
        <f>IF(VLOOKUP(AW2,Freeway_Zone_Link_Mapping!$A:$C,3,FALSE)&lt;&gt;"",VLOOKUP(AW2,Freeway_Zone_Link_Mapping!$A:$C,3,FALSE),"")</f>
        <v>523</v>
      </c>
      <c r="AX1" s="4">
        <f>IF(VLOOKUP(AX2,Freeway_Zone_Link_Mapping!$A:$C,3,FALSE)&lt;&gt;"",VLOOKUP(AX2,Freeway_Zone_Link_Mapping!$A:$C,3,FALSE),"")</f>
        <v>522</v>
      </c>
      <c r="AY1" s="4">
        <f>IF(VLOOKUP(AY2,Freeway_Zone_Link_Mapping!$A:$C,3,FALSE)&lt;&gt;"",VLOOKUP(AY2,Freeway_Zone_Link_Mapping!$A:$C,3,FALSE),"")</f>
        <v>42</v>
      </c>
    </row>
    <row r="2" spans="1:51" x14ac:dyDescent="0.25">
      <c r="A2" s="4"/>
      <c r="B2" s="4"/>
      <c r="C2" s="4">
        <v>12</v>
      </c>
      <c r="D2" s="4">
        <v>13</v>
      </c>
      <c r="E2" s="4">
        <v>14</v>
      </c>
      <c r="F2" s="4">
        <v>15</v>
      </c>
      <c r="G2" s="4">
        <v>24</v>
      </c>
      <c r="H2" s="4">
        <v>28</v>
      </c>
      <c r="I2" s="4">
        <v>29</v>
      </c>
      <c r="J2" s="4">
        <v>30</v>
      </c>
      <c r="K2" s="4">
        <v>31</v>
      </c>
      <c r="L2" s="4">
        <v>32</v>
      </c>
      <c r="M2" s="4">
        <v>33</v>
      </c>
      <c r="N2" s="4">
        <v>34</v>
      </c>
      <c r="O2" s="4">
        <v>35</v>
      </c>
      <c r="P2" s="4">
        <v>36</v>
      </c>
      <c r="Q2" s="4">
        <v>37</v>
      </c>
      <c r="R2" s="4">
        <v>38</v>
      </c>
      <c r="S2" s="4">
        <v>39</v>
      </c>
      <c r="T2" s="4">
        <v>40</v>
      </c>
      <c r="U2" s="4">
        <v>41</v>
      </c>
      <c r="V2" s="4">
        <v>42</v>
      </c>
      <c r="W2" s="4">
        <v>43</v>
      </c>
      <c r="X2" s="4">
        <v>44</v>
      </c>
      <c r="Y2" s="4">
        <v>45</v>
      </c>
      <c r="Z2" s="4">
        <v>46</v>
      </c>
      <c r="AA2" s="4">
        <v>47</v>
      </c>
      <c r="AB2" s="4">
        <v>48</v>
      </c>
      <c r="AC2" s="4">
        <v>49</v>
      </c>
      <c r="AD2" s="4">
        <v>50</v>
      </c>
      <c r="AE2" s="4">
        <v>51</v>
      </c>
      <c r="AF2" s="4">
        <v>52</v>
      </c>
      <c r="AG2" s="4">
        <v>53</v>
      </c>
      <c r="AH2" s="4">
        <v>54</v>
      </c>
      <c r="AI2" s="4">
        <v>55</v>
      </c>
      <c r="AJ2" s="4">
        <v>56</v>
      </c>
      <c r="AK2" s="4">
        <v>57</v>
      </c>
      <c r="AL2" s="4">
        <v>58</v>
      </c>
      <c r="AM2" s="4">
        <v>59</v>
      </c>
      <c r="AN2" s="4">
        <v>60</v>
      </c>
      <c r="AO2" s="4">
        <v>61</v>
      </c>
      <c r="AP2" s="4">
        <v>62</v>
      </c>
      <c r="AQ2" s="4">
        <v>63</v>
      </c>
      <c r="AR2" s="4">
        <v>64</v>
      </c>
      <c r="AS2" s="20">
        <v>66</v>
      </c>
      <c r="AT2" s="20">
        <v>67</v>
      </c>
      <c r="AU2" s="20">
        <v>68</v>
      </c>
      <c r="AV2" s="20">
        <v>69</v>
      </c>
      <c r="AW2" s="20">
        <v>70</v>
      </c>
      <c r="AX2" s="20">
        <v>71</v>
      </c>
      <c r="AY2" s="20">
        <v>72</v>
      </c>
    </row>
    <row r="3" spans="1:51" x14ac:dyDescent="0.25">
      <c r="A3" s="4">
        <f>IF(VLOOKUP(B3,Freeway_Zone_Link_Mapping!$A:$C,2,FALSE)&lt;&gt;"",VLOOKUP(B3,Freeway_Zone_Link_Mapping!$A:$C,2,FALSE),"")</f>
        <v>105920028</v>
      </c>
      <c r="B3" s="4">
        <v>12</v>
      </c>
      <c r="C3">
        <f>VISUM_Freeway_OD!C3-Freeway_Truck!C3-Freeway_HOT!C3</f>
        <v>0</v>
      </c>
      <c r="D3">
        <f>VISUM_Freeway_OD!D3-Freeway_Truck!D3-Freeway_HOT!D3</f>
        <v>0</v>
      </c>
      <c r="E3">
        <f>VISUM_Freeway_OD!E3-Freeway_Truck!E3-Freeway_HOT!E3</f>
        <v>0</v>
      </c>
      <c r="F3">
        <f>VISUM_Freeway_OD!F3-Freeway_Truck!F3-Freeway_HOT!F3</f>
        <v>0</v>
      </c>
      <c r="G3">
        <f>VISUM_Freeway_OD!G3-Freeway_Truck!G3-Freeway_HOT!G3</f>
        <v>0.16384499999999999</v>
      </c>
      <c r="H3">
        <f>VISUM_Freeway_OD!H3-Freeway_Truck!H3-Freeway_HOT!H3</f>
        <v>5.2854960499999999</v>
      </c>
      <c r="I3">
        <f>VISUM_Freeway_OD!I3-Freeway_Truck!I3-Freeway_HOT!I3</f>
        <v>0</v>
      </c>
      <c r="J3">
        <f>VISUM_Freeway_OD!J3-Freeway_Truck!J3-Freeway_HOT!J3</f>
        <v>0</v>
      </c>
      <c r="K3">
        <f>VISUM_Freeway_OD!K3-Freeway_Truck!K3-Freeway_HOT!K3</f>
        <v>5.5319100000000001E-3</v>
      </c>
      <c r="L3">
        <f>VISUM_Freeway_OD!L3-Freeway_Truck!L3-Freeway_HOT!L3</f>
        <v>0</v>
      </c>
      <c r="M3">
        <f>VISUM_Freeway_OD!M3-Freeway_Truck!M3-Freeway_HOT!M3</f>
        <v>3.0445389999999999E-2</v>
      </c>
      <c r="N3">
        <f>VISUM_Freeway_OD!N3-Freeway_Truck!N3-Freeway_HOT!N3</f>
        <v>149.85890161</v>
      </c>
      <c r="O3">
        <f>VISUM_Freeway_OD!O3-Freeway_Truck!O3-Freeway_HOT!O3</f>
        <v>0</v>
      </c>
      <c r="P3">
        <f>VISUM_Freeway_OD!P3-Freeway_Truck!P3-Freeway_HOT!P3</f>
        <v>0</v>
      </c>
      <c r="Q3">
        <f>VISUM_Freeway_OD!Q3-Freeway_Truck!Q3-Freeway_HOT!Q3</f>
        <v>0</v>
      </c>
      <c r="R3">
        <f>VISUM_Freeway_OD!R3-Freeway_Truck!R3-Freeway_HOT!R3</f>
        <v>0</v>
      </c>
      <c r="S3">
        <f>VISUM_Freeway_OD!S3-Freeway_Truck!S3-Freeway_HOT!S3</f>
        <v>24.404570469999999</v>
      </c>
      <c r="T3">
        <f>VISUM_Freeway_OD!T3-Freeway_Truck!T3-Freeway_HOT!T3</f>
        <v>604.05438850999997</v>
      </c>
      <c r="U3">
        <f>VISUM_Freeway_OD!U3-Freeway_Truck!U3-Freeway_HOT!U3</f>
        <v>0</v>
      </c>
      <c r="V3">
        <f>VISUM_Freeway_OD!V3-Freeway_Truck!V3-Freeway_HOT!V3</f>
        <v>0</v>
      </c>
      <c r="W3">
        <f>VISUM_Freeway_OD!W3-Freeway_Truck!W3-Freeway_HOT!W3</f>
        <v>0</v>
      </c>
      <c r="X3">
        <f>VISUM_Freeway_OD!X3-Freeway_Truck!X3-Freeway_HOT!X3</f>
        <v>0</v>
      </c>
      <c r="Y3">
        <f>VISUM_Freeway_OD!Y3-Freeway_Truck!Y3-Freeway_HOT!Y3</f>
        <v>0</v>
      </c>
      <c r="Z3">
        <f>VISUM_Freeway_OD!Z3-Freeway_Truck!Z3-Freeway_HOT!Z3</f>
        <v>0</v>
      </c>
      <c r="AA3">
        <f>VISUM_Freeway_OD!AA3-Freeway_Truck!AA3-Freeway_HOT!AA3</f>
        <v>0</v>
      </c>
      <c r="AB3">
        <f>VISUM_Freeway_OD!AB3-Freeway_Truck!AB3-Freeway_HOT!AB3</f>
        <v>0</v>
      </c>
      <c r="AC3">
        <f>VISUM_Freeway_OD!AC3-Freeway_Truck!AC3-Freeway_HOT!AC3</f>
        <v>0</v>
      </c>
      <c r="AD3">
        <f>VISUM_Freeway_OD!AD3-Freeway_Truck!AD3-Freeway_HOT!AD3</f>
        <v>0</v>
      </c>
      <c r="AE3">
        <f>VISUM_Freeway_OD!AE3-Freeway_Truck!AE3-Freeway_HOT!AE3</f>
        <v>4.6754000000000001E-4</v>
      </c>
      <c r="AF3">
        <f>VISUM_Freeway_OD!AF3-Freeway_Truck!AF3-Freeway_HOT!AF3</f>
        <v>0</v>
      </c>
      <c r="AG3">
        <f>VISUM_Freeway_OD!AG3-Freeway_Truck!AG3-Freeway_HOT!AG3</f>
        <v>0</v>
      </c>
      <c r="AH3">
        <f>VISUM_Freeway_OD!AH3-Freeway_Truck!AH3-Freeway_HOT!AH3</f>
        <v>0</v>
      </c>
      <c r="AI3">
        <f>VISUM_Freeway_OD!AI3-Freeway_Truck!AI3-Freeway_HOT!AI3</f>
        <v>0</v>
      </c>
      <c r="AJ3">
        <f>VISUM_Freeway_OD!AJ3-Freeway_Truck!AJ3-Freeway_HOT!AJ3</f>
        <v>0</v>
      </c>
      <c r="AK3">
        <f>VISUM_Freeway_OD!AK3-Freeway_Truck!AK3-Freeway_HOT!AK3</f>
        <v>11.49727129</v>
      </c>
      <c r="AL3">
        <f>VISUM_Freeway_OD!AL3-Freeway_Truck!AL3-Freeway_HOT!AL3</f>
        <v>0</v>
      </c>
      <c r="AM3">
        <f>VISUM_Freeway_OD!AM3-Freeway_Truck!AM3-Freeway_HOT!AM3</f>
        <v>0</v>
      </c>
      <c r="AN3">
        <f>VISUM_Freeway_OD!AN3-Freeway_Truck!AN3-Freeway_HOT!AN3</f>
        <v>0</v>
      </c>
      <c r="AO3">
        <f>VISUM_Freeway_OD!AO3-Freeway_Truck!AO3-Freeway_HOT!AO3</f>
        <v>0</v>
      </c>
      <c r="AP3">
        <f>VISUM_Freeway_OD!AP3-Freeway_Truck!AP3-Freeway_HOT!AP3</f>
        <v>0</v>
      </c>
      <c r="AQ3">
        <f>VISUM_Freeway_OD!AQ3-Freeway_Truck!AQ3-Freeway_HOT!AQ3</f>
        <v>0</v>
      </c>
      <c r="AR3">
        <f>VISUM_Freeway_OD!AR3-Freeway_Truck!AR3-Freeway_HOT!AR3</f>
        <v>0</v>
      </c>
      <c r="AS3">
        <f>VISUM_Freeway_OD!AS3-Freeway_Truck!AS3-Freeway_HOT!AS3</f>
        <v>0</v>
      </c>
      <c r="AT3">
        <f>VISUM_Freeway_OD!AT3-Freeway_Truck!AT3-Freeway_HOT!AT3</f>
        <v>0</v>
      </c>
      <c r="AU3">
        <f>VISUM_Freeway_OD!AU3-Freeway_Truck!AU3-Freeway_HOT!AU3</f>
        <v>0</v>
      </c>
      <c r="AV3">
        <f>VISUM_Freeway_OD!AV3-Freeway_Truck!AV3-Freeway_HOT!AV3</f>
        <v>0</v>
      </c>
      <c r="AW3">
        <f>VISUM_Freeway_OD!AW3-Freeway_Truck!AW3-Freeway_HOT!AW3</f>
        <v>0</v>
      </c>
      <c r="AX3">
        <f>VISUM_Freeway_OD!AX3-Freeway_Truck!AX3-Freeway_HOT!AX3</f>
        <v>0</v>
      </c>
      <c r="AY3">
        <f>VISUM_Freeway_OD!AY3-Freeway_Truck!AY3-Freeway_HOT!AY3</f>
        <v>0</v>
      </c>
    </row>
    <row r="4" spans="1:51" x14ac:dyDescent="0.25">
      <c r="A4" s="4">
        <f>IF(VLOOKUP(B4,Freeway_Zone_Link_Mapping!$A:$C,2,FALSE)&lt;&gt;"",VLOOKUP(B4,Freeway_Zone_Link_Mapping!$A:$C,2,FALSE),"")</f>
        <v>105920065</v>
      </c>
      <c r="B4" s="4">
        <v>13</v>
      </c>
      <c r="C4">
        <f>VISUM_Freeway_OD!C4-Freeway_Truck!C4-Freeway_HOT!C4</f>
        <v>0</v>
      </c>
      <c r="D4">
        <f>VISUM_Freeway_OD!D4-Freeway_Truck!D4-Freeway_HOT!D4</f>
        <v>0</v>
      </c>
      <c r="E4">
        <f>VISUM_Freeway_OD!E4-Freeway_Truck!E4-Freeway_HOT!E4</f>
        <v>97.015087379999997</v>
      </c>
      <c r="F4">
        <f>VISUM_Freeway_OD!F4-Freeway_Truck!F4-Freeway_HOT!F4</f>
        <v>0</v>
      </c>
      <c r="G4">
        <f>VISUM_Freeway_OD!G4-Freeway_Truck!G4-Freeway_HOT!G4</f>
        <v>839.62167199999999</v>
      </c>
      <c r="H4">
        <f>VISUM_Freeway_OD!H4-Freeway_Truck!H4-Freeway_HOT!H4</f>
        <v>3755.24528005</v>
      </c>
      <c r="I4">
        <f>VISUM_Freeway_OD!I4-Freeway_Truck!I4-Freeway_HOT!I4</f>
        <v>0</v>
      </c>
      <c r="J4">
        <f>VISUM_Freeway_OD!J4-Freeway_Truck!J4-Freeway_HOT!J4</f>
        <v>0</v>
      </c>
      <c r="K4">
        <f>VISUM_Freeway_OD!K4-Freeway_Truck!K4-Freeway_HOT!K4</f>
        <v>40.581036400000002</v>
      </c>
      <c r="L4">
        <f>VISUM_Freeway_OD!L4-Freeway_Truck!L4-Freeway_HOT!L4</f>
        <v>0</v>
      </c>
      <c r="M4">
        <f>VISUM_Freeway_OD!M4-Freeway_Truck!M4-Freeway_HOT!M4</f>
        <v>105.66726912999999</v>
      </c>
      <c r="N4">
        <f>VISUM_Freeway_OD!N4-Freeway_Truck!N4-Freeway_HOT!N4</f>
        <v>937.02819280000017</v>
      </c>
      <c r="O4">
        <f>VISUM_Freeway_OD!O4-Freeway_Truck!O4-Freeway_HOT!O4</f>
        <v>0</v>
      </c>
      <c r="P4">
        <f>VISUM_Freeway_OD!P4-Freeway_Truck!P4-Freeway_HOT!P4</f>
        <v>0</v>
      </c>
      <c r="Q4">
        <f>VISUM_Freeway_OD!Q4-Freeway_Truck!Q4-Freeway_HOT!Q4</f>
        <v>0</v>
      </c>
      <c r="R4">
        <f>VISUM_Freeway_OD!R4-Freeway_Truck!R4-Freeway_HOT!R4</f>
        <v>0</v>
      </c>
      <c r="S4">
        <f>VISUM_Freeway_OD!S4-Freeway_Truck!S4-Freeway_HOT!S4</f>
        <v>144.58926409</v>
      </c>
      <c r="T4">
        <f>VISUM_Freeway_OD!T4-Freeway_Truck!T4-Freeway_HOT!T4</f>
        <v>253.26772168000002</v>
      </c>
      <c r="U4">
        <f>VISUM_Freeway_OD!U4-Freeway_Truck!U4-Freeway_HOT!U4</f>
        <v>0</v>
      </c>
      <c r="V4">
        <f>VISUM_Freeway_OD!V4-Freeway_Truck!V4-Freeway_HOT!V4</f>
        <v>0</v>
      </c>
      <c r="W4">
        <f>VISUM_Freeway_OD!W4-Freeway_Truck!W4-Freeway_HOT!W4</f>
        <v>0</v>
      </c>
      <c r="X4">
        <f>VISUM_Freeway_OD!X4-Freeway_Truck!X4-Freeway_HOT!X4</f>
        <v>0</v>
      </c>
      <c r="Y4">
        <f>VISUM_Freeway_OD!Y4-Freeway_Truck!Y4-Freeway_HOT!Y4</f>
        <v>0</v>
      </c>
      <c r="Z4">
        <f>VISUM_Freeway_OD!Z4-Freeway_Truck!Z4-Freeway_HOT!Z4</f>
        <v>0</v>
      </c>
      <c r="AA4">
        <f>VISUM_Freeway_OD!AA4-Freeway_Truck!AA4-Freeway_HOT!AA4</f>
        <v>0</v>
      </c>
      <c r="AB4">
        <f>VISUM_Freeway_OD!AB4-Freeway_Truck!AB4-Freeway_HOT!AB4</f>
        <v>256.18689497000003</v>
      </c>
      <c r="AC4">
        <f>VISUM_Freeway_OD!AC4-Freeway_Truck!AC4-Freeway_HOT!AC4</f>
        <v>0</v>
      </c>
      <c r="AD4">
        <f>VISUM_Freeway_OD!AD4-Freeway_Truck!AD4-Freeway_HOT!AD4</f>
        <v>0</v>
      </c>
      <c r="AE4">
        <f>VISUM_Freeway_OD!AE4-Freeway_Truck!AE4-Freeway_HOT!AE4</f>
        <v>4.0556931900000004</v>
      </c>
      <c r="AF4">
        <f>VISUM_Freeway_OD!AF4-Freeway_Truck!AF4-Freeway_HOT!AF4</f>
        <v>0</v>
      </c>
      <c r="AG4">
        <f>VISUM_Freeway_OD!AG4-Freeway_Truck!AG4-Freeway_HOT!AG4</f>
        <v>0</v>
      </c>
      <c r="AH4">
        <f>VISUM_Freeway_OD!AH4-Freeway_Truck!AH4-Freeway_HOT!AH4</f>
        <v>0</v>
      </c>
      <c r="AI4">
        <f>VISUM_Freeway_OD!AI4-Freeway_Truck!AI4-Freeway_HOT!AI4</f>
        <v>0</v>
      </c>
      <c r="AJ4">
        <f>VISUM_Freeway_OD!AJ4-Freeway_Truck!AJ4-Freeway_HOT!AJ4</f>
        <v>0</v>
      </c>
      <c r="AK4">
        <f>VISUM_Freeway_OD!AK4-Freeway_Truck!AK4-Freeway_HOT!AK4</f>
        <v>508.60215446000007</v>
      </c>
      <c r="AL4">
        <f>VISUM_Freeway_OD!AL4-Freeway_Truck!AL4-Freeway_HOT!AL4</f>
        <v>0</v>
      </c>
      <c r="AM4">
        <f>VISUM_Freeway_OD!AM4-Freeway_Truck!AM4-Freeway_HOT!AM4</f>
        <v>0</v>
      </c>
      <c r="AN4">
        <f>VISUM_Freeway_OD!AN4-Freeway_Truck!AN4-Freeway_HOT!AN4</f>
        <v>0</v>
      </c>
      <c r="AO4">
        <f>VISUM_Freeway_OD!AO4-Freeway_Truck!AO4-Freeway_HOT!AO4</f>
        <v>0</v>
      </c>
      <c r="AP4">
        <f>VISUM_Freeway_OD!AP4-Freeway_Truck!AP4-Freeway_HOT!AP4</f>
        <v>0</v>
      </c>
      <c r="AQ4">
        <f>VISUM_Freeway_OD!AQ4-Freeway_Truck!AQ4-Freeway_HOT!AQ4</f>
        <v>0</v>
      </c>
      <c r="AR4">
        <f>VISUM_Freeway_OD!AR4-Freeway_Truck!AR4-Freeway_HOT!AR4</f>
        <v>20.47088776</v>
      </c>
      <c r="AS4">
        <f>VISUM_Freeway_OD!AS4-Freeway_Truck!AS4-Freeway_HOT!AS4</f>
        <v>0</v>
      </c>
      <c r="AT4">
        <f>VISUM_Freeway_OD!AT4-Freeway_Truck!AT4-Freeway_HOT!AT4</f>
        <v>0</v>
      </c>
      <c r="AU4">
        <f>VISUM_Freeway_OD!AU4-Freeway_Truck!AU4-Freeway_HOT!AU4</f>
        <v>0</v>
      </c>
      <c r="AV4">
        <f>VISUM_Freeway_OD!AV4-Freeway_Truck!AV4-Freeway_HOT!AV4</f>
        <v>0</v>
      </c>
      <c r="AW4">
        <f>VISUM_Freeway_OD!AW4-Freeway_Truck!AW4-Freeway_HOT!AW4</f>
        <v>0</v>
      </c>
      <c r="AX4">
        <f>VISUM_Freeway_OD!AX4-Freeway_Truck!AX4-Freeway_HOT!AX4</f>
        <v>0</v>
      </c>
      <c r="AY4">
        <f>VISUM_Freeway_OD!AY4-Freeway_Truck!AY4-Freeway_HOT!AY4</f>
        <v>0</v>
      </c>
    </row>
    <row r="5" spans="1:51" x14ac:dyDescent="0.25">
      <c r="A5" s="4">
        <f>IF(VLOOKUP(B5,Freeway_Zone_Link_Mapping!$A:$C,2,FALSE)&lt;&gt;"",VLOOKUP(B5,Freeway_Zone_Link_Mapping!$A:$C,2,FALSE),"")</f>
        <v>105920026</v>
      </c>
      <c r="B5" s="4">
        <v>14</v>
      </c>
      <c r="C5">
        <f>VISUM_Freeway_OD!C5-Freeway_Truck!C5-Freeway_HOT!C5</f>
        <v>0</v>
      </c>
      <c r="D5">
        <f>VISUM_Freeway_OD!D5-Freeway_Truck!D5-Freeway_HOT!D5</f>
        <v>0</v>
      </c>
      <c r="E5">
        <f>VISUM_Freeway_OD!E5-Freeway_Truck!E5-Freeway_HOT!E5</f>
        <v>0</v>
      </c>
      <c r="F5">
        <f>VISUM_Freeway_OD!F5-Freeway_Truck!F5-Freeway_HOT!F5</f>
        <v>106.73490739</v>
      </c>
      <c r="G5">
        <f>VISUM_Freeway_OD!G5-Freeway_Truck!G5-Freeway_HOT!G5</f>
        <v>50.624927</v>
      </c>
      <c r="H5">
        <f>VISUM_Freeway_OD!H5-Freeway_Truck!H5-Freeway_HOT!H5</f>
        <v>68.570189490000004</v>
      </c>
      <c r="I5">
        <f>VISUM_Freeway_OD!I5-Freeway_Truck!I5-Freeway_HOT!I5</f>
        <v>0</v>
      </c>
      <c r="J5">
        <f>VISUM_Freeway_OD!J5-Freeway_Truck!J5-Freeway_HOT!J5</f>
        <v>0</v>
      </c>
      <c r="K5">
        <f>VISUM_Freeway_OD!K5-Freeway_Truck!K5-Freeway_HOT!K5</f>
        <v>1.10097716</v>
      </c>
      <c r="L5">
        <f>VISUM_Freeway_OD!L5-Freeway_Truck!L5-Freeway_HOT!L5</f>
        <v>0</v>
      </c>
      <c r="M5">
        <f>VISUM_Freeway_OD!M5-Freeway_Truck!M5-Freeway_HOT!M5</f>
        <v>0.55547340999999995</v>
      </c>
      <c r="N5">
        <f>VISUM_Freeway_OD!N5-Freeway_Truck!N5-Freeway_HOT!N5</f>
        <v>126.12682243999998</v>
      </c>
      <c r="O5">
        <f>VISUM_Freeway_OD!O5-Freeway_Truck!O5-Freeway_HOT!O5</f>
        <v>0</v>
      </c>
      <c r="P5">
        <f>VISUM_Freeway_OD!P5-Freeway_Truck!P5-Freeway_HOT!P5</f>
        <v>0</v>
      </c>
      <c r="Q5">
        <f>VISUM_Freeway_OD!Q5-Freeway_Truck!Q5-Freeway_HOT!Q5</f>
        <v>0</v>
      </c>
      <c r="R5">
        <f>VISUM_Freeway_OD!R5-Freeway_Truck!R5-Freeway_HOT!R5</f>
        <v>0</v>
      </c>
      <c r="S5">
        <f>VISUM_Freeway_OD!S5-Freeway_Truck!S5-Freeway_HOT!S5</f>
        <v>555.44122443000003</v>
      </c>
      <c r="T5">
        <f>VISUM_Freeway_OD!T5-Freeway_Truck!T5-Freeway_HOT!T5</f>
        <v>32.498372689999997</v>
      </c>
      <c r="U5">
        <f>VISUM_Freeway_OD!U5-Freeway_Truck!U5-Freeway_HOT!U5</f>
        <v>0</v>
      </c>
      <c r="V5">
        <f>VISUM_Freeway_OD!V5-Freeway_Truck!V5-Freeway_HOT!V5</f>
        <v>0</v>
      </c>
      <c r="W5">
        <f>VISUM_Freeway_OD!W5-Freeway_Truck!W5-Freeway_HOT!W5</f>
        <v>0</v>
      </c>
      <c r="X5">
        <f>VISUM_Freeway_OD!X5-Freeway_Truck!X5-Freeway_HOT!X5</f>
        <v>0</v>
      </c>
      <c r="Y5">
        <f>VISUM_Freeway_OD!Y5-Freeway_Truck!Y5-Freeway_HOT!Y5</f>
        <v>0</v>
      </c>
      <c r="Z5">
        <f>VISUM_Freeway_OD!Z5-Freeway_Truck!Z5-Freeway_HOT!Z5</f>
        <v>0</v>
      </c>
      <c r="AA5">
        <f>VISUM_Freeway_OD!AA5-Freeway_Truck!AA5-Freeway_HOT!AA5</f>
        <v>0</v>
      </c>
      <c r="AB5">
        <f>VISUM_Freeway_OD!AB5-Freeway_Truck!AB5-Freeway_HOT!AB5</f>
        <v>0</v>
      </c>
      <c r="AC5">
        <f>VISUM_Freeway_OD!AC5-Freeway_Truck!AC5-Freeway_HOT!AC5</f>
        <v>0</v>
      </c>
      <c r="AD5">
        <f>VISUM_Freeway_OD!AD5-Freeway_Truck!AD5-Freeway_HOT!AD5</f>
        <v>0</v>
      </c>
      <c r="AE5">
        <f>VISUM_Freeway_OD!AE5-Freeway_Truck!AE5-Freeway_HOT!AE5</f>
        <v>5.3875739999999998E-2</v>
      </c>
      <c r="AF5">
        <f>VISUM_Freeway_OD!AF5-Freeway_Truck!AF5-Freeway_HOT!AF5</f>
        <v>0</v>
      </c>
      <c r="AG5">
        <f>VISUM_Freeway_OD!AG5-Freeway_Truck!AG5-Freeway_HOT!AG5</f>
        <v>0</v>
      </c>
      <c r="AH5">
        <f>VISUM_Freeway_OD!AH5-Freeway_Truck!AH5-Freeway_HOT!AH5</f>
        <v>0</v>
      </c>
      <c r="AI5">
        <f>VISUM_Freeway_OD!AI5-Freeway_Truck!AI5-Freeway_HOT!AI5</f>
        <v>0</v>
      </c>
      <c r="AJ5">
        <f>VISUM_Freeway_OD!AJ5-Freeway_Truck!AJ5-Freeway_HOT!AJ5</f>
        <v>0</v>
      </c>
      <c r="AK5">
        <f>VISUM_Freeway_OD!AK5-Freeway_Truck!AK5-Freeway_HOT!AK5</f>
        <v>49.117075199999995</v>
      </c>
      <c r="AL5">
        <f>VISUM_Freeway_OD!AL5-Freeway_Truck!AL5-Freeway_HOT!AL5</f>
        <v>0</v>
      </c>
      <c r="AM5">
        <f>VISUM_Freeway_OD!AM5-Freeway_Truck!AM5-Freeway_HOT!AM5</f>
        <v>0</v>
      </c>
      <c r="AN5">
        <f>VISUM_Freeway_OD!AN5-Freeway_Truck!AN5-Freeway_HOT!AN5</f>
        <v>0</v>
      </c>
      <c r="AO5">
        <f>VISUM_Freeway_OD!AO5-Freeway_Truck!AO5-Freeway_HOT!AO5</f>
        <v>0</v>
      </c>
      <c r="AP5">
        <f>VISUM_Freeway_OD!AP5-Freeway_Truck!AP5-Freeway_HOT!AP5</f>
        <v>0</v>
      </c>
      <c r="AQ5">
        <f>VISUM_Freeway_OD!AQ5-Freeway_Truck!AQ5-Freeway_HOT!AQ5</f>
        <v>0</v>
      </c>
      <c r="AR5">
        <f>VISUM_Freeway_OD!AR5-Freeway_Truck!AR5-Freeway_HOT!AR5</f>
        <v>0</v>
      </c>
      <c r="AS5">
        <f>VISUM_Freeway_OD!AS5-Freeway_Truck!AS5-Freeway_HOT!AS5</f>
        <v>0</v>
      </c>
      <c r="AT5">
        <f>VISUM_Freeway_OD!AT5-Freeway_Truck!AT5-Freeway_HOT!AT5</f>
        <v>0</v>
      </c>
      <c r="AU5">
        <f>VISUM_Freeway_OD!AU5-Freeway_Truck!AU5-Freeway_HOT!AU5</f>
        <v>0</v>
      </c>
      <c r="AV5">
        <f>VISUM_Freeway_OD!AV5-Freeway_Truck!AV5-Freeway_HOT!AV5</f>
        <v>0</v>
      </c>
      <c r="AW5">
        <f>VISUM_Freeway_OD!AW5-Freeway_Truck!AW5-Freeway_HOT!AW5</f>
        <v>0</v>
      </c>
      <c r="AX5">
        <f>VISUM_Freeway_OD!AX5-Freeway_Truck!AX5-Freeway_HOT!AX5</f>
        <v>0</v>
      </c>
      <c r="AY5">
        <f>VISUM_Freeway_OD!AY5-Freeway_Truck!AY5-Freeway_HOT!AY5</f>
        <v>0</v>
      </c>
    </row>
    <row r="6" spans="1:51" x14ac:dyDescent="0.25">
      <c r="A6" s="4" t="str">
        <f>IF(VLOOKUP(B6,Freeway_Zone_Link_Mapping!$A:$C,2,FALSE)&lt;&gt;"",VLOOKUP(B6,Freeway_Zone_Link_Mapping!$A:$C,2,FALSE),"")</f>
        <v/>
      </c>
      <c r="B6" s="4">
        <v>15</v>
      </c>
      <c r="C6">
        <f>VISUM_Freeway_OD!C6-Freeway_Truck!C6-Freeway_HOT!C6</f>
        <v>0</v>
      </c>
      <c r="D6">
        <f>VISUM_Freeway_OD!D6-Freeway_Truck!D6-Freeway_HOT!D6</f>
        <v>0</v>
      </c>
      <c r="E6">
        <f>VISUM_Freeway_OD!E6-Freeway_Truck!E6-Freeway_HOT!E6</f>
        <v>0</v>
      </c>
      <c r="F6">
        <f>VISUM_Freeway_OD!F6-Freeway_Truck!F6-Freeway_HOT!F6</f>
        <v>0</v>
      </c>
      <c r="G6">
        <f>VISUM_Freeway_OD!G6-Freeway_Truck!G6-Freeway_HOT!G6</f>
        <v>0</v>
      </c>
      <c r="H6">
        <f>VISUM_Freeway_OD!H6-Freeway_Truck!H6-Freeway_HOT!H6</f>
        <v>0</v>
      </c>
      <c r="I6">
        <f>VISUM_Freeway_OD!I6-Freeway_Truck!I6-Freeway_HOT!I6</f>
        <v>0</v>
      </c>
      <c r="J6">
        <f>VISUM_Freeway_OD!J6-Freeway_Truck!J6-Freeway_HOT!J6</f>
        <v>0</v>
      </c>
      <c r="K6">
        <f>VISUM_Freeway_OD!K6-Freeway_Truck!K6-Freeway_HOT!K6</f>
        <v>0</v>
      </c>
      <c r="L6">
        <f>VISUM_Freeway_OD!L6-Freeway_Truck!L6-Freeway_HOT!L6</f>
        <v>0</v>
      </c>
      <c r="M6">
        <f>VISUM_Freeway_OD!M6-Freeway_Truck!M6-Freeway_HOT!M6</f>
        <v>0</v>
      </c>
      <c r="N6">
        <f>VISUM_Freeway_OD!N6-Freeway_Truck!N6-Freeway_HOT!N6</f>
        <v>0</v>
      </c>
      <c r="O6">
        <f>VISUM_Freeway_OD!O6-Freeway_Truck!O6-Freeway_HOT!O6</f>
        <v>0</v>
      </c>
      <c r="P6">
        <f>VISUM_Freeway_OD!P6-Freeway_Truck!P6-Freeway_HOT!P6</f>
        <v>0</v>
      </c>
      <c r="Q6">
        <f>VISUM_Freeway_OD!Q6-Freeway_Truck!Q6-Freeway_HOT!Q6</f>
        <v>0</v>
      </c>
      <c r="R6">
        <f>VISUM_Freeway_OD!R6-Freeway_Truck!R6-Freeway_HOT!R6</f>
        <v>0</v>
      </c>
      <c r="S6">
        <f>VISUM_Freeway_OD!S6-Freeway_Truck!S6-Freeway_HOT!S6</f>
        <v>0</v>
      </c>
      <c r="T6">
        <f>VISUM_Freeway_OD!T6-Freeway_Truck!T6-Freeway_HOT!T6</f>
        <v>0</v>
      </c>
      <c r="U6">
        <f>VISUM_Freeway_OD!U6-Freeway_Truck!U6-Freeway_HOT!U6</f>
        <v>0</v>
      </c>
      <c r="V6">
        <f>VISUM_Freeway_OD!V6-Freeway_Truck!V6-Freeway_HOT!V6</f>
        <v>0</v>
      </c>
      <c r="W6">
        <f>VISUM_Freeway_OD!W6-Freeway_Truck!W6-Freeway_HOT!W6</f>
        <v>0</v>
      </c>
      <c r="X6">
        <f>VISUM_Freeway_OD!X6-Freeway_Truck!X6-Freeway_HOT!X6</f>
        <v>0</v>
      </c>
      <c r="Y6">
        <f>VISUM_Freeway_OD!Y6-Freeway_Truck!Y6-Freeway_HOT!Y6</f>
        <v>0</v>
      </c>
      <c r="Z6">
        <f>VISUM_Freeway_OD!Z6-Freeway_Truck!Z6-Freeway_HOT!Z6</f>
        <v>0</v>
      </c>
      <c r="AA6">
        <f>VISUM_Freeway_OD!AA6-Freeway_Truck!AA6-Freeway_HOT!AA6</f>
        <v>0</v>
      </c>
      <c r="AB6">
        <f>VISUM_Freeway_OD!AB6-Freeway_Truck!AB6-Freeway_HOT!AB6</f>
        <v>0</v>
      </c>
      <c r="AC6">
        <f>VISUM_Freeway_OD!AC6-Freeway_Truck!AC6-Freeway_HOT!AC6</f>
        <v>0</v>
      </c>
      <c r="AD6">
        <f>VISUM_Freeway_OD!AD6-Freeway_Truck!AD6-Freeway_HOT!AD6</f>
        <v>0</v>
      </c>
      <c r="AE6">
        <f>VISUM_Freeway_OD!AE6-Freeway_Truck!AE6-Freeway_HOT!AE6</f>
        <v>0</v>
      </c>
      <c r="AF6">
        <f>VISUM_Freeway_OD!AF6-Freeway_Truck!AF6-Freeway_HOT!AF6</f>
        <v>0</v>
      </c>
      <c r="AG6">
        <f>VISUM_Freeway_OD!AG6-Freeway_Truck!AG6-Freeway_HOT!AG6</f>
        <v>0</v>
      </c>
      <c r="AH6">
        <f>VISUM_Freeway_OD!AH6-Freeway_Truck!AH6-Freeway_HOT!AH6</f>
        <v>0</v>
      </c>
      <c r="AI6">
        <f>VISUM_Freeway_OD!AI6-Freeway_Truck!AI6-Freeway_HOT!AI6</f>
        <v>0</v>
      </c>
      <c r="AJ6">
        <f>VISUM_Freeway_OD!AJ6-Freeway_Truck!AJ6-Freeway_HOT!AJ6</f>
        <v>0</v>
      </c>
      <c r="AK6">
        <f>VISUM_Freeway_OD!AK6-Freeway_Truck!AK6-Freeway_HOT!AK6</f>
        <v>0</v>
      </c>
      <c r="AL6">
        <f>VISUM_Freeway_OD!AL6-Freeway_Truck!AL6-Freeway_HOT!AL6</f>
        <v>0</v>
      </c>
      <c r="AM6">
        <f>VISUM_Freeway_OD!AM6-Freeway_Truck!AM6-Freeway_HOT!AM6</f>
        <v>0</v>
      </c>
      <c r="AN6">
        <f>VISUM_Freeway_OD!AN6-Freeway_Truck!AN6-Freeway_HOT!AN6</f>
        <v>0</v>
      </c>
      <c r="AO6">
        <f>VISUM_Freeway_OD!AO6-Freeway_Truck!AO6-Freeway_HOT!AO6</f>
        <v>0</v>
      </c>
      <c r="AP6">
        <f>VISUM_Freeway_OD!AP6-Freeway_Truck!AP6-Freeway_HOT!AP6</f>
        <v>0</v>
      </c>
      <c r="AQ6">
        <f>VISUM_Freeway_OD!AQ6-Freeway_Truck!AQ6-Freeway_HOT!AQ6</f>
        <v>0</v>
      </c>
      <c r="AR6">
        <f>VISUM_Freeway_OD!AR6-Freeway_Truck!AR6-Freeway_HOT!AR6</f>
        <v>0</v>
      </c>
      <c r="AS6">
        <f>VISUM_Freeway_OD!AS6-Freeway_Truck!AS6-Freeway_HOT!AS6</f>
        <v>0</v>
      </c>
      <c r="AT6">
        <f>VISUM_Freeway_OD!AT6-Freeway_Truck!AT6-Freeway_HOT!AT6</f>
        <v>0</v>
      </c>
      <c r="AU6">
        <f>VISUM_Freeway_OD!AU6-Freeway_Truck!AU6-Freeway_HOT!AU6</f>
        <v>0</v>
      </c>
      <c r="AV6">
        <f>VISUM_Freeway_OD!AV6-Freeway_Truck!AV6-Freeway_HOT!AV6</f>
        <v>0</v>
      </c>
      <c r="AW6">
        <f>VISUM_Freeway_OD!AW6-Freeway_Truck!AW6-Freeway_HOT!AW6</f>
        <v>0</v>
      </c>
      <c r="AX6">
        <f>VISUM_Freeway_OD!AX6-Freeway_Truck!AX6-Freeway_HOT!AX6</f>
        <v>0</v>
      </c>
      <c r="AY6">
        <f>VISUM_Freeway_OD!AY6-Freeway_Truck!AY6-Freeway_HOT!AY6</f>
        <v>0</v>
      </c>
    </row>
    <row r="7" spans="1:51" x14ac:dyDescent="0.25">
      <c r="A7" s="4">
        <f>IF(VLOOKUP(B7,Freeway_Zone_Link_Mapping!$A:$C,2,FALSE)&lt;&gt;"",VLOOKUP(B7,Freeway_Zone_Link_Mapping!$A:$C,2,FALSE),"")</f>
        <v>246</v>
      </c>
      <c r="B7" s="4">
        <v>24</v>
      </c>
      <c r="C7">
        <f>VISUM_Freeway_OD!C7-Freeway_Truck!C7-Freeway_HOT!C7</f>
        <v>27.976216000000001</v>
      </c>
      <c r="D7">
        <f>VISUM_Freeway_OD!D7-Freeway_Truck!D7-Freeway_HOT!D7</f>
        <v>0</v>
      </c>
      <c r="E7">
        <f>VISUM_Freeway_OD!E7-Freeway_Truck!E7-Freeway_HOT!E7</f>
        <v>88.583483000000001</v>
      </c>
      <c r="F7">
        <f>VISUM_Freeway_OD!F7-Freeway_Truck!F7-Freeway_HOT!F7</f>
        <v>1184.7052779999999</v>
      </c>
      <c r="G7">
        <f>VISUM_Freeway_OD!G7-Freeway_Truck!G7-Freeway_HOT!G7</f>
        <v>0</v>
      </c>
      <c r="H7">
        <f>VISUM_Freeway_OD!H7-Freeway_Truck!H7-Freeway_HOT!H7</f>
        <v>6.5210720000000002</v>
      </c>
      <c r="I7">
        <f>VISUM_Freeway_OD!I7-Freeway_Truck!I7-Freeway_HOT!I7</f>
        <v>0</v>
      </c>
      <c r="J7">
        <f>VISUM_Freeway_OD!J7-Freeway_Truck!J7-Freeway_HOT!J7</f>
        <v>0</v>
      </c>
      <c r="K7">
        <f>VISUM_Freeway_OD!K7-Freeway_Truck!K7-Freeway_HOT!K7</f>
        <v>0</v>
      </c>
      <c r="L7">
        <f>VISUM_Freeway_OD!L7-Freeway_Truck!L7-Freeway_HOT!L7</f>
        <v>0</v>
      </c>
      <c r="M7">
        <f>VISUM_Freeway_OD!M7-Freeway_Truck!M7-Freeway_HOT!M7</f>
        <v>0</v>
      </c>
      <c r="N7">
        <f>VISUM_Freeway_OD!N7-Freeway_Truck!N7-Freeway_HOT!N7</f>
        <v>121.76491799999999</v>
      </c>
      <c r="O7">
        <f>VISUM_Freeway_OD!O7-Freeway_Truck!O7-Freeway_HOT!O7</f>
        <v>0</v>
      </c>
      <c r="P7">
        <f>VISUM_Freeway_OD!P7-Freeway_Truck!P7-Freeway_HOT!P7</f>
        <v>28.584205999999998</v>
      </c>
      <c r="Q7">
        <f>VISUM_Freeway_OD!Q7-Freeway_Truck!Q7-Freeway_HOT!Q7</f>
        <v>0</v>
      </c>
      <c r="R7">
        <f>VISUM_Freeway_OD!R7-Freeway_Truck!R7-Freeway_HOT!R7</f>
        <v>0</v>
      </c>
      <c r="S7">
        <f>VISUM_Freeway_OD!S7-Freeway_Truck!S7-Freeway_HOT!S7</f>
        <v>0</v>
      </c>
      <c r="T7">
        <f>VISUM_Freeway_OD!T7-Freeway_Truck!T7-Freeway_HOT!T7</f>
        <v>0</v>
      </c>
      <c r="U7">
        <f>VISUM_Freeway_OD!U7-Freeway_Truck!U7-Freeway_HOT!U7</f>
        <v>0</v>
      </c>
      <c r="V7">
        <f>VISUM_Freeway_OD!V7-Freeway_Truck!V7-Freeway_HOT!V7</f>
        <v>0</v>
      </c>
      <c r="W7">
        <f>VISUM_Freeway_OD!W7-Freeway_Truck!W7-Freeway_HOT!W7</f>
        <v>0</v>
      </c>
      <c r="X7">
        <f>VISUM_Freeway_OD!X7-Freeway_Truck!X7-Freeway_HOT!X7</f>
        <v>0</v>
      </c>
      <c r="Y7">
        <f>VISUM_Freeway_OD!Y7-Freeway_Truck!Y7-Freeway_HOT!Y7</f>
        <v>0</v>
      </c>
      <c r="Z7">
        <f>VISUM_Freeway_OD!Z7-Freeway_Truck!Z7-Freeway_HOT!Z7</f>
        <v>18.128727999999999</v>
      </c>
      <c r="AA7">
        <f>VISUM_Freeway_OD!AA7-Freeway_Truck!AA7-Freeway_HOT!AA7</f>
        <v>0</v>
      </c>
      <c r="AB7">
        <f>VISUM_Freeway_OD!AB7-Freeway_Truck!AB7-Freeway_HOT!AB7</f>
        <v>55.576365000000003</v>
      </c>
      <c r="AC7">
        <f>VISUM_Freeway_OD!AC7-Freeway_Truck!AC7-Freeway_HOT!AC7</f>
        <v>0</v>
      </c>
      <c r="AD7">
        <f>VISUM_Freeway_OD!AD7-Freeway_Truck!AD7-Freeway_HOT!AD7</f>
        <v>0</v>
      </c>
      <c r="AE7">
        <f>VISUM_Freeway_OD!AE7-Freeway_Truck!AE7-Freeway_HOT!AE7</f>
        <v>0</v>
      </c>
      <c r="AF7">
        <f>VISUM_Freeway_OD!AF7-Freeway_Truck!AF7-Freeway_HOT!AF7</f>
        <v>0</v>
      </c>
      <c r="AG7">
        <f>VISUM_Freeway_OD!AG7-Freeway_Truck!AG7-Freeway_HOT!AG7</f>
        <v>0</v>
      </c>
      <c r="AH7">
        <f>VISUM_Freeway_OD!AH7-Freeway_Truck!AH7-Freeway_HOT!AH7</f>
        <v>0</v>
      </c>
      <c r="AI7">
        <f>VISUM_Freeway_OD!AI7-Freeway_Truck!AI7-Freeway_HOT!AI7</f>
        <v>0</v>
      </c>
      <c r="AJ7">
        <f>VISUM_Freeway_OD!AJ7-Freeway_Truck!AJ7-Freeway_HOT!AJ7</f>
        <v>0</v>
      </c>
      <c r="AK7">
        <f>VISUM_Freeway_OD!AK7-Freeway_Truck!AK7-Freeway_HOT!AK7</f>
        <v>123.785466</v>
      </c>
      <c r="AL7">
        <f>VISUM_Freeway_OD!AL7-Freeway_Truck!AL7-Freeway_HOT!AL7</f>
        <v>0</v>
      </c>
      <c r="AM7">
        <f>VISUM_Freeway_OD!AM7-Freeway_Truck!AM7-Freeway_HOT!AM7</f>
        <v>3.3199990000000001</v>
      </c>
      <c r="AN7">
        <f>VISUM_Freeway_OD!AN7-Freeway_Truck!AN7-Freeway_HOT!AN7</f>
        <v>0</v>
      </c>
      <c r="AO7">
        <f>VISUM_Freeway_OD!AO7-Freeway_Truck!AO7-Freeway_HOT!AO7</f>
        <v>0</v>
      </c>
      <c r="AP7">
        <f>VISUM_Freeway_OD!AP7-Freeway_Truck!AP7-Freeway_HOT!AP7</f>
        <v>0</v>
      </c>
      <c r="AQ7">
        <f>VISUM_Freeway_OD!AQ7-Freeway_Truck!AQ7-Freeway_HOT!AQ7</f>
        <v>0</v>
      </c>
      <c r="AR7">
        <f>VISUM_Freeway_OD!AR7-Freeway_Truck!AR7-Freeway_HOT!AR7</f>
        <v>0</v>
      </c>
      <c r="AS7">
        <f>VISUM_Freeway_OD!AS7-Freeway_Truck!AS7-Freeway_HOT!AS7</f>
        <v>0</v>
      </c>
      <c r="AT7">
        <f>VISUM_Freeway_OD!AT7-Freeway_Truck!AT7-Freeway_HOT!AT7</f>
        <v>72.152710999999996</v>
      </c>
      <c r="AU7">
        <f>VISUM_Freeway_OD!AU7-Freeway_Truck!AU7-Freeway_HOT!AU7</f>
        <v>0</v>
      </c>
      <c r="AV7">
        <f>VISUM_Freeway_OD!AV7-Freeway_Truck!AV7-Freeway_HOT!AV7</f>
        <v>0</v>
      </c>
      <c r="AW7">
        <f>VISUM_Freeway_OD!AW7-Freeway_Truck!AW7-Freeway_HOT!AW7</f>
        <v>0</v>
      </c>
      <c r="AX7">
        <f>VISUM_Freeway_OD!AX7-Freeway_Truck!AX7-Freeway_HOT!AX7</f>
        <v>540.00340400000005</v>
      </c>
      <c r="AY7">
        <f>VISUM_Freeway_OD!AY7-Freeway_Truck!AY7-Freeway_HOT!AY7</f>
        <v>0</v>
      </c>
    </row>
    <row r="8" spans="1:51" x14ac:dyDescent="0.25">
      <c r="A8" s="4" t="str">
        <f>IF(VLOOKUP(B8,Freeway_Zone_Link_Mapping!$A:$C,2,FALSE)&lt;&gt;"",VLOOKUP(B8,Freeway_Zone_Link_Mapping!$A:$C,2,FALSE),"")</f>
        <v/>
      </c>
      <c r="B8" s="4">
        <v>28</v>
      </c>
      <c r="C8">
        <f>VISUM_Freeway_OD!C8-Freeway_Truck!C8-Freeway_HOT!C8</f>
        <v>0</v>
      </c>
      <c r="D8">
        <f>VISUM_Freeway_OD!D8-Freeway_Truck!D8-Freeway_HOT!D8</f>
        <v>0</v>
      </c>
      <c r="E8">
        <f>VISUM_Freeway_OD!E8-Freeway_Truck!E8-Freeway_HOT!E8</f>
        <v>0</v>
      </c>
      <c r="F8">
        <f>VISUM_Freeway_OD!F8-Freeway_Truck!F8-Freeway_HOT!F8</f>
        <v>0</v>
      </c>
      <c r="G8">
        <f>VISUM_Freeway_OD!G8-Freeway_Truck!G8-Freeway_HOT!G8</f>
        <v>0</v>
      </c>
      <c r="H8">
        <f>VISUM_Freeway_OD!H8-Freeway_Truck!H8-Freeway_HOT!H8</f>
        <v>0</v>
      </c>
      <c r="I8">
        <f>VISUM_Freeway_OD!I8-Freeway_Truck!I8-Freeway_HOT!I8</f>
        <v>0</v>
      </c>
      <c r="J8">
        <f>VISUM_Freeway_OD!J8-Freeway_Truck!J8-Freeway_HOT!J8</f>
        <v>0</v>
      </c>
      <c r="K8">
        <f>VISUM_Freeway_OD!K8-Freeway_Truck!K8-Freeway_HOT!K8</f>
        <v>0</v>
      </c>
      <c r="L8">
        <f>VISUM_Freeway_OD!L8-Freeway_Truck!L8-Freeway_HOT!L8</f>
        <v>0</v>
      </c>
      <c r="M8">
        <f>VISUM_Freeway_OD!M8-Freeway_Truck!M8-Freeway_HOT!M8</f>
        <v>0</v>
      </c>
      <c r="N8">
        <f>VISUM_Freeway_OD!N8-Freeway_Truck!N8-Freeway_HOT!N8</f>
        <v>0</v>
      </c>
      <c r="O8">
        <f>VISUM_Freeway_OD!O8-Freeway_Truck!O8-Freeway_HOT!O8</f>
        <v>0</v>
      </c>
      <c r="P8">
        <f>VISUM_Freeway_OD!P8-Freeway_Truck!P8-Freeway_HOT!P8</f>
        <v>0</v>
      </c>
      <c r="Q8">
        <f>VISUM_Freeway_OD!Q8-Freeway_Truck!Q8-Freeway_HOT!Q8</f>
        <v>0</v>
      </c>
      <c r="R8">
        <f>VISUM_Freeway_OD!R8-Freeway_Truck!R8-Freeway_HOT!R8</f>
        <v>0</v>
      </c>
      <c r="S8">
        <f>VISUM_Freeway_OD!S8-Freeway_Truck!S8-Freeway_HOT!S8</f>
        <v>0</v>
      </c>
      <c r="T8">
        <f>VISUM_Freeway_OD!T8-Freeway_Truck!T8-Freeway_HOT!T8</f>
        <v>0</v>
      </c>
      <c r="U8">
        <f>VISUM_Freeway_OD!U8-Freeway_Truck!U8-Freeway_HOT!U8</f>
        <v>0</v>
      </c>
      <c r="V8">
        <f>VISUM_Freeway_OD!V8-Freeway_Truck!V8-Freeway_HOT!V8</f>
        <v>0</v>
      </c>
      <c r="W8">
        <f>VISUM_Freeway_OD!W8-Freeway_Truck!W8-Freeway_HOT!W8</f>
        <v>0</v>
      </c>
      <c r="X8">
        <f>VISUM_Freeway_OD!X8-Freeway_Truck!X8-Freeway_HOT!X8</f>
        <v>0</v>
      </c>
      <c r="Y8">
        <f>VISUM_Freeway_OD!Y8-Freeway_Truck!Y8-Freeway_HOT!Y8</f>
        <v>0</v>
      </c>
      <c r="Z8">
        <f>VISUM_Freeway_OD!Z8-Freeway_Truck!Z8-Freeway_HOT!Z8</f>
        <v>0</v>
      </c>
      <c r="AA8">
        <f>VISUM_Freeway_OD!AA8-Freeway_Truck!AA8-Freeway_HOT!AA8</f>
        <v>0</v>
      </c>
      <c r="AB8">
        <f>VISUM_Freeway_OD!AB8-Freeway_Truck!AB8-Freeway_HOT!AB8</f>
        <v>0</v>
      </c>
      <c r="AC8">
        <f>VISUM_Freeway_OD!AC8-Freeway_Truck!AC8-Freeway_HOT!AC8</f>
        <v>0</v>
      </c>
      <c r="AD8">
        <f>VISUM_Freeway_OD!AD8-Freeway_Truck!AD8-Freeway_HOT!AD8</f>
        <v>0</v>
      </c>
      <c r="AE8">
        <f>VISUM_Freeway_OD!AE8-Freeway_Truck!AE8-Freeway_HOT!AE8</f>
        <v>0</v>
      </c>
      <c r="AF8">
        <f>VISUM_Freeway_OD!AF8-Freeway_Truck!AF8-Freeway_HOT!AF8</f>
        <v>0</v>
      </c>
      <c r="AG8">
        <f>VISUM_Freeway_OD!AG8-Freeway_Truck!AG8-Freeway_HOT!AG8</f>
        <v>0</v>
      </c>
      <c r="AH8">
        <f>VISUM_Freeway_OD!AH8-Freeway_Truck!AH8-Freeway_HOT!AH8</f>
        <v>0</v>
      </c>
      <c r="AI8">
        <f>VISUM_Freeway_OD!AI8-Freeway_Truck!AI8-Freeway_HOT!AI8</f>
        <v>0</v>
      </c>
      <c r="AJ8">
        <f>VISUM_Freeway_OD!AJ8-Freeway_Truck!AJ8-Freeway_HOT!AJ8</f>
        <v>0</v>
      </c>
      <c r="AK8">
        <f>VISUM_Freeway_OD!AK8-Freeway_Truck!AK8-Freeway_HOT!AK8</f>
        <v>0</v>
      </c>
      <c r="AL8">
        <f>VISUM_Freeway_OD!AL8-Freeway_Truck!AL8-Freeway_HOT!AL8</f>
        <v>0</v>
      </c>
      <c r="AM8">
        <f>VISUM_Freeway_OD!AM8-Freeway_Truck!AM8-Freeway_HOT!AM8</f>
        <v>0</v>
      </c>
      <c r="AN8">
        <f>VISUM_Freeway_OD!AN8-Freeway_Truck!AN8-Freeway_HOT!AN8</f>
        <v>0</v>
      </c>
      <c r="AO8">
        <f>VISUM_Freeway_OD!AO8-Freeway_Truck!AO8-Freeway_HOT!AO8</f>
        <v>0</v>
      </c>
      <c r="AP8">
        <f>VISUM_Freeway_OD!AP8-Freeway_Truck!AP8-Freeway_HOT!AP8</f>
        <v>0</v>
      </c>
      <c r="AQ8">
        <f>VISUM_Freeway_OD!AQ8-Freeway_Truck!AQ8-Freeway_HOT!AQ8</f>
        <v>0</v>
      </c>
      <c r="AR8">
        <f>VISUM_Freeway_OD!AR8-Freeway_Truck!AR8-Freeway_HOT!AR8</f>
        <v>0</v>
      </c>
      <c r="AS8">
        <f>VISUM_Freeway_OD!AS8-Freeway_Truck!AS8-Freeway_HOT!AS8</f>
        <v>0</v>
      </c>
      <c r="AT8">
        <f>VISUM_Freeway_OD!AT8-Freeway_Truck!AT8-Freeway_HOT!AT8</f>
        <v>0</v>
      </c>
      <c r="AU8">
        <f>VISUM_Freeway_OD!AU8-Freeway_Truck!AU8-Freeway_HOT!AU8</f>
        <v>0</v>
      </c>
      <c r="AV8">
        <f>VISUM_Freeway_OD!AV8-Freeway_Truck!AV8-Freeway_HOT!AV8</f>
        <v>0</v>
      </c>
      <c r="AW8">
        <f>VISUM_Freeway_OD!AW8-Freeway_Truck!AW8-Freeway_HOT!AW8</f>
        <v>0</v>
      </c>
      <c r="AX8">
        <f>VISUM_Freeway_OD!AX8-Freeway_Truck!AX8-Freeway_HOT!AX8</f>
        <v>0</v>
      </c>
      <c r="AY8">
        <f>VISUM_Freeway_OD!AY8-Freeway_Truck!AY8-Freeway_HOT!AY8</f>
        <v>0</v>
      </c>
    </row>
    <row r="9" spans="1:51" x14ac:dyDescent="0.25">
      <c r="A9" s="4">
        <f>IF(VLOOKUP(B9,Freeway_Zone_Link_Mapping!$A:$C,2,FALSE)&lt;&gt;"",VLOOKUP(B9,Freeway_Zone_Link_Mapping!$A:$C,2,FALSE),"")</f>
        <v>210</v>
      </c>
      <c r="B9" s="4">
        <v>29</v>
      </c>
      <c r="C9">
        <f>VISUM_Freeway_OD!C9-Freeway_Truck!C9-Freeway_HOT!C9</f>
        <v>135.83456789000002</v>
      </c>
      <c r="D9">
        <f>VISUM_Freeway_OD!D9-Freeway_Truck!D9-Freeway_HOT!D9</f>
        <v>0</v>
      </c>
      <c r="E9">
        <f>VISUM_Freeway_OD!E9-Freeway_Truck!E9-Freeway_HOT!E9</f>
        <v>54.884180129999997</v>
      </c>
      <c r="F9">
        <f>VISUM_Freeway_OD!F9-Freeway_Truck!F9-Freeway_HOT!F9</f>
        <v>2183.62945171</v>
      </c>
      <c r="G9">
        <f>VISUM_Freeway_OD!G9-Freeway_Truck!G9-Freeway_HOT!G9</f>
        <v>1.1136999999999999E-2</v>
      </c>
      <c r="H9">
        <f>VISUM_Freeway_OD!H9-Freeway_Truck!H9-Freeway_HOT!H9</f>
        <v>0</v>
      </c>
      <c r="I9">
        <f>VISUM_Freeway_OD!I9-Freeway_Truck!I9-Freeway_HOT!I9</f>
        <v>0</v>
      </c>
      <c r="J9">
        <f>VISUM_Freeway_OD!J9-Freeway_Truck!J9-Freeway_HOT!J9</f>
        <v>0</v>
      </c>
      <c r="K9">
        <f>VISUM_Freeway_OD!K9-Freeway_Truck!K9-Freeway_HOT!K9</f>
        <v>0</v>
      </c>
      <c r="L9">
        <f>VISUM_Freeway_OD!L9-Freeway_Truck!L9-Freeway_HOT!L9</f>
        <v>0</v>
      </c>
      <c r="M9">
        <f>VISUM_Freeway_OD!M9-Freeway_Truck!M9-Freeway_HOT!M9</f>
        <v>0</v>
      </c>
      <c r="N9">
        <f>VISUM_Freeway_OD!N9-Freeway_Truck!N9-Freeway_HOT!N9</f>
        <v>0</v>
      </c>
      <c r="O9">
        <f>VISUM_Freeway_OD!O9-Freeway_Truck!O9-Freeway_HOT!O9</f>
        <v>0</v>
      </c>
      <c r="P9">
        <f>VISUM_Freeway_OD!P9-Freeway_Truck!P9-Freeway_HOT!P9</f>
        <v>0</v>
      </c>
      <c r="Q9">
        <f>VISUM_Freeway_OD!Q9-Freeway_Truck!Q9-Freeway_HOT!Q9</f>
        <v>0</v>
      </c>
      <c r="R9">
        <f>VISUM_Freeway_OD!R9-Freeway_Truck!R9-Freeway_HOT!R9</f>
        <v>0</v>
      </c>
      <c r="S9">
        <f>VISUM_Freeway_OD!S9-Freeway_Truck!S9-Freeway_HOT!S9</f>
        <v>0</v>
      </c>
      <c r="T9">
        <f>VISUM_Freeway_OD!T9-Freeway_Truck!T9-Freeway_HOT!T9</f>
        <v>0</v>
      </c>
      <c r="U9">
        <f>VISUM_Freeway_OD!U9-Freeway_Truck!U9-Freeway_HOT!U9</f>
        <v>0</v>
      </c>
      <c r="V9">
        <f>VISUM_Freeway_OD!V9-Freeway_Truck!V9-Freeway_HOT!V9</f>
        <v>1367.8731983499999</v>
      </c>
      <c r="W9">
        <f>VISUM_Freeway_OD!W9-Freeway_Truck!W9-Freeway_HOT!W9</f>
        <v>0</v>
      </c>
      <c r="X9">
        <f>VISUM_Freeway_OD!X9-Freeway_Truck!X9-Freeway_HOT!X9</f>
        <v>1542.4953085299999</v>
      </c>
      <c r="Y9">
        <f>VISUM_Freeway_OD!Y9-Freeway_Truck!Y9-Freeway_HOT!Y9</f>
        <v>0</v>
      </c>
      <c r="Z9">
        <f>VISUM_Freeway_OD!Z9-Freeway_Truck!Z9-Freeway_HOT!Z9</f>
        <v>0</v>
      </c>
      <c r="AA9">
        <f>VISUM_Freeway_OD!AA9-Freeway_Truck!AA9-Freeway_HOT!AA9</f>
        <v>0</v>
      </c>
      <c r="AB9">
        <f>VISUM_Freeway_OD!AB9-Freeway_Truck!AB9-Freeway_HOT!AB9</f>
        <v>0</v>
      </c>
      <c r="AC9">
        <f>VISUM_Freeway_OD!AC9-Freeway_Truck!AC9-Freeway_HOT!AC9</f>
        <v>0</v>
      </c>
      <c r="AD9">
        <f>VISUM_Freeway_OD!AD9-Freeway_Truck!AD9-Freeway_HOT!AD9</f>
        <v>0</v>
      </c>
      <c r="AE9">
        <f>VISUM_Freeway_OD!AE9-Freeway_Truck!AE9-Freeway_HOT!AE9</f>
        <v>0</v>
      </c>
      <c r="AF9">
        <f>VISUM_Freeway_OD!AF9-Freeway_Truck!AF9-Freeway_HOT!AF9</f>
        <v>0</v>
      </c>
      <c r="AG9">
        <f>VISUM_Freeway_OD!AG9-Freeway_Truck!AG9-Freeway_HOT!AG9</f>
        <v>0</v>
      </c>
      <c r="AH9">
        <f>VISUM_Freeway_OD!AH9-Freeway_Truck!AH9-Freeway_HOT!AH9</f>
        <v>0</v>
      </c>
      <c r="AI9">
        <f>VISUM_Freeway_OD!AI9-Freeway_Truck!AI9-Freeway_HOT!AI9</f>
        <v>0</v>
      </c>
      <c r="AJ9">
        <f>VISUM_Freeway_OD!AJ9-Freeway_Truck!AJ9-Freeway_HOT!AJ9</f>
        <v>0</v>
      </c>
      <c r="AK9">
        <f>VISUM_Freeway_OD!AK9-Freeway_Truck!AK9-Freeway_HOT!AK9</f>
        <v>0</v>
      </c>
      <c r="AL9">
        <f>VISUM_Freeway_OD!AL9-Freeway_Truck!AL9-Freeway_HOT!AL9</f>
        <v>197.4469532</v>
      </c>
      <c r="AM9">
        <f>VISUM_Freeway_OD!AM9-Freeway_Truck!AM9-Freeway_HOT!AM9</f>
        <v>0</v>
      </c>
      <c r="AN9">
        <f>VISUM_Freeway_OD!AN9-Freeway_Truck!AN9-Freeway_HOT!AN9</f>
        <v>0</v>
      </c>
      <c r="AO9">
        <f>VISUM_Freeway_OD!AO9-Freeway_Truck!AO9-Freeway_HOT!AO9</f>
        <v>0</v>
      </c>
      <c r="AP9">
        <f>VISUM_Freeway_OD!AP9-Freeway_Truck!AP9-Freeway_HOT!AP9</f>
        <v>0</v>
      </c>
      <c r="AQ9">
        <f>VISUM_Freeway_OD!AQ9-Freeway_Truck!AQ9-Freeway_HOT!AQ9</f>
        <v>0</v>
      </c>
      <c r="AR9">
        <f>VISUM_Freeway_OD!AR9-Freeway_Truck!AR9-Freeway_HOT!AR9</f>
        <v>0</v>
      </c>
      <c r="AS9">
        <f>VISUM_Freeway_OD!AS9-Freeway_Truck!AS9-Freeway_HOT!AS9</f>
        <v>872.23569722999991</v>
      </c>
      <c r="AT9">
        <f>VISUM_Freeway_OD!AT9-Freeway_Truck!AT9-Freeway_HOT!AT9</f>
        <v>0</v>
      </c>
      <c r="AU9">
        <f>VISUM_Freeway_OD!AU9-Freeway_Truck!AU9-Freeway_HOT!AU9</f>
        <v>0</v>
      </c>
      <c r="AV9">
        <f>VISUM_Freeway_OD!AV9-Freeway_Truck!AV9-Freeway_HOT!AV9</f>
        <v>182.26830978000001</v>
      </c>
      <c r="AW9">
        <f>VISUM_Freeway_OD!AW9-Freeway_Truck!AW9-Freeway_HOT!AW9</f>
        <v>0</v>
      </c>
      <c r="AX9">
        <f>VISUM_Freeway_OD!AX9-Freeway_Truck!AX9-Freeway_HOT!AX9</f>
        <v>400.02754118999997</v>
      </c>
      <c r="AY9">
        <f>VISUM_Freeway_OD!AY9-Freeway_Truck!AY9-Freeway_HOT!AY9</f>
        <v>0</v>
      </c>
    </row>
    <row r="10" spans="1:51" x14ac:dyDescent="0.25">
      <c r="A10" s="4">
        <f>IF(VLOOKUP(B10,Freeway_Zone_Link_Mapping!$A:$C,2,FALSE)&lt;&gt;"",VLOOKUP(B10,Freeway_Zone_Link_Mapping!$A:$C,2,FALSE),"")</f>
        <v>24</v>
      </c>
      <c r="B10" s="4">
        <v>30</v>
      </c>
      <c r="C10">
        <f>VISUM_Freeway_OD!C10-Freeway_Truck!C10-Freeway_HOT!C10</f>
        <v>0</v>
      </c>
      <c r="D10">
        <f>VISUM_Freeway_OD!D10-Freeway_Truck!D10-Freeway_HOT!D10</f>
        <v>0</v>
      </c>
      <c r="E10">
        <f>VISUM_Freeway_OD!E10-Freeway_Truck!E10-Freeway_HOT!E10</f>
        <v>0</v>
      </c>
      <c r="F10">
        <f>VISUM_Freeway_OD!F10-Freeway_Truck!F10-Freeway_HOT!F10</f>
        <v>0</v>
      </c>
      <c r="G10">
        <f>VISUM_Freeway_OD!G10-Freeway_Truck!G10-Freeway_HOT!G10</f>
        <v>0</v>
      </c>
      <c r="H10">
        <f>VISUM_Freeway_OD!H10-Freeway_Truck!H10-Freeway_HOT!H10</f>
        <v>0</v>
      </c>
      <c r="I10">
        <f>VISUM_Freeway_OD!I10-Freeway_Truck!I10-Freeway_HOT!I10</f>
        <v>0</v>
      </c>
      <c r="J10">
        <f>VISUM_Freeway_OD!J10-Freeway_Truck!J10-Freeway_HOT!J10</f>
        <v>0</v>
      </c>
      <c r="K10">
        <f>VISUM_Freeway_OD!K10-Freeway_Truck!K10-Freeway_HOT!K10</f>
        <v>0</v>
      </c>
      <c r="L10">
        <f>VISUM_Freeway_OD!L10-Freeway_Truck!L10-Freeway_HOT!L10</f>
        <v>0</v>
      </c>
      <c r="M10">
        <f>VISUM_Freeway_OD!M10-Freeway_Truck!M10-Freeway_HOT!M10</f>
        <v>445.84599656</v>
      </c>
      <c r="N10">
        <f>VISUM_Freeway_OD!N10-Freeway_Truck!N10-Freeway_HOT!N10</f>
        <v>2524.3891061200002</v>
      </c>
      <c r="O10">
        <f>VISUM_Freeway_OD!O10-Freeway_Truck!O10-Freeway_HOT!O10</f>
        <v>0</v>
      </c>
      <c r="P10">
        <f>VISUM_Freeway_OD!P10-Freeway_Truck!P10-Freeway_HOT!P10</f>
        <v>0</v>
      </c>
      <c r="Q10">
        <f>VISUM_Freeway_OD!Q10-Freeway_Truck!Q10-Freeway_HOT!Q10</f>
        <v>0</v>
      </c>
      <c r="R10">
        <f>VISUM_Freeway_OD!R10-Freeway_Truck!R10-Freeway_HOT!R10</f>
        <v>0</v>
      </c>
      <c r="S10">
        <f>VISUM_Freeway_OD!S10-Freeway_Truck!S10-Freeway_HOT!S10</f>
        <v>0</v>
      </c>
      <c r="T10">
        <f>VISUM_Freeway_OD!T10-Freeway_Truck!T10-Freeway_HOT!T10</f>
        <v>0</v>
      </c>
      <c r="U10">
        <f>VISUM_Freeway_OD!U10-Freeway_Truck!U10-Freeway_HOT!U10</f>
        <v>0</v>
      </c>
      <c r="V10">
        <f>VISUM_Freeway_OD!V10-Freeway_Truck!V10-Freeway_HOT!V10</f>
        <v>0</v>
      </c>
      <c r="W10">
        <f>VISUM_Freeway_OD!W10-Freeway_Truck!W10-Freeway_HOT!W10</f>
        <v>0</v>
      </c>
      <c r="X10">
        <f>VISUM_Freeway_OD!X10-Freeway_Truck!X10-Freeway_HOT!X10</f>
        <v>0</v>
      </c>
      <c r="Y10">
        <f>VISUM_Freeway_OD!Y10-Freeway_Truck!Y10-Freeway_HOT!Y10</f>
        <v>0</v>
      </c>
      <c r="Z10">
        <f>VISUM_Freeway_OD!Z10-Freeway_Truck!Z10-Freeway_HOT!Z10</f>
        <v>0</v>
      </c>
      <c r="AA10">
        <f>VISUM_Freeway_OD!AA10-Freeway_Truck!AA10-Freeway_HOT!AA10</f>
        <v>0</v>
      </c>
      <c r="AB10">
        <f>VISUM_Freeway_OD!AB10-Freeway_Truck!AB10-Freeway_HOT!AB10</f>
        <v>0</v>
      </c>
      <c r="AC10">
        <f>VISUM_Freeway_OD!AC10-Freeway_Truck!AC10-Freeway_HOT!AC10</f>
        <v>0</v>
      </c>
      <c r="AD10">
        <f>VISUM_Freeway_OD!AD10-Freeway_Truck!AD10-Freeway_HOT!AD10</f>
        <v>0</v>
      </c>
      <c r="AE10">
        <f>VISUM_Freeway_OD!AE10-Freeway_Truck!AE10-Freeway_HOT!AE10</f>
        <v>0</v>
      </c>
      <c r="AF10">
        <f>VISUM_Freeway_OD!AF10-Freeway_Truck!AF10-Freeway_HOT!AF10</f>
        <v>1162.8594070700001</v>
      </c>
      <c r="AG10">
        <f>VISUM_Freeway_OD!AG10-Freeway_Truck!AG10-Freeway_HOT!AG10</f>
        <v>310.22490432999996</v>
      </c>
      <c r="AH10">
        <f>VISUM_Freeway_OD!AH10-Freeway_Truck!AH10-Freeway_HOT!AH10</f>
        <v>0</v>
      </c>
      <c r="AI10">
        <f>VISUM_Freeway_OD!AI10-Freeway_Truck!AI10-Freeway_HOT!AI10</f>
        <v>0</v>
      </c>
      <c r="AJ10">
        <f>VISUM_Freeway_OD!AJ10-Freeway_Truck!AJ10-Freeway_HOT!AJ10</f>
        <v>164.73113172999999</v>
      </c>
      <c r="AK10">
        <f>VISUM_Freeway_OD!AK10-Freeway_Truck!AK10-Freeway_HOT!AK10</f>
        <v>0</v>
      </c>
      <c r="AL10">
        <f>VISUM_Freeway_OD!AL10-Freeway_Truck!AL10-Freeway_HOT!AL10</f>
        <v>0</v>
      </c>
      <c r="AM10">
        <f>VISUM_Freeway_OD!AM10-Freeway_Truck!AM10-Freeway_HOT!AM10</f>
        <v>0</v>
      </c>
      <c r="AN10">
        <f>VISUM_Freeway_OD!AN10-Freeway_Truck!AN10-Freeway_HOT!AN10</f>
        <v>0</v>
      </c>
      <c r="AO10">
        <f>VISUM_Freeway_OD!AO10-Freeway_Truck!AO10-Freeway_HOT!AO10</f>
        <v>0</v>
      </c>
      <c r="AP10">
        <f>VISUM_Freeway_OD!AP10-Freeway_Truck!AP10-Freeway_HOT!AP10</f>
        <v>0</v>
      </c>
      <c r="AQ10">
        <f>VISUM_Freeway_OD!AQ10-Freeway_Truck!AQ10-Freeway_HOT!AQ10</f>
        <v>76.323936869999997</v>
      </c>
      <c r="AR10">
        <f>VISUM_Freeway_OD!AR10-Freeway_Truck!AR10-Freeway_HOT!AR10</f>
        <v>21.318801619999999</v>
      </c>
      <c r="AS10">
        <f>VISUM_Freeway_OD!AS10-Freeway_Truck!AS10-Freeway_HOT!AS10</f>
        <v>0</v>
      </c>
      <c r="AT10">
        <f>VISUM_Freeway_OD!AT10-Freeway_Truck!AT10-Freeway_HOT!AT10</f>
        <v>0</v>
      </c>
      <c r="AU10">
        <f>VISUM_Freeway_OD!AU10-Freeway_Truck!AU10-Freeway_HOT!AU10</f>
        <v>0</v>
      </c>
      <c r="AV10">
        <f>VISUM_Freeway_OD!AV10-Freeway_Truck!AV10-Freeway_HOT!AV10</f>
        <v>0</v>
      </c>
      <c r="AW10">
        <f>VISUM_Freeway_OD!AW10-Freeway_Truck!AW10-Freeway_HOT!AW10</f>
        <v>0</v>
      </c>
      <c r="AX10">
        <f>VISUM_Freeway_OD!AX10-Freeway_Truck!AX10-Freeway_HOT!AX10</f>
        <v>0</v>
      </c>
      <c r="AY10">
        <f>VISUM_Freeway_OD!AY10-Freeway_Truck!AY10-Freeway_HOT!AY10</f>
        <v>0</v>
      </c>
    </row>
    <row r="11" spans="1:51" x14ac:dyDescent="0.25">
      <c r="A11" s="4" t="str">
        <f>IF(VLOOKUP(B11,Freeway_Zone_Link_Mapping!$A:$C,2,FALSE)&lt;&gt;"",VLOOKUP(B11,Freeway_Zone_Link_Mapping!$A:$C,2,FALSE),"")</f>
        <v/>
      </c>
      <c r="B11" s="4">
        <v>31</v>
      </c>
      <c r="C11">
        <f>VISUM_Freeway_OD!C11-Freeway_Truck!C11-Freeway_HOT!C11</f>
        <v>0</v>
      </c>
      <c r="D11">
        <f>VISUM_Freeway_OD!D11-Freeway_Truck!D11-Freeway_HOT!D11</f>
        <v>0</v>
      </c>
      <c r="E11">
        <f>VISUM_Freeway_OD!E11-Freeway_Truck!E11-Freeway_HOT!E11</f>
        <v>0</v>
      </c>
      <c r="F11">
        <f>VISUM_Freeway_OD!F11-Freeway_Truck!F11-Freeway_HOT!F11</f>
        <v>0</v>
      </c>
      <c r="G11">
        <f>VISUM_Freeway_OD!G11-Freeway_Truck!G11-Freeway_HOT!G11</f>
        <v>0</v>
      </c>
      <c r="H11">
        <f>VISUM_Freeway_OD!H11-Freeway_Truck!H11-Freeway_HOT!H11</f>
        <v>0</v>
      </c>
      <c r="I11">
        <f>VISUM_Freeway_OD!I11-Freeway_Truck!I11-Freeway_HOT!I11</f>
        <v>0</v>
      </c>
      <c r="J11">
        <f>VISUM_Freeway_OD!J11-Freeway_Truck!J11-Freeway_HOT!J11</f>
        <v>0</v>
      </c>
      <c r="K11">
        <f>VISUM_Freeway_OD!K11-Freeway_Truck!K11-Freeway_HOT!K11</f>
        <v>0</v>
      </c>
      <c r="L11">
        <f>VISUM_Freeway_OD!L11-Freeway_Truck!L11-Freeway_HOT!L11</f>
        <v>0</v>
      </c>
      <c r="M11">
        <f>VISUM_Freeway_OD!M11-Freeway_Truck!M11-Freeway_HOT!M11</f>
        <v>0</v>
      </c>
      <c r="N11">
        <f>VISUM_Freeway_OD!N11-Freeway_Truck!N11-Freeway_HOT!N11</f>
        <v>0</v>
      </c>
      <c r="O11">
        <f>VISUM_Freeway_OD!O11-Freeway_Truck!O11-Freeway_HOT!O11</f>
        <v>0</v>
      </c>
      <c r="P11">
        <f>VISUM_Freeway_OD!P11-Freeway_Truck!P11-Freeway_HOT!P11</f>
        <v>0</v>
      </c>
      <c r="Q11">
        <f>VISUM_Freeway_OD!Q11-Freeway_Truck!Q11-Freeway_HOT!Q11</f>
        <v>0</v>
      </c>
      <c r="R11">
        <f>VISUM_Freeway_OD!R11-Freeway_Truck!R11-Freeway_HOT!R11</f>
        <v>0</v>
      </c>
      <c r="S11">
        <f>VISUM_Freeway_OD!S11-Freeway_Truck!S11-Freeway_HOT!S11</f>
        <v>0</v>
      </c>
      <c r="T11">
        <f>VISUM_Freeway_OD!T11-Freeway_Truck!T11-Freeway_HOT!T11</f>
        <v>0</v>
      </c>
      <c r="U11">
        <f>VISUM_Freeway_OD!U11-Freeway_Truck!U11-Freeway_HOT!U11</f>
        <v>0</v>
      </c>
      <c r="V11">
        <f>VISUM_Freeway_OD!V11-Freeway_Truck!V11-Freeway_HOT!V11</f>
        <v>0</v>
      </c>
      <c r="W11">
        <f>VISUM_Freeway_OD!W11-Freeway_Truck!W11-Freeway_HOT!W11</f>
        <v>0</v>
      </c>
      <c r="X11">
        <f>VISUM_Freeway_OD!X11-Freeway_Truck!X11-Freeway_HOT!X11</f>
        <v>0</v>
      </c>
      <c r="Y11">
        <f>VISUM_Freeway_OD!Y11-Freeway_Truck!Y11-Freeway_HOT!Y11</f>
        <v>0</v>
      </c>
      <c r="Z11">
        <f>VISUM_Freeway_OD!Z11-Freeway_Truck!Z11-Freeway_HOT!Z11</f>
        <v>0</v>
      </c>
      <c r="AA11">
        <f>VISUM_Freeway_OD!AA11-Freeway_Truck!AA11-Freeway_HOT!AA11</f>
        <v>0</v>
      </c>
      <c r="AB11">
        <f>VISUM_Freeway_OD!AB11-Freeway_Truck!AB11-Freeway_HOT!AB11</f>
        <v>0</v>
      </c>
      <c r="AC11">
        <f>VISUM_Freeway_OD!AC11-Freeway_Truck!AC11-Freeway_HOT!AC11</f>
        <v>0</v>
      </c>
      <c r="AD11">
        <f>VISUM_Freeway_OD!AD11-Freeway_Truck!AD11-Freeway_HOT!AD11</f>
        <v>0</v>
      </c>
      <c r="AE11">
        <f>VISUM_Freeway_OD!AE11-Freeway_Truck!AE11-Freeway_HOT!AE11</f>
        <v>0</v>
      </c>
      <c r="AF11">
        <f>VISUM_Freeway_OD!AF11-Freeway_Truck!AF11-Freeway_HOT!AF11</f>
        <v>0</v>
      </c>
      <c r="AG11">
        <f>VISUM_Freeway_OD!AG11-Freeway_Truck!AG11-Freeway_HOT!AG11</f>
        <v>0</v>
      </c>
      <c r="AH11">
        <f>VISUM_Freeway_OD!AH11-Freeway_Truck!AH11-Freeway_HOT!AH11</f>
        <v>0</v>
      </c>
      <c r="AI11">
        <f>VISUM_Freeway_OD!AI11-Freeway_Truck!AI11-Freeway_HOT!AI11</f>
        <v>0</v>
      </c>
      <c r="AJ11">
        <f>VISUM_Freeway_OD!AJ11-Freeway_Truck!AJ11-Freeway_HOT!AJ11</f>
        <v>0</v>
      </c>
      <c r="AK11">
        <f>VISUM_Freeway_OD!AK11-Freeway_Truck!AK11-Freeway_HOT!AK11</f>
        <v>0</v>
      </c>
      <c r="AL11">
        <f>VISUM_Freeway_OD!AL11-Freeway_Truck!AL11-Freeway_HOT!AL11</f>
        <v>0</v>
      </c>
      <c r="AM11">
        <f>VISUM_Freeway_OD!AM11-Freeway_Truck!AM11-Freeway_HOT!AM11</f>
        <v>0</v>
      </c>
      <c r="AN11">
        <f>VISUM_Freeway_OD!AN11-Freeway_Truck!AN11-Freeway_HOT!AN11</f>
        <v>0</v>
      </c>
      <c r="AO11">
        <f>VISUM_Freeway_OD!AO11-Freeway_Truck!AO11-Freeway_HOT!AO11</f>
        <v>0</v>
      </c>
      <c r="AP11">
        <f>VISUM_Freeway_OD!AP11-Freeway_Truck!AP11-Freeway_HOT!AP11</f>
        <v>0</v>
      </c>
      <c r="AQ11">
        <f>VISUM_Freeway_OD!AQ11-Freeway_Truck!AQ11-Freeway_HOT!AQ11</f>
        <v>0</v>
      </c>
      <c r="AR11">
        <f>VISUM_Freeway_OD!AR11-Freeway_Truck!AR11-Freeway_HOT!AR11</f>
        <v>0</v>
      </c>
      <c r="AS11">
        <f>VISUM_Freeway_OD!AS11-Freeway_Truck!AS11-Freeway_HOT!AS11</f>
        <v>0</v>
      </c>
      <c r="AT11">
        <f>VISUM_Freeway_OD!AT11-Freeway_Truck!AT11-Freeway_HOT!AT11</f>
        <v>0</v>
      </c>
      <c r="AU11">
        <f>VISUM_Freeway_OD!AU11-Freeway_Truck!AU11-Freeway_HOT!AU11</f>
        <v>0</v>
      </c>
      <c r="AV11">
        <f>VISUM_Freeway_OD!AV11-Freeway_Truck!AV11-Freeway_HOT!AV11</f>
        <v>0</v>
      </c>
      <c r="AW11">
        <f>VISUM_Freeway_OD!AW11-Freeway_Truck!AW11-Freeway_HOT!AW11</f>
        <v>0</v>
      </c>
      <c r="AX11">
        <f>VISUM_Freeway_OD!AX11-Freeway_Truck!AX11-Freeway_HOT!AX11</f>
        <v>0</v>
      </c>
      <c r="AY11">
        <f>VISUM_Freeway_OD!AY11-Freeway_Truck!AY11-Freeway_HOT!AY11</f>
        <v>0</v>
      </c>
    </row>
    <row r="12" spans="1:51" x14ac:dyDescent="0.25">
      <c r="A12" s="4">
        <f>IF(VLOOKUP(B12,Freeway_Zone_Link_Mapping!$A:$C,2,FALSE)&lt;&gt;"",VLOOKUP(B12,Freeway_Zone_Link_Mapping!$A:$C,2,FALSE),"")</f>
        <v>65</v>
      </c>
      <c r="B12" s="4">
        <v>32</v>
      </c>
      <c r="C12">
        <f>VISUM_Freeway_OD!C12-Freeway_Truck!C12-Freeway_HOT!C12</f>
        <v>26.64920188</v>
      </c>
      <c r="D12">
        <f>VISUM_Freeway_OD!D12-Freeway_Truck!D12-Freeway_HOT!D12</f>
        <v>0</v>
      </c>
      <c r="E12">
        <f>VISUM_Freeway_OD!E12-Freeway_Truck!E12-Freeway_HOT!E12</f>
        <v>13.65678035</v>
      </c>
      <c r="F12">
        <f>VISUM_Freeway_OD!F12-Freeway_Truck!F12-Freeway_HOT!F12</f>
        <v>361.67917318999997</v>
      </c>
      <c r="G12">
        <f>VISUM_Freeway_OD!G12-Freeway_Truck!G12-Freeway_HOT!G12</f>
        <v>0.15898599999999999</v>
      </c>
      <c r="H12">
        <f>VISUM_Freeway_OD!H12-Freeway_Truck!H12-Freeway_HOT!H12</f>
        <v>559.89460403999999</v>
      </c>
      <c r="I12">
        <f>VISUM_Freeway_OD!I12-Freeway_Truck!I12-Freeway_HOT!I12</f>
        <v>0</v>
      </c>
      <c r="J12">
        <f>VISUM_Freeway_OD!J12-Freeway_Truck!J12-Freeway_HOT!J12</f>
        <v>0</v>
      </c>
      <c r="K12">
        <f>VISUM_Freeway_OD!K12-Freeway_Truck!K12-Freeway_HOT!K12</f>
        <v>785.60447827999997</v>
      </c>
      <c r="L12">
        <f>VISUM_Freeway_OD!L12-Freeway_Truck!L12-Freeway_HOT!L12</f>
        <v>0</v>
      </c>
      <c r="M12">
        <f>VISUM_Freeway_OD!M12-Freeway_Truck!M12-Freeway_HOT!M12</f>
        <v>0</v>
      </c>
      <c r="N12">
        <f>VISUM_Freeway_OD!N12-Freeway_Truck!N12-Freeway_HOT!N12</f>
        <v>0</v>
      </c>
      <c r="O12">
        <f>VISUM_Freeway_OD!O12-Freeway_Truck!O12-Freeway_HOT!O12</f>
        <v>0</v>
      </c>
      <c r="P12">
        <f>VISUM_Freeway_OD!P12-Freeway_Truck!P12-Freeway_HOT!P12</f>
        <v>0</v>
      </c>
      <c r="Q12">
        <f>VISUM_Freeway_OD!Q12-Freeway_Truck!Q12-Freeway_HOT!Q12</f>
        <v>0</v>
      </c>
      <c r="R12">
        <f>VISUM_Freeway_OD!R12-Freeway_Truck!R12-Freeway_HOT!R12</f>
        <v>0</v>
      </c>
      <c r="S12">
        <f>VISUM_Freeway_OD!S12-Freeway_Truck!S12-Freeway_HOT!S12</f>
        <v>9.6742814199999998</v>
      </c>
      <c r="T12">
        <f>VISUM_Freeway_OD!T12-Freeway_Truck!T12-Freeway_HOT!T12</f>
        <v>9.7009797000000013</v>
      </c>
      <c r="U12">
        <f>VISUM_Freeway_OD!U12-Freeway_Truck!U12-Freeway_HOT!U12</f>
        <v>0</v>
      </c>
      <c r="V12">
        <f>VISUM_Freeway_OD!V12-Freeway_Truck!V12-Freeway_HOT!V12</f>
        <v>0</v>
      </c>
      <c r="W12">
        <f>VISUM_Freeway_OD!W12-Freeway_Truck!W12-Freeway_HOT!W12</f>
        <v>0</v>
      </c>
      <c r="X12">
        <f>VISUM_Freeway_OD!X12-Freeway_Truck!X12-Freeway_HOT!X12</f>
        <v>0</v>
      </c>
      <c r="Y12">
        <f>VISUM_Freeway_OD!Y12-Freeway_Truck!Y12-Freeway_HOT!Y12</f>
        <v>0</v>
      </c>
      <c r="Z12">
        <f>VISUM_Freeway_OD!Z12-Freeway_Truck!Z12-Freeway_HOT!Z12</f>
        <v>0</v>
      </c>
      <c r="AA12">
        <f>VISUM_Freeway_OD!AA12-Freeway_Truck!AA12-Freeway_HOT!AA12</f>
        <v>0</v>
      </c>
      <c r="AB12">
        <f>VISUM_Freeway_OD!AB12-Freeway_Truck!AB12-Freeway_HOT!AB12</f>
        <v>20.96414828</v>
      </c>
      <c r="AC12">
        <f>VISUM_Freeway_OD!AC12-Freeway_Truck!AC12-Freeway_HOT!AC12</f>
        <v>0</v>
      </c>
      <c r="AD12">
        <f>VISUM_Freeway_OD!AD12-Freeway_Truck!AD12-Freeway_HOT!AD12</f>
        <v>0</v>
      </c>
      <c r="AE12">
        <f>VISUM_Freeway_OD!AE12-Freeway_Truck!AE12-Freeway_HOT!AE12</f>
        <v>27.710523500000001</v>
      </c>
      <c r="AF12">
        <f>VISUM_Freeway_OD!AF12-Freeway_Truck!AF12-Freeway_HOT!AF12</f>
        <v>0</v>
      </c>
      <c r="AG12">
        <f>VISUM_Freeway_OD!AG12-Freeway_Truck!AG12-Freeway_HOT!AG12</f>
        <v>0</v>
      </c>
      <c r="AH12">
        <f>VISUM_Freeway_OD!AH12-Freeway_Truck!AH12-Freeway_HOT!AH12</f>
        <v>0</v>
      </c>
      <c r="AI12">
        <f>VISUM_Freeway_OD!AI12-Freeway_Truck!AI12-Freeway_HOT!AI12</f>
        <v>0</v>
      </c>
      <c r="AJ12">
        <f>VISUM_Freeway_OD!AJ12-Freeway_Truck!AJ12-Freeway_HOT!AJ12</f>
        <v>0</v>
      </c>
      <c r="AK12">
        <f>VISUM_Freeway_OD!AK12-Freeway_Truck!AK12-Freeway_HOT!AK12</f>
        <v>0</v>
      </c>
      <c r="AL12">
        <f>VISUM_Freeway_OD!AL12-Freeway_Truck!AL12-Freeway_HOT!AL12</f>
        <v>46.062541320000001</v>
      </c>
      <c r="AM12">
        <f>VISUM_Freeway_OD!AM12-Freeway_Truck!AM12-Freeway_HOT!AM12</f>
        <v>0</v>
      </c>
      <c r="AN12">
        <f>VISUM_Freeway_OD!AN12-Freeway_Truck!AN12-Freeway_HOT!AN12</f>
        <v>0</v>
      </c>
      <c r="AO12">
        <f>VISUM_Freeway_OD!AO12-Freeway_Truck!AO12-Freeway_HOT!AO12</f>
        <v>0</v>
      </c>
      <c r="AP12">
        <f>VISUM_Freeway_OD!AP12-Freeway_Truck!AP12-Freeway_HOT!AP12</f>
        <v>0</v>
      </c>
      <c r="AQ12">
        <f>VISUM_Freeway_OD!AQ12-Freeway_Truck!AQ12-Freeway_HOT!AQ12</f>
        <v>0</v>
      </c>
      <c r="AR12">
        <f>VISUM_Freeway_OD!AR12-Freeway_Truck!AR12-Freeway_HOT!AR12</f>
        <v>0</v>
      </c>
      <c r="AS12">
        <f>VISUM_Freeway_OD!AS12-Freeway_Truck!AS12-Freeway_HOT!AS12</f>
        <v>0</v>
      </c>
      <c r="AT12">
        <f>VISUM_Freeway_OD!AT12-Freeway_Truck!AT12-Freeway_HOT!AT12</f>
        <v>0</v>
      </c>
      <c r="AU12">
        <f>VISUM_Freeway_OD!AU12-Freeway_Truck!AU12-Freeway_HOT!AU12</f>
        <v>329.95234820000002</v>
      </c>
      <c r="AV12">
        <f>VISUM_Freeway_OD!AV12-Freeway_Truck!AV12-Freeway_HOT!AV12</f>
        <v>0</v>
      </c>
      <c r="AW12">
        <f>VISUM_Freeway_OD!AW12-Freeway_Truck!AW12-Freeway_HOT!AW12</f>
        <v>0</v>
      </c>
      <c r="AX12">
        <f>VISUM_Freeway_OD!AX12-Freeway_Truck!AX12-Freeway_HOT!AX12</f>
        <v>0</v>
      </c>
      <c r="AY12">
        <f>VISUM_Freeway_OD!AY12-Freeway_Truck!AY12-Freeway_HOT!AY12</f>
        <v>0</v>
      </c>
    </row>
    <row r="13" spans="1:51" x14ac:dyDescent="0.25">
      <c r="A13" s="4" t="str">
        <f>IF(VLOOKUP(B13,Freeway_Zone_Link_Mapping!$A:$C,2,FALSE)&lt;&gt;"",VLOOKUP(B13,Freeway_Zone_Link_Mapping!$A:$C,2,FALSE),"")</f>
        <v/>
      </c>
      <c r="B13" s="4">
        <v>33</v>
      </c>
      <c r="C13">
        <f>VISUM_Freeway_OD!C13-Freeway_Truck!C13-Freeway_HOT!C13</f>
        <v>0</v>
      </c>
      <c r="D13">
        <f>VISUM_Freeway_OD!D13-Freeway_Truck!D13-Freeway_HOT!D13</f>
        <v>0</v>
      </c>
      <c r="E13">
        <f>VISUM_Freeway_OD!E13-Freeway_Truck!E13-Freeway_HOT!E13</f>
        <v>0</v>
      </c>
      <c r="F13">
        <f>VISUM_Freeway_OD!F13-Freeway_Truck!F13-Freeway_HOT!F13</f>
        <v>0</v>
      </c>
      <c r="G13">
        <f>VISUM_Freeway_OD!G13-Freeway_Truck!G13-Freeway_HOT!G13</f>
        <v>0</v>
      </c>
      <c r="H13">
        <f>VISUM_Freeway_OD!H13-Freeway_Truck!H13-Freeway_HOT!H13</f>
        <v>0</v>
      </c>
      <c r="I13">
        <f>VISUM_Freeway_OD!I13-Freeway_Truck!I13-Freeway_HOT!I13</f>
        <v>0</v>
      </c>
      <c r="J13">
        <f>VISUM_Freeway_OD!J13-Freeway_Truck!J13-Freeway_HOT!J13</f>
        <v>0</v>
      </c>
      <c r="K13">
        <f>VISUM_Freeway_OD!K13-Freeway_Truck!K13-Freeway_HOT!K13</f>
        <v>0</v>
      </c>
      <c r="L13">
        <f>VISUM_Freeway_OD!L13-Freeway_Truck!L13-Freeway_HOT!L13</f>
        <v>0</v>
      </c>
      <c r="M13">
        <f>VISUM_Freeway_OD!M13-Freeway_Truck!M13-Freeway_HOT!M13</f>
        <v>0</v>
      </c>
      <c r="N13">
        <f>VISUM_Freeway_OD!N13-Freeway_Truck!N13-Freeway_HOT!N13</f>
        <v>0</v>
      </c>
      <c r="O13">
        <f>VISUM_Freeway_OD!O13-Freeway_Truck!O13-Freeway_HOT!O13</f>
        <v>0</v>
      </c>
      <c r="P13">
        <f>VISUM_Freeway_OD!P13-Freeway_Truck!P13-Freeway_HOT!P13</f>
        <v>0</v>
      </c>
      <c r="Q13">
        <f>VISUM_Freeway_OD!Q13-Freeway_Truck!Q13-Freeway_HOT!Q13</f>
        <v>0</v>
      </c>
      <c r="R13">
        <f>VISUM_Freeway_OD!R13-Freeway_Truck!R13-Freeway_HOT!R13</f>
        <v>0</v>
      </c>
      <c r="S13">
        <f>VISUM_Freeway_OD!S13-Freeway_Truck!S13-Freeway_HOT!S13</f>
        <v>0</v>
      </c>
      <c r="T13">
        <f>VISUM_Freeway_OD!T13-Freeway_Truck!T13-Freeway_HOT!T13</f>
        <v>0</v>
      </c>
      <c r="U13">
        <f>VISUM_Freeway_OD!U13-Freeway_Truck!U13-Freeway_HOT!U13</f>
        <v>0</v>
      </c>
      <c r="V13">
        <f>VISUM_Freeway_OD!V13-Freeway_Truck!V13-Freeway_HOT!V13</f>
        <v>0</v>
      </c>
      <c r="W13">
        <f>VISUM_Freeway_OD!W13-Freeway_Truck!W13-Freeway_HOT!W13</f>
        <v>0</v>
      </c>
      <c r="X13">
        <f>VISUM_Freeway_OD!X13-Freeway_Truck!X13-Freeway_HOT!X13</f>
        <v>0</v>
      </c>
      <c r="Y13">
        <f>VISUM_Freeway_OD!Y13-Freeway_Truck!Y13-Freeway_HOT!Y13</f>
        <v>0</v>
      </c>
      <c r="Z13">
        <f>VISUM_Freeway_OD!Z13-Freeway_Truck!Z13-Freeway_HOT!Z13</f>
        <v>0</v>
      </c>
      <c r="AA13">
        <f>VISUM_Freeway_OD!AA13-Freeway_Truck!AA13-Freeway_HOT!AA13</f>
        <v>0</v>
      </c>
      <c r="AB13">
        <f>VISUM_Freeway_OD!AB13-Freeway_Truck!AB13-Freeway_HOT!AB13</f>
        <v>0</v>
      </c>
      <c r="AC13">
        <f>VISUM_Freeway_OD!AC13-Freeway_Truck!AC13-Freeway_HOT!AC13</f>
        <v>0</v>
      </c>
      <c r="AD13">
        <f>VISUM_Freeway_OD!AD13-Freeway_Truck!AD13-Freeway_HOT!AD13</f>
        <v>0</v>
      </c>
      <c r="AE13">
        <f>VISUM_Freeway_OD!AE13-Freeway_Truck!AE13-Freeway_HOT!AE13</f>
        <v>0</v>
      </c>
      <c r="AF13">
        <f>VISUM_Freeway_OD!AF13-Freeway_Truck!AF13-Freeway_HOT!AF13</f>
        <v>0</v>
      </c>
      <c r="AG13">
        <f>VISUM_Freeway_OD!AG13-Freeway_Truck!AG13-Freeway_HOT!AG13</f>
        <v>0</v>
      </c>
      <c r="AH13">
        <f>VISUM_Freeway_OD!AH13-Freeway_Truck!AH13-Freeway_HOT!AH13</f>
        <v>0</v>
      </c>
      <c r="AI13">
        <f>VISUM_Freeway_OD!AI13-Freeway_Truck!AI13-Freeway_HOT!AI13</f>
        <v>0</v>
      </c>
      <c r="AJ13">
        <f>VISUM_Freeway_OD!AJ13-Freeway_Truck!AJ13-Freeway_HOT!AJ13</f>
        <v>0</v>
      </c>
      <c r="AK13">
        <f>VISUM_Freeway_OD!AK13-Freeway_Truck!AK13-Freeway_HOT!AK13</f>
        <v>0</v>
      </c>
      <c r="AL13">
        <f>VISUM_Freeway_OD!AL13-Freeway_Truck!AL13-Freeway_HOT!AL13</f>
        <v>0</v>
      </c>
      <c r="AM13">
        <f>VISUM_Freeway_OD!AM13-Freeway_Truck!AM13-Freeway_HOT!AM13</f>
        <v>0</v>
      </c>
      <c r="AN13">
        <f>VISUM_Freeway_OD!AN13-Freeway_Truck!AN13-Freeway_HOT!AN13</f>
        <v>0</v>
      </c>
      <c r="AO13">
        <f>VISUM_Freeway_OD!AO13-Freeway_Truck!AO13-Freeway_HOT!AO13</f>
        <v>0</v>
      </c>
      <c r="AP13">
        <f>VISUM_Freeway_OD!AP13-Freeway_Truck!AP13-Freeway_HOT!AP13</f>
        <v>0</v>
      </c>
      <c r="AQ13">
        <f>VISUM_Freeway_OD!AQ13-Freeway_Truck!AQ13-Freeway_HOT!AQ13</f>
        <v>0</v>
      </c>
      <c r="AR13">
        <f>VISUM_Freeway_OD!AR13-Freeway_Truck!AR13-Freeway_HOT!AR13</f>
        <v>0</v>
      </c>
      <c r="AS13">
        <f>VISUM_Freeway_OD!AS13-Freeway_Truck!AS13-Freeway_HOT!AS13</f>
        <v>0</v>
      </c>
      <c r="AT13">
        <f>VISUM_Freeway_OD!AT13-Freeway_Truck!AT13-Freeway_HOT!AT13</f>
        <v>0</v>
      </c>
      <c r="AU13">
        <f>VISUM_Freeway_OD!AU13-Freeway_Truck!AU13-Freeway_HOT!AU13</f>
        <v>0</v>
      </c>
      <c r="AV13">
        <f>VISUM_Freeway_OD!AV13-Freeway_Truck!AV13-Freeway_HOT!AV13</f>
        <v>0</v>
      </c>
      <c r="AW13">
        <f>VISUM_Freeway_OD!AW13-Freeway_Truck!AW13-Freeway_HOT!AW13</f>
        <v>0</v>
      </c>
      <c r="AX13">
        <f>VISUM_Freeway_OD!AX13-Freeway_Truck!AX13-Freeway_HOT!AX13</f>
        <v>0</v>
      </c>
      <c r="AY13">
        <f>VISUM_Freeway_OD!AY13-Freeway_Truck!AY13-Freeway_HOT!AY13</f>
        <v>0</v>
      </c>
    </row>
    <row r="14" spans="1:51" x14ac:dyDescent="0.25">
      <c r="A14" s="4" t="str">
        <f>IF(VLOOKUP(B14,Freeway_Zone_Link_Mapping!$A:$C,2,FALSE)&lt;&gt;"",VLOOKUP(B14,Freeway_Zone_Link_Mapping!$A:$C,2,FALSE),"")</f>
        <v/>
      </c>
      <c r="B14" s="4">
        <v>34</v>
      </c>
      <c r="C14">
        <f>VISUM_Freeway_OD!C14-Freeway_Truck!C14-Freeway_HOT!C14</f>
        <v>0</v>
      </c>
      <c r="D14">
        <f>VISUM_Freeway_OD!D14-Freeway_Truck!D14-Freeway_HOT!D14</f>
        <v>0</v>
      </c>
      <c r="E14">
        <f>VISUM_Freeway_OD!E14-Freeway_Truck!E14-Freeway_HOT!E14</f>
        <v>0</v>
      </c>
      <c r="F14">
        <f>VISUM_Freeway_OD!F14-Freeway_Truck!F14-Freeway_HOT!F14</f>
        <v>0</v>
      </c>
      <c r="G14">
        <f>VISUM_Freeway_OD!G14-Freeway_Truck!G14-Freeway_HOT!G14</f>
        <v>0</v>
      </c>
      <c r="H14">
        <f>VISUM_Freeway_OD!H14-Freeway_Truck!H14-Freeway_HOT!H14</f>
        <v>0</v>
      </c>
      <c r="I14">
        <f>VISUM_Freeway_OD!I14-Freeway_Truck!I14-Freeway_HOT!I14</f>
        <v>0</v>
      </c>
      <c r="J14">
        <f>VISUM_Freeway_OD!J14-Freeway_Truck!J14-Freeway_HOT!J14</f>
        <v>0</v>
      </c>
      <c r="K14">
        <f>VISUM_Freeway_OD!K14-Freeway_Truck!K14-Freeway_HOT!K14</f>
        <v>0</v>
      </c>
      <c r="L14">
        <f>VISUM_Freeway_OD!L14-Freeway_Truck!L14-Freeway_HOT!L14</f>
        <v>0</v>
      </c>
      <c r="M14">
        <f>VISUM_Freeway_OD!M14-Freeway_Truck!M14-Freeway_HOT!M14</f>
        <v>0</v>
      </c>
      <c r="N14">
        <f>VISUM_Freeway_OD!N14-Freeway_Truck!N14-Freeway_HOT!N14</f>
        <v>0</v>
      </c>
      <c r="O14">
        <f>VISUM_Freeway_OD!O14-Freeway_Truck!O14-Freeway_HOT!O14</f>
        <v>0</v>
      </c>
      <c r="P14">
        <f>VISUM_Freeway_OD!P14-Freeway_Truck!P14-Freeway_HOT!P14</f>
        <v>0</v>
      </c>
      <c r="Q14">
        <f>VISUM_Freeway_OD!Q14-Freeway_Truck!Q14-Freeway_HOT!Q14</f>
        <v>0</v>
      </c>
      <c r="R14">
        <f>VISUM_Freeway_OD!R14-Freeway_Truck!R14-Freeway_HOT!R14</f>
        <v>0</v>
      </c>
      <c r="S14">
        <f>VISUM_Freeway_OD!S14-Freeway_Truck!S14-Freeway_HOT!S14</f>
        <v>0</v>
      </c>
      <c r="T14">
        <f>VISUM_Freeway_OD!T14-Freeway_Truck!T14-Freeway_HOT!T14</f>
        <v>0</v>
      </c>
      <c r="U14">
        <f>VISUM_Freeway_OD!U14-Freeway_Truck!U14-Freeway_HOT!U14</f>
        <v>0</v>
      </c>
      <c r="V14">
        <f>VISUM_Freeway_OD!V14-Freeway_Truck!V14-Freeway_HOT!V14</f>
        <v>0</v>
      </c>
      <c r="W14">
        <f>VISUM_Freeway_OD!W14-Freeway_Truck!W14-Freeway_HOT!W14</f>
        <v>0</v>
      </c>
      <c r="X14">
        <f>VISUM_Freeway_OD!X14-Freeway_Truck!X14-Freeway_HOT!X14</f>
        <v>0</v>
      </c>
      <c r="Y14">
        <f>VISUM_Freeway_OD!Y14-Freeway_Truck!Y14-Freeway_HOT!Y14</f>
        <v>0</v>
      </c>
      <c r="Z14">
        <f>VISUM_Freeway_OD!Z14-Freeway_Truck!Z14-Freeway_HOT!Z14</f>
        <v>0</v>
      </c>
      <c r="AA14">
        <f>VISUM_Freeway_OD!AA14-Freeway_Truck!AA14-Freeway_HOT!AA14</f>
        <v>0</v>
      </c>
      <c r="AB14">
        <f>VISUM_Freeway_OD!AB14-Freeway_Truck!AB14-Freeway_HOT!AB14</f>
        <v>0</v>
      </c>
      <c r="AC14">
        <f>VISUM_Freeway_OD!AC14-Freeway_Truck!AC14-Freeway_HOT!AC14</f>
        <v>0</v>
      </c>
      <c r="AD14">
        <f>VISUM_Freeway_OD!AD14-Freeway_Truck!AD14-Freeway_HOT!AD14</f>
        <v>0</v>
      </c>
      <c r="AE14">
        <f>VISUM_Freeway_OD!AE14-Freeway_Truck!AE14-Freeway_HOT!AE14</f>
        <v>0</v>
      </c>
      <c r="AF14">
        <f>VISUM_Freeway_OD!AF14-Freeway_Truck!AF14-Freeway_HOT!AF14</f>
        <v>0</v>
      </c>
      <c r="AG14">
        <f>VISUM_Freeway_OD!AG14-Freeway_Truck!AG14-Freeway_HOT!AG14</f>
        <v>0</v>
      </c>
      <c r="AH14">
        <f>VISUM_Freeway_OD!AH14-Freeway_Truck!AH14-Freeway_HOT!AH14</f>
        <v>0</v>
      </c>
      <c r="AI14">
        <f>VISUM_Freeway_OD!AI14-Freeway_Truck!AI14-Freeway_HOT!AI14</f>
        <v>0</v>
      </c>
      <c r="AJ14">
        <f>VISUM_Freeway_OD!AJ14-Freeway_Truck!AJ14-Freeway_HOT!AJ14</f>
        <v>0</v>
      </c>
      <c r="AK14">
        <f>VISUM_Freeway_OD!AK14-Freeway_Truck!AK14-Freeway_HOT!AK14</f>
        <v>0</v>
      </c>
      <c r="AL14">
        <f>VISUM_Freeway_OD!AL14-Freeway_Truck!AL14-Freeway_HOT!AL14</f>
        <v>0</v>
      </c>
      <c r="AM14">
        <f>VISUM_Freeway_OD!AM14-Freeway_Truck!AM14-Freeway_HOT!AM14</f>
        <v>0</v>
      </c>
      <c r="AN14">
        <f>VISUM_Freeway_OD!AN14-Freeway_Truck!AN14-Freeway_HOT!AN14</f>
        <v>0</v>
      </c>
      <c r="AO14">
        <f>VISUM_Freeway_OD!AO14-Freeway_Truck!AO14-Freeway_HOT!AO14</f>
        <v>0</v>
      </c>
      <c r="AP14">
        <f>VISUM_Freeway_OD!AP14-Freeway_Truck!AP14-Freeway_HOT!AP14</f>
        <v>0</v>
      </c>
      <c r="AQ14">
        <f>VISUM_Freeway_OD!AQ14-Freeway_Truck!AQ14-Freeway_HOT!AQ14</f>
        <v>0</v>
      </c>
      <c r="AR14">
        <f>VISUM_Freeway_OD!AR14-Freeway_Truck!AR14-Freeway_HOT!AR14</f>
        <v>0</v>
      </c>
      <c r="AS14">
        <f>VISUM_Freeway_OD!AS14-Freeway_Truck!AS14-Freeway_HOT!AS14</f>
        <v>0</v>
      </c>
      <c r="AT14">
        <f>VISUM_Freeway_OD!AT14-Freeway_Truck!AT14-Freeway_HOT!AT14</f>
        <v>0</v>
      </c>
      <c r="AU14">
        <f>VISUM_Freeway_OD!AU14-Freeway_Truck!AU14-Freeway_HOT!AU14</f>
        <v>0</v>
      </c>
      <c r="AV14">
        <f>VISUM_Freeway_OD!AV14-Freeway_Truck!AV14-Freeway_HOT!AV14</f>
        <v>0</v>
      </c>
      <c r="AW14">
        <f>VISUM_Freeway_OD!AW14-Freeway_Truck!AW14-Freeway_HOT!AW14</f>
        <v>0</v>
      </c>
      <c r="AX14">
        <f>VISUM_Freeway_OD!AX14-Freeway_Truck!AX14-Freeway_HOT!AX14</f>
        <v>0</v>
      </c>
      <c r="AY14">
        <f>VISUM_Freeway_OD!AY14-Freeway_Truck!AY14-Freeway_HOT!AY14</f>
        <v>0</v>
      </c>
    </row>
    <row r="15" spans="1:51" x14ac:dyDescent="0.25">
      <c r="A15" s="4">
        <f>IF(VLOOKUP(B15,Freeway_Zone_Link_Mapping!$A:$C,2,FALSE)&lt;&gt;"",VLOOKUP(B15,Freeway_Zone_Link_Mapping!$A:$C,2,FALSE),"")</f>
        <v>59</v>
      </c>
      <c r="B15" s="4">
        <v>35</v>
      </c>
      <c r="C15">
        <f>VISUM_Freeway_OD!C15-Freeway_Truck!C15-Freeway_HOT!C15</f>
        <v>125.78789279999999</v>
      </c>
      <c r="D15">
        <f>VISUM_Freeway_OD!D15-Freeway_Truck!D15-Freeway_HOT!D15</f>
        <v>0</v>
      </c>
      <c r="E15">
        <f>VISUM_Freeway_OD!E15-Freeway_Truck!E15-Freeway_HOT!E15</f>
        <v>24.49536732</v>
      </c>
      <c r="F15">
        <f>VISUM_Freeway_OD!F15-Freeway_Truck!F15-Freeway_HOT!F15</f>
        <v>1389.0026106</v>
      </c>
      <c r="G15">
        <f>VISUM_Freeway_OD!G15-Freeway_Truck!G15-Freeway_HOT!G15</f>
        <v>346.89741600000002</v>
      </c>
      <c r="H15">
        <f>VISUM_Freeway_OD!H15-Freeway_Truck!H15-Freeway_HOT!H15</f>
        <v>942.07217757000012</v>
      </c>
      <c r="I15">
        <f>VISUM_Freeway_OD!I15-Freeway_Truck!I15-Freeway_HOT!I15</f>
        <v>0</v>
      </c>
      <c r="J15">
        <f>VISUM_Freeway_OD!J15-Freeway_Truck!J15-Freeway_HOT!J15</f>
        <v>0</v>
      </c>
      <c r="K15">
        <f>VISUM_Freeway_OD!K15-Freeway_Truck!K15-Freeway_HOT!K15</f>
        <v>932.00995194000006</v>
      </c>
      <c r="L15">
        <f>VISUM_Freeway_OD!L15-Freeway_Truck!L15-Freeway_HOT!L15</f>
        <v>0</v>
      </c>
      <c r="M15">
        <f>VISUM_Freeway_OD!M15-Freeway_Truck!M15-Freeway_HOT!M15</f>
        <v>0</v>
      </c>
      <c r="N15">
        <f>VISUM_Freeway_OD!N15-Freeway_Truck!N15-Freeway_HOT!N15</f>
        <v>0</v>
      </c>
      <c r="O15">
        <f>VISUM_Freeway_OD!O15-Freeway_Truck!O15-Freeway_HOT!O15</f>
        <v>0</v>
      </c>
      <c r="P15">
        <f>VISUM_Freeway_OD!P15-Freeway_Truck!P15-Freeway_HOT!P15</f>
        <v>0</v>
      </c>
      <c r="Q15">
        <f>VISUM_Freeway_OD!Q15-Freeway_Truck!Q15-Freeway_HOT!Q15</f>
        <v>0</v>
      </c>
      <c r="R15">
        <f>VISUM_Freeway_OD!R15-Freeway_Truck!R15-Freeway_HOT!R15</f>
        <v>0</v>
      </c>
      <c r="S15">
        <f>VISUM_Freeway_OD!S15-Freeway_Truck!S15-Freeway_HOT!S15</f>
        <v>0</v>
      </c>
      <c r="T15">
        <f>VISUM_Freeway_OD!T15-Freeway_Truck!T15-Freeway_HOT!T15</f>
        <v>0</v>
      </c>
      <c r="U15">
        <f>VISUM_Freeway_OD!U15-Freeway_Truck!U15-Freeway_HOT!U15</f>
        <v>0</v>
      </c>
      <c r="V15">
        <f>VISUM_Freeway_OD!V15-Freeway_Truck!V15-Freeway_HOT!V15</f>
        <v>0</v>
      </c>
      <c r="W15">
        <f>VISUM_Freeway_OD!W15-Freeway_Truck!W15-Freeway_HOT!W15</f>
        <v>0</v>
      </c>
      <c r="X15">
        <f>VISUM_Freeway_OD!X15-Freeway_Truck!X15-Freeway_HOT!X15</f>
        <v>0</v>
      </c>
      <c r="Y15">
        <f>VISUM_Freeway_OD!Y15-Freeway_Truck!Y15-Freeway_HOT!Y15</f>
        <v>0</v>
      </c>
      <c r="Z15">
        <f>VISUM_Freeway_OD!Z15-Freeway_Truck!Z15-Freeway_HOT!Z15</f>
        <v>0</v>
      </c>
      <c r="AA15">
        <f>VISUM_Freeway_OD!AA15-Freeway_Truck!AA15-Freeway_HOT!AA15</f>
        <v>0</v>
      </c>
      <c r="AB15">
        <f>VISUM_Freeway_OD!AB15-Freeway_Truck!AB15-Freeway_HOT!AB15</f>
        <v>578.44205261000002</v>
      </c>
      <c r="AC15">
        <f>VISUM_Freeway_OD!AC15-Freeway_Truck!AC15-Freeway_HOT!AC15</f>
        <v>0</v>
      </c>
      <c r="AD15">
        <f>VISUM_Freeway_OD!AD15-Freeway_Truck!AD15-Freeway_HOT!AD15</f>
        <v>0</v>
      </c>
      <c r="AE15">
        <f>VISUM_Freeway_OD!AE15-Freeway_Truck!AE15-Freeway_HOT!AE15</f>
        <v>761.95978932000003</v>
      </c>
      <c r="AF15">
        <f>VISUM_Freeway_OD!AF15-Freeway_Truck!AF15-Freeway_HOT!AF15</f>
        <v>0</v>
      </c>
      <c r="AG15">
        <f>VISUM_Freeway_OD!AG15-Freeway_Truck!AG15-Freeway_HOT!AG15</f>
        <v>0</v>
      </c>
      <c r="AH15">
        <f>VISUM_Freeway_OD!AH15-Freeway_Truck!AH15-Freeway_HOT!AH15</f>
        <v>0</v>
      </c>
      <c r="AI15">
        <f>VISUM_Freeway_OD!AI15-Freeway_Truck!AI15-Freeway_HOT!AI15</f>
        <v>1329.6454876800001</v>
      </c>
      <c r="AJ15">
        <f>VISUM_Freeway_OD!AJ15-Freeway_Truck!AJ15-Freeway_HOT!AJ15</f>
        <v>0</v>
      </c>
      <c r="AK15">
        <f>VISUM_Freeway_OD!AK15-Freeway_Truck!AK15-Freeway_HOT!AK15</f>
        <v>0</v>
      </c>
      <c r="AL15">
        <f>VISUM_Freeway_OD!AL15-Freeway_Truck!AL15-Freeway_HOT!AL15</f>
        <v>149.82501951</v>
      </c>
      <c r="AM15">
        <f>VISUM_Freeway_OD!AM15-Freeway_Truck!AM15-Freeway_HOT!AM15</f>
        <v>0</v>
      </c>
      <c r="AN15">
        <f>VISUM_Freeway_OD!AN15-Freeway_Truck!AN15-Freeway_HOT!AN15</f>
        <v>0</v>
      </c>
      <c r="AO15">
        <f>VISUM_Freeway_OD!AO15-Freeway_Truck!AO15-Freeway_HOT!AO15</f>
        <v>0</v>
      </c>
      <c r="AP15">
        <f>VISUM_Freeway_OD!AP15-Freeway_Truck!AP15-Freeway_HOT!AP15</f>
        <v>0</v>
      </c>
      <c r="AQ15">
        <f>VISUM_Freeway_OD!AQ15-Freeway_Truck!AQ15-Freeway_HOT!AQ15</f>
        <v>0</v>
      </c>
      <c r="AR15">
        <f>VISUM_Freeway_OD!AR15-Freeway_Truck!AR15-Freeway_HOT!AR15</f>
        <v>0</v>
      </c>
      <c r="AS15">
        <f>VISUM_Freeway_OD!AS15-Freeway_Truck!AS15-Freeway_HOT!AS15</f>
        <v>0</v>
      </c>
      <c r="AT15">
        <f>VISUM_Freeway_OD!AT15-Freeway_Truck!AT15-Freeway_HOT!AT15</f>
        <v>0</v>
      </c>
      <c r="AU15">
        <f>VISUM_Freeway_OD!AU15-Freeway_Truck!AU15-Freeway_HOT!AU15</f>
        <v>913.72929313999998</v>
      </c>
      <c r="AV15">
        <f>VISUM_Freeway_OD!AV15-Freeway_Truck!AV15-Freeway_HOT!AV15</f>
        <v>0</v>
      </c>
      <c r="AW15">
        <f>VISUM_Freeway_OD!AW15-Freeway_Truck!AW15-Freeway_HOT!AW15</f>
        <v>0</v>
      </c>
      <c r="AX15">
        <f>VISUM_Freeway_OD!AX15-Freeway_Truck!AX15-Freeway_HOT!AX15</f>
        <v>0</v>
      </c>
      <c r="AY15">
        <f>VISUM_Freeway_OD!AY15-Freeway_Truck!AY15-Freeway_HOT!AY15</f>
        <v>0</v>
      </c>
    </row>
    <row r="16" spans="1:51" x14ac:dyDescent="0.25">
      <c r="A16" s="4" t="str">
        <f>IF(VLOOKUP(B16,Freeway_Zone_Link_Mapping!$A:$C,2,FALSE)&lt;&gt;"",VLOOKUP(B16,Freeway_Zone_Link_Mapping!$A:$C,2,FALSE),"")</f>
        <v/>
      </c>
      <c r="B16" s="4">
        <v>36</v>
      </c>
      <c r="C16">
        <f>VISUM_Freeway_OD!C16-Freeway_Truck!C16-Freeway_HOT!C16</f>
        <v>0</v>
      </c>
      <c r="D16">
        <f>VISUM_Freeway_OD!D16-Freeway_Truck!D16-Freeway_HOT!D16</f>
        <v>0</v>
      </c>
      <c r="E16">
        <f>VISUM_Freeway_OD!E16-Freeway_Truck!E16-Freeway_HOT!E16</f>
        <v>0</v>
      </c>
      <c r="F16">
        <f>VISUM_Freeway_OD!F16-Freeway_Truck!F16-Freeway_HOT!F16</f>
        <v>0</v>
      </c>
      <c r="G16">
        <f>VISUM_Freeway_OD!G16-Freeway_Truck!G16-Freeway_HOT!G16</f>
        <v>0</v>
      </c>
      <c r="H16">
        <f>VISUM_Freeway_OD!H16-Freeway_Truck!H16-Freeway_HOT!H16</f>
        <v>0</v>
      </c>
      <c r="I16">
        <f>VISUM_Freeway_OD!I16-Freeway_Truck!I16-Freeway_HOT!I16</f>
        <v>0</v>
      </c>
      <c r="J16">
        <f>VISUM_Freeway_OD!J16-Freeway_Truck!J16-Freeway_HOT!J16</f>
        <v>0</v>
      </c>
      <c r="K16">
        <f>VISUM_Freeway_OD!K16-Freeway_Truck!K16-Freeway_HOT!K16</f>
        <v>0</v>
      </c>
      <c r="L16">
        <f>VISUM_Freeway_OD!L16-Freeway_Truck!L16-Freeway_HOT!L16</f>
        <v>0</v>
      </c>
      <c r="M16">
        <f>VISUM_Freeway_OD!M16-Freeway_Truck!M16-Freeway_HOT!M16</f>
        <v>0</v>
      </c>
      <c r="N16">
        <f>VISUM_Freeway_OD!N16-Freeway_Truck!N16-Freeway_HOT!N16</f>
        <v>0</v>
      </c>
      <c r="O16">
        <f>VISUM_Freeway_OD!O16-Freeway_Truck!O16-Freeway_HOT!O16</f>
        <v>0</v>
      </c>
      <c r="P16">
        <f>VISUM_Freeway_OD!P16-Freeway_Truck!P16-Freeway_HOT!P16</f>
        <v>0</v>
      </c>
      <c r="Q16">
        <f>VISUM_Freeway_OD!Q16-Freeway_Truck!Q16-Freeway_HOT!Q16</f>
        <v>0</v>
      </c>
      <c r="R16">
        <f>VISUM_Freeway_OD!R16-Freeway_Truck!R16-Freeway_HOT!R16</f>
        <v>0</v>
      </c>
      <c r="S16">
        <f>VISUM_Freeway_OD!S16-Freeway_Truck!S16-Freeway_HOT!S16</f>
        <v>0</v>
      </c>
      <c r="T16">
        <f>VISUM_Freeway_OD!T16-Freeway_Truck!T16-Freeway_HOT!T16</f>
        <v>0</v>
      </c>
      <c r="U16">
        <f>VISUM_Freeway_OD!U16-Freeway_Truck!U16-Freeway_HOT!U16</f>
        <v>0</v>
      </c>
      <c r="V16">
        <f>VISUM_Freeway_OD!V16-Freeway_Truck!V16-Freeway_HOT!V16</f>
        <v>0</v>
      </c>
      <c r="W16">
        <f>VISUM_Freeway_OD!W16-Freeway_Truck!W16-Freeway_HOT!W16</f>
        <v>0</v>
      </c>
      <c r="X16">
        <f>VISUM_Freeway_OD!X16-Freeway_Truck!X16-Freeway_HOT!X16</f>
        <v>0</v>
      </c>
      <c r="Y16">
        <f>VISUM_Freeway_OD!Y16-Freeway_Truck!Y16-Freeway_HOT!Y16</f>
        <v>0</v>
      </c>
      <c r="Z16">
        <f>VISUM_Freeway_OD!Z16-Freeway_Truck!Z16-Freeway_HOT!Z16</f>
        <v>0</v>
      </c>
      <c r="AA16">
        <f>VISUM_Freeway_OD!AA16-Freeway_Truck!AA16-Freeway_HOT!AA16</f>
        <v>0</v>
      </c>
      <c r="AB16">
        <f>VISUM_Freeway_OD!AB16-Freeway_Truck!AB16-Freeway_HOT!AB16</f>
        <v>0</v>
      </c>
      <c r="AC16">
        <f>VISUM_Freeway_OD!AC16-Freeway_Truck!AC16-Freeway_HOT!AC16</f>
        <v>0</v>
      </c>
      <c r="AD16">
        <f>VISUM_Freeway_OD!AD16-Freeway_Truck!AD16-Freeway_HOT!AD16</f>
        <v>0</v>
      </c>
      <c r="AE16">
        <f>VISUM_Freeway_OD!AE16-Freeway_Truck!AE16-Freeway_HOT!AE16</f>
        <v>0</v>
      </c>
      <c r="AF16">
        <f>VISUM_Freeway_OD!AF16-Freeway_Truck!AF16-Freeway_HOT!AF16</f>
        <v>0</v>
      </c>
      <c r="AG16">
        <f>VISUM_Freeway_OD!AG16-Freeway_Truck!AG16-Freeway_HOT!AG16</f>
        <v>0</v>
      </c>
      <c r="AH16">
        <f>VISUM_Freeway_OD!AH16-Freeway_Truck!AH16-Freeway_HOT!AH16</f>
        <v>0</v>
      </c>
      <c r="AI16">
        <f>VISUM_Freeway_OD!AI16-Freeway_Truck!AI16-Freeway_HOT!AI16</f>
        <v>0</v>
      </c>
      <c r="AJ16">
        <f>VISUM_Freeway_OD!AJ16-Freeway_Truck!AJ16-Freeway_HOT!AJ16</f>
        <v>0</v>
      </c>
      <c r="AK16">
        <f>VISUM_Freeway_OD!AK16-Freeway_Truck!AK16-Freeway_HOT!AK16</f>
        <v>0</v>
      </c>
      <c r="AL16">
        <f>VISUM_Freeway_OD!AL16-Freeway_Truck!AL16-Freeway_HOT!AL16</f>
        <v>0</v>
      </c>
      <c r="AM16">
        <f>VISUM_Freeway_OD!AM16-Freeway_Truck!AM16-Freeway_HOT!AM16</f>
        <v>0</v>
      </c>
      <c r="AN16">
        <f>VISUM_Freeway_OD!AN16-Freeway_Truck!AN16-Freeway_HOT!AN16</f>
        <v>0</v>
      </c>
      <c r="AO16">
        <f>VISUM_Freeway_OD!AO16-Freeway_Truck!AO16-Freeway_HOT!AO16</f>
        <v>0</v>
      </c>
      <c r="AP16">
        <f>VISUM_Freeway_OD!AP16-Freeway_Truck!AP16-Freeway_HOT!AP16</f>
        <v>0</v>
      </c>
      <c r="AQ16">
        <f>VISUM_Freeway_OD!AQ16-Freeway_Truck!AQ16-Freeway_HOT!AQ16</f>
        <v>0</v>
      </c>
      <c r="AR16">
        <f>VISUM_Freeway_OD!AR16-Freeway_Truck!AR16-Freeway_HOT!AR16</f>
        <v>0</v>
      </c>
      <c r="AS16">
        <f>VISUM_Freeway_OD!AS16-Freeway_Truck!AS16-Freeway_HOT!AS16</f>
        <v>0</v>
      </c>
      <c r="AT16">
        <f>VISUM_Freeway_OD!AT16-Freeway_Truck!AT16-Freeway_HOT!AT16</f>
        <v>0</v>
      </c>
      <c r="AU16">
        <f>VISUM_Freeway_OD!AU16-Freeway_Truck!AU16-Freeway_HOT!AU16</f>
        <v>0</v>
      </c>
      <c r="AV16">
        <f>VISUM_Freeway_OD!AV16-Freeway_Truck!AV16-Freeway_HOT!AV16</f>
        <v>0</v>
      </c>
      <c r="AW16">
        <f>VISUM_Freeway_OD!AW16-Freeway_Truck!AW16-Freeway_HOT!AW16</f>
        <v>0</v>
      </c>
      <c r="AX16">
        <f>VISUM_Freeway_OD!AX16-Freeway_Truck!AX16-Freeway_HOT!AX16</f>
        <v>0</v>
      </c>
      <c r="AY16">
        <f>VISUM_Freeway_OD!AY16-Freeway_Truck!AY16-Freeway_HOT!AY16</f>
        <v>0</v>
      </c>
    </row>
    <row r="17" spans="1:51" x14ac:dyDescent="0.25">
      <c r="A17" s="4">
        <f>IF(VLOOKUP(B17,Freeway_Zone_Link_Mapping!$A:$C,2,FALSE)&lt;&gt;"",VLOOKUP(B17,Freeway_Zone_Link_Mapping!$A:$C,2,FALSE),"")</f>
        <v>245</v>
      </c>
      <c r="B17" s="4">
        <v>37</v>
      </c>
      <c r="C17">
        <f>VISUM_Freeway_OD!C17-Freeway_Truck!C17-Freeway_HOT!C17</f>
        <v>0</v>
      </c>
      <c r="D17">
        <f>VISUM_Freeway_OD!D17-Freeway_Truck!D17-Freeway_HOT!D17</f>
        <v>0</v>
      </c>
      <c r="E17">
        <f>VISUM_Freeway_OD!E17-Freeway_Truck!E17-Freeway_HOT!E17</f>
        <v>0</v>
      </c>
      <c r="F17">
        <f>VISUM_Freeway_OD!F17-Freeway_Truck!F17-Freeway_HOT!F17</f>
        <v>0</v>
      </c>
      <c r="G17">
        <f>VISUM_Freeway_OD!G17-Freeway_Truck!G17-Freeway_HOT!G17</f>
        <v>0</v>
      </c>
      <c r="H17">
        <f>VISUM_Freeway_OD!H17-Freeway_Truck!H17-Freeway_HOT!H17</f>
        <v>0</v>
      </c>
      <c r="I17">
        <f>VISUM_Freeway_OD!I17-Freeway_Truck!I17-Freeway_HOT!I17</f>
        <v>0</v>
      </c>
      <c r="J17">
        <f>VISUM_Freeway_OD!J17-Freeway_Truck!J17-Freeway_HOT!J17</f>
        <v>0</v>
      </c>
      <c r="K17">
        <f>VISUM_Freeway_OD!K17-Freeway_Truck!K17-Freeway_HOT!K17</f>
        <v>0</v>
      </c>
      <c r="L17">
        <f>VISUM_Freeway_OD!L17-Freeway_Truck!L17-Freeway_HOT!L17</f>
        <v>0</v>
      </c>
      <c r="M17">
        <f>VISUM_Freeway_OD!M17-Freeway_Truck!M17-Freeway_HOT!M17</f>
        <v>0</v>
      </c>
      <c r="N17">
        <f>VISUM_Freeway_OD!N17-Freeway_Truck!N17-Freeway_HOT!N17</f>
        <v>546.19583699999998</v>
      </c>
      <c r="O17">
        <f>VISUM_Freeway_OD!O17-Freeway_Truck!O17-Freeway_HOT!O17</f>
        <v>0</v>
      </c>
      <c r="P17">
        <f>VISUM_Freeway_OD!P17-Freeway_Truck!P17-Freeway_HOT!P17</f>
        <v>0</v>
      </c>
      <c r="Q17">
        <f>VISUM_Freeway_OD!Q17-Freeway_Truck!Q17-Freeway_HOT!Q17</f>
        <v>0</v>
      </c>
      <c r="R17">
        <f>VISUM_Freeway_OD!R17-Freeway_Truck!R17-Freeway_HOT!R17</f>
        <v>0</v>
      </c>
      <c r="S17">
        <f>VISUM_Freeway_OD!S17-Freeway_Truck!S17-Freeway_HOT!S17</f>
        <v>0</v>
      </c>
      <c r="T17">
        <f>VISUM_Freeway_OD!T17-Freeway_Truck!T17-Freeway_HOT!T17</f>
        <v>0</v>
      </c>
      <c r="U17">
        <f>VISUM_Freeway_OD!U17-Freeway_Truck!U17-Freeway_HOT!U17</f>
        <v>0</v>
      </c>
      <c r="V17">
        <f>VISUM_Freeway_OD!V17-Freeway_Truck!V17-Freeway_HOT!V17</f>
        <v>0</v>
      </c>
      <c r="W17">
        <f>VISUM_Freeway_OD!W17-Freeway_Truck!W17-Freeway_HOT!W17</f>
        <v>0</v>
      </c>
      <c r="X17">
        <f>VISUM_Freeway_OD!X17-Freeway_Truck!X17-Freeway_HOT!X17</f>
        <v>0</v>
      </c>
      <c r="Y17">
        <f>VISUM_Freeway_OD!Y17-Freeway_Truck!Y17-Freeway_HOT!Y17</f>
        <v>0</v>
      </c>
      <c r="Z17">
        <f>VISUM_Freeway_OD!Z17-Freeway_Truck!Z17-Freeway_HOT!Z17</f>
        <v>0</v>
      </c>
      <c r="AA17">
        <f>VISUM_Freeway_OD!AA17-Freeway_Truck!AA17-Freeway_HOT!AA17</f>
        <v>960.17001700000003</v>
      </c>
      <c r="AB17">
        <f>VISUM_Freeway_OD!AB17-Freeway_Truck!AB17-Freeway_HOT!AB17</f>
        <v>0</v>
      </c>
      <c r="AC17">
        <f>VISUM_Freeway_OD!AC17-Freeway_Truck!AC17-Freeway_HOT!AC17</f>
        <v>0</v>
      </c>
      <c r="AD17">
        <f>VISUM_Freeway_OD!AD17-Freeway_Truck!AD17-Freeway_HOT!AD17</f>
        <v>0</v>
      </c>
      <c r="AE17">
        <f>VISUM_Freeway_OD!AE17-Freeway_Truck!AE17-Freeway_HOT!AE17</f>
        <v>0</v>
      </c>
      <c r="AF17">
        <f>VISUM_Freeway_OD!AF17-Freeway_Truck!AF17-Freeway_HOT!AF17</f>
        <v>0</v>
      </c>
      <c r="AG17">
        <f>VISUM_Freeway_OD!AG17-Freeway_Truck!AG17-Freeway_HOT!AG17</f>
        <v>0</v>
      </c>
      <c r="AH17">
        <f>VISUM_Freeway_OD!AH17-Freeway_Truck!AH17-Freeway_HOT!AH17</f>
        <v>0</v>
      </c>
      <c r="AI17">
        <f>VISUM_Freeway_OD!AI17-Freeway_Truck!AI17-Freeway_HOT!AI17</f>
        <v>0</v>
      </c>
      <c r="AJ17">
        <f>VISUM_Freeway_OD!AJ17-Freeway_Truck!AJ17-Freeway_HOT!AJ17</f>
        <v>0</v>
      </c>
      <c r="AK17">
        <f>VISUM_Freeway_OD!AK17-Freeway_Truck!AK17-Freeway_HOT!AK17</f>
        <v>0</v>
      </c>
      <c r="AL17">
        <f>VISUM_Freeway_OD!AL17-Freeway_Truck!AL17-Freeway_HOT!AL17</f>
        <v>0</v>
      </c>
      <c r="AM17">
        <f>VISUM_Freeway_OD!AM17-Freeway_Truck!AM17-Freeway_HOT!AM17</f>
        <v>0</v>
      </c>
      <c r="AN17">
        <f>VISUM_Freeway_OD!AN17-Freeway_Truck!AN17-Freeway_HOT!AN17</f>
        <v>499.52752400000003</v>
      </c>
      <c r="AO17">
        <f>VISUM_Freeway_OD!AO17-Freeway_Truck!AO17-Freeway_HOT!AO17</f>
        <v>0</v>
      </c>
      <c r="AP17">
        <f>VISUM_Freeway_OD!AP17-Freeway_Truck!AP17-Freeway_HOT!AP17</f>
        <v>0</v>
      </c>
      <c r="AQ17">
        <f>VISUM_Freeway_OD!AQ17-Freeway_Truck!AQ17-Freeway_HOT!AQ17</f>
        <v>1231.967922</v>
      </c>
      <c r="AR17">
        <f>VISUM_Freeway_OD!AR17-Freeway_Truck!AR17-Freeway_HOT!AR17</f>
        <v>0</v>
      </c>
      <c r="AS17">
        <f>VISUM_Freeway_OD!AS17-Freeway_Truck!AS17-Freeway_HOT!AS17</f>
        <v>0</v>
      </c>
      <c r="AT17">
        <f>VISUM_Freeway_OD!AT17-Freeway_Truck!AT17-Freeway_HOT!AT17</f>
        <v>71.678691000000001</v>
      </c>
      <c r="AU17">
        <f>VISUM_Freeway_OD!AU17-Freeway_Truck!AU17-Freeway_HOT!AU17</f>
        <v>0</v>
      </c>
      <c r="AV17">
        <f>VISUM_Freeway_OD!AV17-Freeway_Truck!AV17-Freeway_HOT!AV17</f>
        <v>0</v>
      </c>
      <c r="AW17">
        <f>VISUM_Freeway_OD!AW17-Freeway_Truck!AW17-Freeway_HOT!AW17</f>
        <v>0</v>
      </c>
      <c r="AX17">
        <f>VISUM_Freeway_OD!AX17-Freeway_Truck!AX17-Freeway_HOT!AX17</f>
        <v>0</v>
      </c>
      <c r="AY17">
        <f>VISUM_Freeway_OD!AY17-Freeway_Truck!AY17-Freeway_HOT!AY17</f>
        <v>0</v>
      </c>
    </row>
    <row r="18" spans="1:51" x14ac:dyDescent="0.25">
      <c r="A18" s="4">
        <f>IF(VLOOKUP(B18,Freeway_Zone_Link_Mapping!$A:$C,2,FALSE)&lt;&gt;"",VLOOKUP(B18,Freeway_Zone_Link_Mapping!$A:$C,2,FALSE),"")</f>
        <v>183</v>
      </c>
      <c r="B18" s="4">
        <v>38</v>
      </c>
      <c r="C18">
        <f>VISUM_Freeway_OD!C18-Freeway_Truck!C18-Freeway_HOT!C18</f>
        <v>0</v>
      </c>
      <c r="D18">
        <f>VISUM_Freeway_OD!D18-Freeway_Truck!D18-Freeway_HOT!D18</f>
        <v>0</v>
      </c>
      <c r="E18">
        <f>VISUM_Freeway_OD!E18-Freeway_Truck!E18-Freeway_HOT!E18</f>
        <v>0</v>
      </c>
      <c r="F18">
        <f>VISUM_Freeway_OD!F18-Freeway_Truck!F18-Freeway_HOT!F18</f>
        <v>0</v>
      </c>
      <c r="G18">
        <f>VISUM_Freeway_OD!G18-Freeway_Truck!G18-Freeway_HOT!G18</f>
        <v>0</v>
      </c>
      <c r="H18">
        <f>VISUM_Freeway_OD!H18-Freeway_Truck!H18-Freeway_HOT!H18</f>
        <v>601.18414686999995</v>
      </c>
      <c r="I18">
        <f>VISUM_Freeway_OD!I18-Freeway_Truck!I18-Freeway_HOT!I18</f>
        <v>0</v>
      </c>
      <c r="J18">
        <f>VISUM_Freeway_OD!J18-Freeway_Truck!J18-Freeway_HOT!J18</f>
        <v>0</v>
      </c>
      <c r="K18">
        <f>VISUM_Freeway_OD!K18-Freeway_Truck!K18-Freeway_HOT!K18</f>
        <v>0</v>
      </c>
      <c r="L18">
        <f>VISUM_Freeway_OD!L18-Freeway_Truck!L18-Freeway_HOT!L18</f>
        <v>0</v>
      </c>
      <c r="M18">
        <f>VISUM_Freeway_OD!M18-Freeway_Truck!M18-Freeway_HOT!M18</f>
        <v>0</v>
      </c>
      <c r="N18">
        <f>VISUM_Freeway_OD!N18-Freeway_Truck!N18-Freeway_HOT!N18</f>
        <v>0</v>
      </c>
      <c r="O18">
        <f>VISUM_Freeway_OD!O18-Freeway_Truck!O18-Freeway_HOT!O18</f>
        <v>0</v>
      </c>
      <c r="P18">
        <f>VISUM_Freeway_OD!P18-Freeway_Truck!P18-Freeway_HOT!P18</f>
        <v>0</v>
      </c>
      <c r="Q18">
        <f>VISUM_Freeway_OD!Q18-Freeway_Truck!Q18-Freeway_HOT!Q18</f>
        <v>0</v>
      </c>
      <c r="R18">
        <f>VISUM_Freeway_OD!R18-Freeway_Truck!R18-Freeway_HOT!R18</f>
        <v>0</v>
      </c>
      <c r="S18">
        <f>VISUM_Freeway_OD!S18-Freeway_Truck!S18-Freeway_HOT!S18</f>
        <v>0</v>
      </c>
      <c r="T18">
        <f>VISUM_Freeway_OD!T18-Freeway_Truck!T18-Freeway_HOT!T18</f>
        <v>0</v>
      </c>
      <c r="U18">
        <f>VISUM_Freeway_OD!U18-Freeway_Truck!U18-Freeway_HOT!U18</f>
        <v>0</v>
      </c>
      <c r="V18">
        <f>VISUM_Freeway_OD!V18-Freeway_Truck!V18-Freeway_HOT!V18</f>
        <v>0</v>
      </c>
      <c r="W18">
        <f>VISUM_Freeway_OD!W18-Freeway_Truck!W18-Freeway_HOT!W18</f>
        <v>0</v>
      </c>
      <c r="X18">
        <f>VISUM_Freeway_OD!X18-Freeway_Truck!X18-Freeway_HOT!X18</f>
        <v>0</v>
      </c>
      <c r="Y18">
        <f>VISUM_Freeway_OD!Y18-Freeway_Truck!Y18-Freeway_HOT!Y18</f>
        <v>0</v>
      </c>
      <c r="Z18">
        <f>VISUM_Freeway_OD!Z18-Freeway_Truck!Z18-Freeway_HOT!Z18</f>
        <v>0</v>
      </c>
      <c r="AA18">
        <f>VISUM_Freeway_OD!AA18-Freeway_Truck!AA18-Freeway_HOT!AA18</f>
        <v>0</v>
      </c>
      <c r="AB18">
        <f>VISUM_Freeway_OD!AB18-Freeway_Truck!AB18-Freeway_HOT!AB18</f>
        <v>0</v>
      </c>
      <c r="AC18">
        <f>VISUM_Freeway_OD!AC18-Freeway_Truck!AC18-Freeway_HOT!AC18</f>
        <v>0</v>
      </c>
      <c r="AD18">
        <f>VISUM_Freeway_OD!AD18-Freeway_Truck!AD18-Freeway_HOT!AD18</f>
        <v>0</v>
      </c>
      <c r="AE18">
        <f>VISUM_Freeway_OD!AE18-Freeway_Truck!AE18-Freeway_HOT!AE18</f>
        <v>0</v>
      </c>
      <c r="AF18">
        <f>VISUM_Freeway_OD!AF18-Freeway_Truck!AF18-Freeway_HOT!AF18</f>
        <v>0</v>
      </c>
      <c r="AG18">
        <f>VISUM_Freeway_OD!AG18-Freeway_Truck!AG18-Freeway_HOT!AG18</f>
        <v>0</v>
      </c>
      <c r="AH18">
        <f>VISUM_Freeway_OD!AH18-Freeway_Truck!AH18-Freeway_HOT!AH18</f>
        <v>0</v>
      </c>
      <c r="AI18">
        <f>VISUM_Freeway_OD!AI18-Freeway_Truck!AI18-Freeway_HOT!AI18</f>
        <v>0</v>
      </c>
      <c r="AJ18">
        <f>VISUM_Freeway_OD!AJ18-Freeway_Truck!AJ18-Freeway_HOT!AJ18</f>
        <v>0</v>
      </c>
      <c r="AK18">
        <f>VISUM_Freeway_OD!AK18-Freeway_Truck!AK18-Freeway_HOT!AK18</f>
        <v>0</v>
      </c>
      <c r="AL18">
        <f>VISUM_Freeway_OD!AL18-Freeway_Truck!AL18-Freeway_HOT!AL18</f>
        <v>0</v>
      </c>
      <c r="AM18">
        <f>VISUM_Freeway_OD!AM18-Freeway_Truck!AM18-Freeway_HOT!AM18</f>
        <v>0</v>
      </c>
      <c r="AN18">
        <f>VISUM_Freeway_OD!AN18-Freeway_Truck!AN18-Freeway_HOT!AN18</f>
        <v>0</v>
      </c>
      <c r="AO18">
        <f>VISUM_Freeway_OD!AO18-Freeway_Truck!AO18-Freeway_HOT!AO18</f>
        <v>0</v>
      </c>
      <c r="AP18">
        <f>VISUM_Freeway_OD!AP18-Freeway_Truck!AP18-Freeway_HOT!AP18</f>
        <v>0</v>
      </c>
      <c r="AQ18">
        <f>VISUM_Freeway_OD!AQ18-Freeway_Truck!AQ18-Freeway_HOT!AQ18</f>
        <v>0</v>
      </c>
      <c r="AR18">
        <f>VISUM_Freeway_OD!AR18-Freeway_Truck!AR18-Freeway_HOT!AR18</f>
        <v>0</v>
      </c>
      <c r="AS18">
        <f>VISUM_Freeway_OD!AS18-Freeway_Truck!AS18-Freeway_HOT!AS18</f>
        <v>0</v>
      </c>
      <c r="AT18">
        <f>VISUM_Freeway_OD!AT18-Freeway_Truck!AT18-Freeway_HOT!AT18</f>
        <v>0</v>
      </c>
      <c r="AU18">
        <f>VISUM_Freeway_OD!AU18-Freeway_Truck!AU18-Freeway_HOT!AU18</f>
        <v>0</v>
      </c>
      <c r="AV18">
        <f>VISUM_Freeway_OD!AV18-Freeway_Truck!AV18-Freeway_HOT!AV18</f>
        <v>0</v>
      </c>
      <c r="AW18">
        <f>VISUM_Freeway_OD!AW18-Freeway_Truck!AW18-Freeway_HOT!AW18</f>
        <v>0</v>
      </c>
      <c r="AX18">
        <f>VISUM_Freeway_OD!AX18-Freeway_Truck!AX18-Freeway_HOT!AX18</f>
        <v>0</v>
      </c>
      <c r="AY18">
        <f>VISUM_Freeway_OD!AY18-Freeway_Truck!AY18-Freeway_HOT!AY18</f>
        <v>0</v>
      </c>
    </row>
    <row r="19" spans="1:51" x14ac:dyDescent="0.25">
      <c r="A19" s="4" t="str">
        <f>IF(VLOOKUP(B19,Freeway_Zone_Link_Mapping!$A:$C,2,FALSE)&lt;&gt;"",VLOOKUP(B19,Freeway_Zone_Link_Mapping!$A:$C,2,FALSE),"")</f>
        <v/>
      </c>
      <c r="B19" s="4">
        <v>39</v>
      </c>
      <c r="C19">
        <f>VISUM_Freeway_OD!C19-Freeway_Truck!C19-Freeway_HOT!C19</f>
        <v>0</v>
      </c>
      <c r="D19">
        <f>VISUM_Freeway_OD!D19-Freeway_Truck!D19-Freeway_HOT!D19</f>
        <v>0</v>
      </c>
      <c r="E19">
        <f>VISUM_Freeway_OD!E19-Freeway_Truck!E19-Freeway_HOT!E19</f>
        <v>0</v>
      </c>
      <c r="F19">
        <f>VISUM_Freeway_OD!F19-Freeway_Truck!F19-Freeway_HOT!F19</f>
        <v>0</v>
      </c>
      <c r="G19">
        <f>VISUM_Freeway_OD!G19-Freeway_Truck!G19-Freeway_HOT!G19</f>
        <v>0</v>
      </c>
      <c r="H19">
        <f>VISUM_Freeway_OD!H19-Freeway_Truck!H19-Freeway_HOT!H19</f>
        <v>0</v>
      </c>
      <c r="I19">
        <f>VISUM_Freeway_OD!I19-Freeway_Truck!I19-Freeway_HOT!I19</f>
        <v>0</v>
      </c>
      <c r="J19">
        <f>VISUM_Freeway_OD!J19-Freeway_Truck!J19-Freeway_HOT!J19</f>
        <v>0</v>
      </c>
      <c r="K19">
        <f>VISUM_Freeway_OD!K19-Freeway_Truck!K19-Freeway_HOT!K19</f>
        <v>0</v>
      </c>
      <c r="L19">
        <f>VISUM_Freeway_OD!L19-Freeway_Truck!L19-Freeway_HOT!L19</f>
        <v>0</v>
      </c>
      <c r="M19">
        <f>VISUM_Freeway_OD!M19-Freeway_Truck!M19-Freeway_HOT!M19</f>
        <v>0</v>
      </c>
      <c r="N19">
        <f>VISUM_Freeway_OD!N19-Freeway_Truck!N19-Freeway_HOT!N19</f>
        <v>0</v>
      </c>
      <c r="O19">
        <f>VISUM_Freeway_OD!O19-Freeway_Truck!O19-Freeway_HOT!O19</f>
        <v>0</v>
      </c>
      <c r="P19">
        <f>VISUM_Freeway_OD!P19-Freeway_Truck!P19-Freeway_HOT!P19</f>
        <v>0</v>
      </c>
      <c r="Q19">
        <f>VISUM_Freeway_OD!Q19-Freeway_Truck!Q19-Freeway_HOT!Q19</f>
        <v>0</v>
      </c>
      <c r="R19">
        <f>VISUM_Freeway_OD!R19-Freeway_Truck!R19-Freeway_HOT!R19</f>
        <v>0</v>
      </c>
      <c r="S19">
        <f>VISUM_Freeway_OD!S19-Freeway_Truck!S19-Freeway_HOT!S19</f>
        <v>0</v>
      </c>
      <c r="T19">
        <f>VISUM_Freeway_OD!T19-Freeway_Truck!T19-Freeway_HOT!T19</f>
        <v>0</v>
      </c>
      <c r="U19">
        <f>VISUM_Freeway_OD!U19-Freeway_Truck!U19-Freeway_HOT!U19</f>
        <v>0</v>
      </c>
      <c r="V19">
        <f>VISUM_Freeway_OD!V19-Freeway_Truck!V19-Freeway_HOT!V19</f>
        <v>0</v>
      </c>
      <c r="W19">
        <f>VISUM_Freeway_OD!W19-Freeway_Truck!W19-Freeway_HOT!W19</f>
        <v>0</v>
      </c>
      <c r="X19">
        <f>VISUM_Freeway_OD!X19-Freeway_Truck!X19-Freeway_HOT!X19</f>
        <v>0</v>
      </c>
      <c r="Y19">
        <f>VISUM_Freeway_OD!Y19-Freeway_Truck!Y19-Freeway_HOT!Y19</f>
        <v>0</v>
      </c>
      <c r="Z19">
        <f>VISUM_Freeway_OD!Z19-Freeway_Truck!Z19-Freeway_HOT!Z19</f>
        <v>0</v>
      </c>
      <c r="AA19">
        <f>VISUM_Freeway_OD!AA19-Freeway_Truck!AA19-Freeway_HOT!AA19</f>
        <v>0</v>
      </c>
      <c r="AB19">
        <f>VISUM_Freeway_OD!AB19-Freeway_Truck!AB19-Freeway_HOT!AB19</f>
        <v>0</v>
      </c>
      <c r="AC19">
        <f>VISUM_Freeway_OD!AC19-Freeway_Truck!AC19-Freeway_HOT!AC19</f>
        <v>0</v>
      </c>
      <c r="AD19">
        <f>VISUM_Freeway_OD!AD19-Freeway_Truck!AD19-Freeway_HOT!AD19</f>
        <v>0</v>
      </c>
      <c r="AE19">
        <f>VISUM_Freeway_OD!AE19-Freeway_Truck!AE19-Freeway_HOT!AE19</f>
        <v>0</v>
      </c>
      <c r="AF19">
        <f>VISUM_Freeway_OD!AF19-Freeway_Truck!AF19-Freeway_HOT!AF19</f>
        <v>0</v>
      </c>
      <c r="AG19">
        <f>VISUM_Freeway_OD!AG19-Freeway_Truck!AG19-Freeway_HOT!AG19</f>
        <v>0</v>
      </c>
      <c r="AH19">
        <f>VISUM_Freeway_OD!AH19-Freeway_Truck!AH19-Freeway_HOT!AH19</f>
        <v>0</v>
      </c>
      <c r="AI19">
        <f>VISUM_Freeway_OD!AI19-Freeway_Truck!AI19-Freeway_HOT!AI19</f>
        <v>0</v>
      </c>
      <c r="AJ19">
        <f>VISUM_Freeway_OD!AJ19-Freeway_Truck!AJ19-Freeway_HOT!AJ19</f>
        <v>0</v>
      </c>
      <c r="AK19">
        <f>VISUM_Freeway_OD!AK19-Freeway_Truck!AK19-Freeway_HOT!AK19</f>
        <v>0</v>
      </c>
      <c r="AL19">
        <f>VISUM_Freeway_OD!AL19-Freeway_Truck!AL19-Freeway_HOT!AL19</f>
        <v>0</v>
      </c>
      <c r="AM19">
        <f>VISUM_Freeway_OD!AM19-Freeway_Truck!AM19-Freeway_HOT!AM19</f>
        <v>0</v>
      </c>
      <c r="AN19">
        <f>VISUM_Freeway_OD!AN19-Freeway_Truck!AN19-Freeway_HOT!AN19</f>
        <v>0</v>
      </c>
      <c r="AO19">
        <f>VISUM_Freeway_OD!AO19-Freeway_Truck!AO19-Freeway_HOT!AO19</f>
        <v>0</v>
      </c>
      <c r="AP19">
        <f>VISUM_Freeway_OD!AP19-Freeway_Truck!AP19-Freeway_HOT!AP19</f>
        <v>0</v>
      </c>
      <c r="AQ19">
        <f>VISUM_Freeway_OD!AQ19-Freeway_Truck!AQ19-Freeway_HOT!AQ19</f>
        <v>0</v>
      </c>
      <c r="AR19">
        <f>VISUM_Freeway_OD!AR19-Freeway_Truck!AR19-Freeway_HOT!AR19</f>
        <v>0</v>
      </c>
      <c r="AS19">
        <f>VISUM_Freeway_OD!AS19-Freeway_Truck!AS19-Freeway_HOT!AS19</f>
        <v>0</v>
      </c>
      <c r="AT19">
        <f>VISUM_Freeway_OD!AT19-Freeway_Truck!AT19-Freeway_HOT!AT19</f>
        <v>0</v>
      </c>
      <c r="AU19">
        <f>VISUM_Freeway_OD!AU19-Freeway_Truck!AU19-Freeway_HOT!AU19</f>
        <v>0</v>
      </c>
      <c r="AV19">
        <f>VISUM_Freeway_OD!AV19-Freeway_Truck!AV19-Freeway_HOT!AV19</f>
        <v>0</v>
      </c>
      <c r="AW19">
        <f>VISUM_Freeway_OD!AW19-Freeway_Truck!AW19-Freeway_HOT!AW19</f>
        <v>0</v>
      </c>
      <c r="AX19">
        <f>VISUM_Freeway_OD!AX19-Freeway_Truck!AX19-Freeway_HOT!AX19</f>
        <v>0</v>
      </c>
      <c r="AY19">
        <f>VISUM_Freeway_OD!AY19-Freeway_Truck!AY19-Freeway_HOT!AY19</f>
        <v>0</v>
      </c>
    </row>
    <row r="20" spans="1:51" x14ac:dyDescent="0.25">
      <c r="A20" s="4" t="str">
        <f>IF(VLOOKUP(B20,Freeway_Zone_Link_Mapping!$A:$C,2,FALSE)&lt;&gt;"",VLOOKUP(B20,Freeway_Zone_Link_Mapping!$A:$C,2,FALSE),"")</f>
        <v/>
      </c>
      <c r="B20" s="4">
        <v>40</v>
      </c>
      <c r="C20">
        <f>VISUM_Freeway_OD!C20-Freeway_Truck!C20-Freeway_HOT!C20</f>
        <v>0</v>
      </c>
      <c r="D20">
        <f>VISUM_Freeway_OD!D20-Freeway_Truck!D20-Freeway_HOT!D20</f>
        <v>0</v>
      </c>
      <c r="E20">
        <f>VISUM_Freeway_OD!E20-Freeway_Truck!E20-Freeway_HOT!E20</f>
        <v>0</v>
      </c>
      <c r="F20">
        <f>VISUM_Freeway_OD!F20-Freeway_Truck!F20-Freeway_HOT!F20</f>
        <v>0</v>
      </c>
      <c r="G20">
        <f>VISUM_Freeway_OD!G20-Freeway_Truck!G20-Freeway_HOT!G20</f>
        <v>0</v>
      </c>
      <c r="H20">
        <f>VISUM_Freeway_OD!H20-Freeway_Truck!H20-Freeway_HOT!H20</f>
        <v>0</v>
      </c>
      <c r="I20">
        <f>VISUM_Freeway_OD!I20-Freeway_Truck!I20-Freeway_HOT!I20</f>
        <v>0</v>
      </c>
      <c r="J20">
        <f>VISUM_Freeway_OD!J20-Freeway_Truck!J20-Freeway_HOT!J20</f>
        <v>0</v>
      </c>
      <c r="K20">
        <f>VISUM_Freeway_OD!K20-Freeway_Truck!K20-Freeway_HOT!K20</f>
        <v>0</v>
      </c>
      <c r="L20">
        <f>VISUM_Freeway_OD!L20-Freeway_Truck!L20-Freeway_HOT!L20</f>
        <v>0</v>
      </c>
      <c r="M20">
        <f>VISUM_Freeway_OD!M20-Freeway_Truck!M20-Freeway_HOT!M20</f>
        <v>0</v>
      </c>
      <c r="N20">
        <f>VISUM_Freeway_OD!N20-Freeway_Truck!N20-Freeway_HOT!N20</f>
        <v>0</v>
      </c>
      <c r="O20">
        <f>VISUM_Freeway_OD!O20-Freeway_Truck!O20-Freeway_HOT!O20</f>
        <v>0</v>
      </c>
      <c r="P20">
        <f>VISUM_Freeway_OD!P20-Freeway_Truck!P20-Freeway_HOT!P20</f>
        <v>0</v>
      </c>
      <c r="Q20">
        <f>VISUM_Freeway_OD!Q20-Freeway_Truck!Q20-Freeway_HOT!Q20</f>
        <v>0</v>
      </c>
      <c r="R20">
        <f>VISUM_Freeway_OD!R20-Freeway_Truck!R20-Freeway_HOT!R20</f>
        <v>0</v>
      </c>
      <c r="S20">
        <f>VISUM_Freeway_OD!S20-Freeway_Truck!S20-Freeway_HOT!S20</f>
        <v>0</v>
      </c>
      <c r="T20">
        <f>VISUM_Freeway_OD!T20-Freeway_Truck!T20-Freeway_HOT!T20</f>
        <v>0</v>
      </c>
      <c r="U20">
        <f>VISUM_Freeway_OD!U20-Freeway_Truck!U20-Freeway_HOT!U20</f>
        <v>0</v>
      </c>
      <c r="V20">
        <f>VISUM_Freeway_OD!V20-Freeway_Truck!V20-Freeway_HOT!V20</f>
        <v>0</v>
      </c>
      <c r="W20">
        <f>VISUM_Freeway_OD!W20-Freeway_Truck!W20-Freeway_HOT!W20</f>
        <v>0</v>
      </c>
      <c r="X20">
        <f>VISUM_Freeway_OD!X20-Freeway_Truck!X20-Freeway_HOT!X20</f>
        <v>0</v>
      </c>
      <c r="Y20">
        <f>VISUM_Freeway_OD!Y20-Freeway_Truck!Y20-Freeway_HOT!Y20</f>
        <v>0</v>
      </c>
      <c r="Z20">
        <f>VISUM_Freeway_OD!Z20-Freeway_Truck!Z20-Freeway_HOT!Z20</f>
        <v>0</v>
      </c>
      <c r="AA20">
        <f>VISUM_Freeway_OD!AA20-Freeway_Truck!AA20-Freeway_HOT!AA20</f>
        <v>0</v>
      </c>
      <c r="AB20">
        <f>VISUM_Freeway_OD!AB20-Freeway_Truck!AB20-Freeway_HOT!AB20</f>
        <v>0</v>
      </c>
      <c r="AC20">
        <f>VISUM_Freeway_OD!AC20-Freeway_Truck!AC20-Freeway_HOT!AC20</f>
        <v>0</v>
      </c>
      <c r="AD20">
        <f>VISUM_Freeway_OD!AD20-Freeway_Truck!AD20-Freeway_HOT!AD20</f>
        <v>0</v>
      </c>
      <c r="AE20">
        <f>VISUM_Freeway_OD!AE20-Freeway_Truck!AE20-Freeway_HOT!AE20</f>
        <v>0</v>
      </c>
      <c r="AF20">
        <f>VISUM_Freeway_OD!AF20-Freeway_Truck!AF20-Freeway_HOT!AF20</f>
        <v>0</v>
      </c>
      <c r="AG20">
        <f>VISUM_Freeway_OD!AG20-Freeway_Truck!AG20-Freeway_HOT!AG20</f>
        <v>0</v>
      </c>
      <c r="AH20">
        <f>VISUM_Freeway_OD!AH20-Freeway_Truck!AH20-Freeway_HOT!AH20</f>
        <v>0</v>
      </c>
      <c r="AI20">
        <f>VISUM_Freeway_OD!AI20-Freeway_Truck!AI20-Freeway_HOT!AI20</f>
        <v>0</v>
      </c>
      <c r="AJ20">
        <f>VISUM_Freeway_OD!AJ20-Freeway_Truck!AJ20-Freeway_HOT!AJ20</f>
        <v>0</v>
      </c>
      <c r="AK20">
        <f>VISUM_Freeway_OD!AK20-Freeway_Truck!AK20-Freeway_HOT!AK20</f>
        <v>0</v>
      </c>
      <c r="AL20">
        <f>VISUM_Freeway_OD!AL20-Freeway_Truck!AL20-Freeway_HOT!AL20</f>
        <v>0</v>
      </c>
      <c r="AM20">
        <f>VISUM_Freeway_OD!AM20-Freeway_Truck!AM20-Freeway_HOT!AM20</f>
        <v>0</v>
      </c>
      <c r="AN20">
        <f>VISUM_Freeway_OD!AN20-Freeway_Truck!AN20-Freeway_HOT!AN20</f>
        <v>0</v>
      </c>
      <c r="AO20">
        <f>VISUM_Freeway_OD!AO20-Freeway_Truck!AO20-Freeway_HOT!AO20</f>
        <v>0</v>
      </c>
      <c r="AP20">
        <f>VISUM_Freeway_OD!AP20-Freeway_Truck!AP20-Freeway_HOT!AP20</f>
        <v>0</v>
      </c>
      <c r="AQ20">
        <f>VISUM_Freeway_OD!AQ20-Freeway_Truck!AQ20-Freeway_HOT!AQ20</f>
        <v>0</v>
      </c>
      <c r="AR20">
        <f>VISUM_Freeway_OD!AR20-Freeway_Truck!AR20-Freeway_HOT!AR20</f>
        <v>0</v>
      </c>
      <c r="AS20">
        <f>VISUM_Freeway_OD!AS20-Freeway_Truck!AS20-Freeway_HOT!AS20</f>
        <v>0</v>
      </c>
      <c r="AT20">
        <f>VISUM_Freeway_OD!AT20-Freeway_Truck!AT20-Freeway_HOT!AT20</f>
        <v>0</v>
      </c>
      <c r="AU20">
        <f>VISUM_Freeway_OD!AU20-Freeway_Truck!AU20-Freeway_HOT!AU20</f>
        <v>0</v>
      </c>
      <c r="AV20">
        <f>VISUM_Freeway_OD!AV20-Freeway_Truck!AV20-Freeway_HOT!AV20</f>
        <v>0</v>
      </c>
      <c r="AW20">
        <f>VISUM_Freeway_OD!AW20-Freeway_Truck!AW20-Freeway_HOT!AW20</f>
        <v>0</v>
      </c>
      <c r="AX20">
        <f>VISUM_Freeway_OD!AX20-Freeway_Truck!AX20-Freeway_HOT!AX20</f>
        <v>0</v>
      </c>
      <c r="AY20">
        <f>VISUM_Freeway_OD!AY20-Freeway_Truck!AY20-Freeway_HOT!AY20</f>
        <v>0</v>
      </c>
    </row>
    <row r="21" spans="1:51" x14ac:dyDescent="0.25">
      <c r="A21" s="4">
        <f>IF(VLOOKUP(B21,Freeway_Zone_Link_Mapping!$A:$C,2,FALSE)&lt;&gt;"",VLOOKUP(B21,Freeway_Zone_Link_Mapping!$A:$C,2,FALSE),"")</f>
        <v>179</v>
      </c>
      <c r="B21" s="4">
        <v>41</v>
      </c>
      <c r="C21">
        <f>VISUM_Freeway_OD!C21-Freeway_Truck!C21-Freeway_HOT!C21</f>
        <v>0</v>
      </c>
      <c r="D21">
        <f>VISUM_Freeway_OD!D21-Freeway_Truck!D21-Freeway_HOT!D21</f>
        <v>0</v>
      </c>
      <c r="E21">
        <f>VISUM_Freeway_OD!E21-Freeway_Truck!E21-Freeway_HOT!E21</f>
        <v>0</v>
      </c>
      <c r="F21">
        <f>VISUM_Freeway_OD!F21-Freeway_Truck!F21-Freeway_HOT!F21</f>
        <v>0</v>
      </c>
      <c r="G21">
        <f>VISUM_Freeway_OD!G21-Freeway_Truck!G21-Freeway_HOT!G21</f>
        <v>0</v>
      </c>
      <c r="H21">
        <f>VISUM_Freeway_OD!H21-Freeway_Truck!H21-Freeway_HOT!H21</f>
        <v>600.92639653000003</v>
      </c>
      <c r="I21">
        <f>VISUM_Freeway_OD!I21-Freeway_Truck!I21-Freeway_HOT!I21</f>
        <v>0</v>
      </c>
      <c r="J21">
        <f>VISUM_Freeway_OD!J21-Freeway_Truck!J21-Freeway_HOT!J21</f>
        <v>0</v>
      </c>
      <c r="K21">
        <f>VISUM_Freeway_OD!K21-Freeway_Truck!K21-Freeway_HOT!K21</f>
        <v>0</v>
      </c>
      <c r="L21">
        <f>VISUM_Freeway_OD!L21-Freeway_Truck!L21-Freeway_HOT!L21</f>
        <v>0</v>
      </c>
      <c r="M21">
        <f>VISUM_Freeway_OD!M21-Freeway_Truck!M21-Freeway_HOT!M21</f>
        <v>0</v>
      </c>
      <c r="N21">
        <f>VISUM_Freeway_OD!N21-Freeway_Truck!N21-Freeway_HOT!N21</f>
        <v>0</v>
      </c>
      <c r="O21">
        <f>VISUM_Freeway_OD!O21-Freeway_Truck!O21-Freeway_HOT!O21</f>
        <v>0</v>
      </c>
      <c r="P21">
        <f>VISUM_Freeway_OD!P21-Freeway_Truck!P21-Freeway_HOT!P21</f>
        <v>0</v>
      </c>
      <c r="Q21">
        <f>VISUM_Freeway_OD!Q21-Freeway_Truck!Q21-Freeway_HOT!Q21</f>
        <v>0</v>
      </c>
      <c r="R21">
        <f>VISUM_Freeway_OD!R21-Freeway_Truck!R21-Freeway_HOT!R21</f>
        <v>0</v>
      </c>
      <c r="S21">
        <f>VISUM_Freeway_OD!S21-Freeway_Truck!S21-Freeway_HOT!S21</f>
        <v>0</v>
      </c>
      <c r="T21">
        <f>VISUM_Freeway_OD!T21-Freeway_Truck!T21-Freeway_HOT!T21</f>
        <v>0</v>
      </c>
      <c r="U21">
        <f>VISUM_Freeway_OD!U21-Freeway_Truck!U21-Freeway_HOT!U21</f>
        <v>0</v>
      </c>
      <c r="V21">
        <f>VISUM_Freeway_OD!V21-Freeway_Truck!V21-Freeway_HOT!V21</f>
        <v>0</v>
      </c>
      <c r="W21">
        <f>VISUM_Freeway_OD!W21-Freeway_Truck!W21-Freeway_HOT!W21</f>
        <v>0</v>
      </c>
      <c r="X21">
        <f>VISUM_Freeway_OD!X21-Freeway_Truck!X21-Freeway_HOT!X21</f>
        <v>0</v>
      </c>
      <c r="Y21">
        <f>VISUM_Freeway_OD!Y21-Freeway_Truck!Y21-Freeway_HOT!Y21</f>
        <v>0</v>
      </c>
      <c r="Z21">
        <f>VISUM_Freeway_OD!Z21-Freeway_Truck!Z21-Freeway_HOT!Z21</f>
        <v>0</v>
      </c>
      <c r="AA21">
        <f>VISUM_Freeway_OD!AA21-Freeway_Truck!AA21-Freeway_HOT!AA21</f>
        <v>0</v>
      </c>
      <c r="AB21">
        <f>VISUM_Freeway_OD!AB21-Freeway_Truck!AB21-Freeway_HOT!AB21</f>
        <v>0</v>
      </c>
      <c r="AC21">
        <f>VISUM_Freeway_OD!AC21-Freeway_Truck!AC21-Freeway_HOT!AC21</f>
        <v>0</v>
      </c>
      <c r="AD21">
        <f>VISUM_Freeway_OD!AD21-Freeway_Truck!AD21-Freeway_HOT!AD21</f>
        <v>0</v>
      </c>
      <c r="AE21">
        <f>VISUM_Freeway_OD!AE21-Freeway_Truck!AE21-Freeway_HOT!AE21</f>
        <v>0</v>
      </c>
      <c r="AF21">
        <f>VISUM_Freeway_OD!AF21-Freeway_Truck!AF21-Freeway_HOT!AF21</f>
        <v>0</v>
      </c>
      <c r="AG21">
        <f>VISUM_Freeway_OD!AG21-Freeway_Truck!AG21-Freeway_HOT!AG21</f>
        <v>0</v>
      </c>
      <c r="AH21">
        <f>VISUM_Freeway_OD!AH21-Freeway_Truck!AH21-Freeway_HOT!AH21</f>
        <v>0</v>
      </c>
      <c r="AI21">
        <f>VISUM_Freeway_OD!AI21-Freeway_Truck!AI21-Freeway_HOT!AI21</f>
        <v>0</v>
      </c>
      <c r="AJ21">
        <f>VISUM_Freeway_OD!AJ21-Freeway_Truck!AJ21-Freeway_HOT!AJ21</f>
        <v>0</v>
      </c>
      <c r="AK21">
        <f>VISUM_Freeway_OD!AK21-Freeway_Truck!AK21-Freeway_HOT!AK21</f>
        <v>0</v>
      </c>
      <c r="AL21">
        <f>VISUM_Freeway_OD!AL21-Freeway_Truck!AL21-Freeway_HOT!AL21</f>
        <v>0</v>
      </c>
      <c r="AM21">
        <f>VISUM_Freeway_OD!AM21-Freeway_Truck!AM21-Freeway_HOT!AM21</f>
        <v>0</v>
      </c>
      <c r="AN21">
        <f>VISUM_Freeway_OD!AN21-Freeway_Truck!AN21-Freeway_HOT!AN21</f>
        <v>0</v>
      </c>
      <c r="AO21">
        <f>VISUM_Freeway_OD!AO21-Freeway_Truck!AO21-Freeway_HOT!AO21</f>
        <v>0</v>
      </c>
      <c r="AP21">
        <f>VISUM_Freeway_OD!AP21-Freeway_Truck!AP21-Freeway_HOT!AP21</f>
        <v>0</v>
      </c>
      <c r="AQ21">
        <f>VISUM_Freeway_OD!AQ21-Freeway_Truck!AQ21-Freeway_HOT!AQ21</f>
        <v>0</v>
      </c>
      <c r="AR21">
        <f>VISUM_Freeway_OD!AR21-Freeway_Truck!AR21-Freeway_HOT!AR21</f>
        <v>0</v>
      </c>
      <c r="AS21">
        <f>VISUM_Freeway_OD!AS21-Freeway_Truck!AS21-Freeway_HOT!AS21</f>
        <v>0</v>
      </c>
      <c r="AT21">
        <f>VISUM_Freeway_OD!AT21-Freeway_Truck!AT21-Freeway_HOT!AT21</f>
        <v>0</v>
      </c>
      <c r="AU21">
        <f>VISUM_Freeway_OD!AU21-Freeway_Truck!AU21-Freeway_HOT!AU21</f>
        <v>0</v>
      </c>
      <c r="AV21">
        <f>VISUM_Freeway_OD!AV21-Freeway_Truck!AV21-Freeway_HOT!AV21</f>
        <v>0</v>
      </c>
      <c r="AW21">
        <f>VISUM_Freeway_OD!AW21-Freeway_Truck!AW21-Freeway_HOT!AW21</f>
        <v>0</v>
      </c>
      <c r="AX21">
        <f>VISUM_Freeway_OD!AX21-Freeway_Truck!AX21-Freeway_HOT!AX21</f>
        <v>0</v>
      </c>
      <c r="AY21">
        <f>VISUM_Freeway_OD!AY21-Freeway_Truck!AY21-Freeway_HOT!AY21</f>
        <v>0</v>
      </c>
    </row>
    <row r="22" spans="1:51" x14ac:dyDescent="0.25">
      <c r="A22" s="4" t="str">
        <f>IF(VLOOKUP(B22,Freeway_Zone_Link_Mapping!$A:$C,2,FALSE)&lt;&gt;"",VLOOKUP(B22,Freeway_Zone_Link_Mapping!$A:$C,2,FALSE),"")</f>
        <v/>
      </c>
      <c r="B22" s="4">
        <v>42</v>
      </c>
      <c r="C22">
        <f>VISUM_Freeway_OD!C22-Freeway_Truck!C22-Freeway_HOT!C22</f>
        <v>0</v>
      </c>
      <c r="D22">
        <f>VISUM_Freeway_OD!D22-Freeway_Truck!D22-Freeway_HOT!D22</f>
        <v>0</v>
      </c>
      <c r="E22">
        <f>VISUM_Freeway_OD!E22-Freeway_Truck!E22-Freeway_HOT!E22</f>
        <v>0</v>
      </c>
      <c r="F22">
        <f>VISUM_Freeway_OD!F22-Freeway_Truck!F22-Freeway_HOT!F22</f>
        <v>0</v>
      </c>
      <c r="G22">
        <f>VISUM_Freeway_OD!G22-Freeway_Truck!G22-Freeway_HOT!G22</f>
        <v>0</v>
      </c>
      <c r="H22">
        <f>VISUM_Freeway_OD!H22-Freeway_Truck!H22-Freeway_HOT!H22</f>
        <v>0</v>
      </c>
      <c r="I22">
        <f>VISUM_Freeway_OD!I22-Freeway_Truck!I22-Freeway_HOT!I22</f>
        <v>0</v>
      </c>
      <c r="J22">
        <f>VISUM_Freeway_OD!J22-Freeway_Truck!J22-Freeway_HOT!J22</f>
        <v>0</v>
      </c>
      <c r="K22">
        <f>VISUM_Freeway_OD!K22-Freeway_Truck!K22-Freeway_HOT!K22</f>
        <v>0</v>
      </c>
      <c r="L22">
        <f>VISUM_Freeway_OD!L22-Freeway_Truck!L22-Freeway_HOT!L22</f>
        <v>0</v>
      </c>
      <c r="M22">
        <f>VISUM_Freeway_OD!M22-Freeway_Truck!M22-Freeway_HOT!M22</f>
        <v>0</v>
      </c>
      <c r="N22">
        <f>VISUM_Freeway_OD!N22-Freeway_Truck!N22-Freeway_HOT!N22</f>
        <v>0</v>
      </c>
      <c r="O22">
        <f>VISUM_Freeway_OD!O22-Freeway_Truck!O22-Freeway_HOT!O22</f>
        <v>0</v>
      </c>
      <c r="P22">
        <f>VISUM_Freeway_OD!P22-Freeway_Truck!P22-Freeway_HOT!P22</f>
        <v>0</v>
      </c>
      <c r="Q22">
        <f>VISUM_Freeway_OD!Q22-Freeway_Truck!Q22-Freeway_HOT!Q22</f>
        <v>0</v>
      </c>
      <c r="R22">
        <f>VISUM_Freeway_OD!R22-Freeway_Truck!R22-Freeway_HOT!R22</f>
        <v>0</v>
      </c>
      <c r="S22">
        <f>VISUM_Freeway_OD!S22-Freeway_Truck!S22-Freeway_HOT!S22</f>
        <v>0</v>
      </c>
      <c r="T22">
        <f>VISUM_Freeway_OD!T22-Freeway_Truck!T22-Freeway_HOT!T22</f>
        <v>0</v>
      </c>
      <c r="U22">
        <f>VISUM_Freeway_OD!U22-Freeway_Truck!U22-Freeway_HOT!U22</f>
        <v>0</v>
      </c>
      <c r="V22">
        <f>VISUM_Freeway_OD!V22-Freeway_Truck!V22-Freeway_HOT!V22</f>
        <v>0</v>
      </c>
      <c r="W22">
        <f>VISUM_Freeway_OD!W22-Freeway_Truck!W22-Freeway_HOT!W22</f>
        <v>0</v>
      </c>
      <c r="X22">
        <f>VISUM_Freeway_OD!X22-Freeway_Truck!X22-Freeway_HOT!X22</f>
        <v>0</v>
      </c>
      <c r="Y22">
        <f>VISUM_Freeway_OD!Y22-Freeway_Truck!Y22-Freeway_HOT!Y22</f>
        <v>0</v>
      </c>
      <c r="Z22">
        <f>VISUM_Freeway_OD!Z22-Freeway_Truck!Z22-Freeway_HOT!Z22</f>
        <v>0</v>
      </c>
      <c r="AA22">
        <f>VISUM_Freeway_OD!AA22-Freeway_Truck!AA22-Freeway_HOT!AA22</f>
        <v>0</v>
      </c>
      <c r="AB22">
        <f>VISUM_Freeway_OD!AB22-Freeway_Truck!AB22-Freeway_HOT!AB22</f>
        <v>0</v>
      </c>
      <c r="AC22">
        <f>VISUM_Freeway_OD!AC22-Freeway_Truck!AC22-Freeway_HOT!AC22</f>
        <v>0</v>
      </c>
      <c r="AD22">
        <f>VISUM_Freeway_OD!AD22-Freeway_Truck!AD22-Freeway_HOT!AD22</f>
        <v>0</v>
      </c>
      <c r="AE22">
        <f>VISUM_Freeway_OD!AE22-Freeway_Truck!AE22-Freeway_HOT!AE22</f>
        <v>0</v>
      </c>
      <c r="AF22">
        <f>VISUM_Freeway_OD!AF22-Freeway_Truck!AF22-Freeway_HOT!AF22</f>
        <v>0</v>
      </c>
      <c r="AG22">
        <f>VISUM_Freeway_OD!AG22-Freeway_Truck!AG22-Freeway_HOT!AG22</f>
        <v>0</v>
      </c>
      <c r="AH22">
        <f>VISUM_Freeway_OD!AH22-Freeway_Truck!AH22-Freeway_HOT!AH22</f>
        <v>0</v>
      </c>
      <c r="AI22">
        <f>VISUM_Freeway_OD!AI22-Freeway_Truck!AI22-Freeway_HOT!AI22</f>
        <v>0</v>
      </c>
      <c r="AJ22">
        <f>VISUM_Freeway_OD!AJ22-Freeway_Truck!AJ22-Freeway_HOT!AJ22</f>
        <v>0</v>
      </c>
      <c r="AK22">
        <f>VISUM_Freeway_OD!AK22-Freeway_Truck!AK22-Freeway_HOT!AK22</f>
        <v>0</v>
      </c>
      <c r="AL22">
        <f>VISUM_Freeway_OD!AL22-Freeway_Truck!AL22-Freeway_HOT!AL22</f>
        <v>0</v>
      </c>
      <c r="AM22">
        <f>VISUM_Freeway_OD!AM22-Freeway_Truck!AM22-Freeway_HOT!AM22</f>
        <v>0</v>
      </c>
      <c r="AN22">
        <f>VISUM_Freeway_OD!AN22-Freeway_Truck!AN22-Freeway_HOT!AN22</f>
        <v>0</v>
      </c>
      <c r="AO22">
        <f>VISUM_Freeway_OD!AO22-Freeway_Truck!AO22-Freeway_HOT!AO22</f>
        <v>0</v>
      </c>
      <c r="AP22">
        <f>VISUM_Freeway_OD!AP22-Freeway_Truck!AP22-Freeway_HOT!AP22</f>
        <v>0</v>
      </c>
      <c r="AQ22">
        <f>VISUM_Freeway_OD!AQ22-Freeway_Truck!AQ22-Freeway_HOT!AQ22</f>
        <v>0</v>
      </c>
      <c r="AR22">
        <f>VISUM_Freeway_OD!AR22-Freeway_Truck!AR22-Freeway_HOT!AR22</f>
        <v>0</v>
      </c>
      <c r="AS22">
        <f>VISUM_Freeway_OD!AS22-Freeway_Truck!AS22-Freeway_HOT!AS22</f>
        <v>0</v>
      </c>
      <c r="AT22">
        <f>VISUM_Freeway_OD!AT22-Freeway_Truck!AT22-Freeway_HOT!AT22</f>
        <v>0</v>
      </c>
      <c r="AU22">
        <f>VISUM_Freeway_OD!AU22-Freeway_Truck!AU22-Freeway_HOT!AU22</f>
        <v>0</v>
      </c>
      <c r="AV22">
        <f>VISUM_Freeway_OD!AV22-Freeway_Truck!AV22-Freeway_HOT!AV22</f>
        <v>0</v>
      </c>
      <c r="AW22">
        <f>VISUM_Freeway_OD!AW22-Freeway_Truck!AW22-Freeway_HOT!AW22</f>
        <v>0</v>
      </c>
      <c r="AX22">
        <f>VISUM_Freeway_OD!AX22-Freeway_Truck!AX22-Freeway_HOT!AX22</f>
        <v>0</v>
      </c>
      <c r="AY22">
        <f>VISUM_Freeway_OD!AY22-Freeway_Truck!AY22-Freeway_HOT!AY22</f>
        <v>0</v>
      </c>
    </row>
    <row r="23" spans="1:51" x14ac:dyDescent="0.25">
      <c r="A23" s="4">
        <f>IF(VLOOKUP(B23,Freeway_Zone_Link_Mapping!$A:$C,2,FALSE)&lt;&gt;"",VLOOKUP(B23,Freeway_Zone_Link_Mapping!$A:$C,2,FALSE),"")</f>
        <v>105920110</v>
      </c>
      <c r="B23" s="4">
        <v>43</v>
      </c>
      <c r="C23">
        <f>VISUM_Freeway_OD!C23-Freeway_Truck!C23-Freeway_HOT!C23</f>
        <v>0</v>
      </c>
      <c r="D23">
        <f>VISUM_Freeway_OD!D23-Freeway_Truck!D23-Freeway_HOT!D23</f>
        <v>0</v>
      </c>
      <c r="E23">
        <f>VISUM_Freeway_OD!E23-Freeway_Truck!E23-Freeway_HOT!E23</f>
        <v>0</v>
      </c>
      <c r="F23">
        <f>VISUM_Freeway_OD!F23-Freeway_Truck!F23-Freeway_HOT!F23</f>
        <v>0</v>
      </c>
      <c r="G23">
        <f>VISUM_Freeway_OD!G23-Freeway_Truck!G23-Freeway_HOT!G23</f>
        <v>0</v>
      </c>
      <c r="H23">
        <f>VISUM_Freeway_OD!H23-Freeway_Truck!H23-Freeway_HOT!H23</f>
        <v>0</v>
      </c>
      <c r="I23">
        <f>VISUM_Freeway_OD!I23-Freeway_Truck!I23-Freeway_HOT!I23</f>
        <v>0</v>
      </c>
      <c r="J23">
        <f>VISUM_Freeway_OD!J23-Freeway_Truck!J23-Freeway_HOT!J23</f>
        <v>0</v>
      </c>
      <c r="K23">
        <f>VISUM_Freeway_OD!K23-Freeway_Truck!K23-Freeway_HOT!K23</f>
        <v>0</v>
      </c>
      <c r="L23">
        <f>VISUM_Freeway_OD!L23-Freeway_Truck!L23-Freeway_HOT!L23</f>
        <v>0</v>
      </c>
      <c r="M23">
        <f>VISUM_Freeway_OD!M23-Freeway_Truck!M23-Freeway_HOT!M23</f>
        <v>75.511223340000001</v>
      </c>
      <c r="N23">
        <f>VISUM_Freeway_OD!N23-Freeway_Truck!N23-Freeway_HOT!N23</f>
        <v>288.38349096000002</v>
      </c>
      <c r="O23">
        <f>VISUM_Freeway_OD!O23-Freeway_Truck!O23-Freeway_HOT!O23</f>
        <v>0</v>
      </c>
      <c r="P23">
        <f>VISUM_Freeway_OD!P23-Freeway_Truck!P23-Freeway_HOT!P23</f>
        <v>0</v>
      </c>
      <c r="Q23">
        <f>VISUM_Freeway_OD!Q23-Freeway_Truck!Q23-Freeway_HOT!Q23</f>
        <v>0</v>
      </c>
      <c r="R23">
        <f>VISUM_Freeway_OD!R23-Freeway_Truck!R23-Freeway_HOT!R23</f>
        <v>0</v>
      </c>
      <c r="S23">
        <f>VISUM_Freeway_OD!S23-Freeway_Truck!S23-Freeway_HOT!S23</f>
        <v>0</v>
      </c>
      <c r="T23">
        <f>VISUM_Freeway_OD!T23-Freeway_Truck!T23-Freeway_HOT!T23</f>
        <v>0</v>
      </c>
      <c r="U23">
        <f>VISUM_Freeway_OD!U23-Freeway_Truck!U23-Freeway_HOT!U23</f>
        <v>0</v>
      </c>
      <c r="V23">
        <f>VISUM_Freeway_OD!V23-Freeway_Truck!V23-Freeway_HOT!V23</f>
        <v>0</v>
      </c>
      <c r="W23">
        <f>VISUM_Freeway_OD!W23-Freeway_Truck!W23-Freeway_HOT!W23</f>
        <v>0</v>
      </c>
      <c r="X23">
        <f>VISUM_Freeway_OD!X23-Freeway_Truck!X23-Freeway_HOT!X23</f>
        <v>0</v>
      </c>
      <c r="Y23">
        <f>VISUM_Freeway_OD!Y23-Freeway_Truck!Y23-Freeway_HOT!Y23</f>
        <v>0</v>
      </c>
      <c r="Z23">
        <f>VISUM_Freeway_OD!Z23-Freeway_Truck!Z23-Freeway_HOT!Z23</f>
        <v>0</v>
      </c>
      <c r="AA23">
        <f>VISUM_Freeway_OD!AA23-Freeway_Truck!AA23-Freeway_HOT!AA23</f>
        <v>0</v>
      </c>
      <c r="AB23">
        <f>VISUM_Freeway_OD!AB23-Freeway_Truck!AB23-Freeway_HOT!AB23</f>
        <v>0</v>
      </c>
      <c r="AC23">
        <f>VISUM_Freeway_OD!AC23-Freeway_Truck!AC23-Freeway_HOT!AC23</f>
        <v>0</v>
      </c>
      <c r="AD23">
        <f>VISUM_Freeway_OD!AD23-Freeway_Truck!AD23-Freeway_HOT!AD23</f>
        <v>0</v>
      </c>
      <c r="AE23">
        <f>VISUM_Freeway_OD!AE23-Freeway_Truck!AE23-Freeway_HOT!AE23</f>
        <v>0</v>
      </c>
      <c r="AF23">
        <f>VISUM_Freeway_OD!AF23-Freeway_Truck!AF23-Freeway_HOT!AF23</f>
        <v>0</v>
      </c>
      <c r="AG23">
        <f>VISUM_Freeway_OD!AG23-Freeway_Truck!AG23-Freeway_HOT!AG23</f>
        <v>0</v>
      </c>
      <c r="AH23">
        <f>VISUM_Freeway_OD!AH23-Freeway_Truck!AH23-Freeway_HOT!AH23</f>
        <v>0</v>
      </c>
      <c r="AI23">
        <f>VISUM_Freeway_OD!AI23-Freeway_Truck!AI23-Freeway_HOT!AI23</f>
        <v>0</v>
      </c>
      <c r="AJ23">
        <f>VISUM_Freeway_OD!AJ23-Freeway_Truck!AJ23-Freeway_HOT!AJ23</f>
        <v>130.11720553000001</v>
      </c>
      <c r="AK23">
        <f>VISUM_Freeway_OD!AK23-Freeway_Truck!AK23-Freeway_HOT!AK23</f>
        <v>0</v>
      </c>
      <c r="AL23">
        <f>VISUM_Freeway_OD!AL23-Freeway_Truck!AL23-Freeway_HOT!AL23</f>
        <v>0</v>
      </c>
      <c r="AM23">
        <f>VISUM_Freeway_OD!AM23-Freeway_Truck!AM23-Freeway_HOT!AM23</f>
        <v>0</v>
      </c>
      <c r="AN23">
        <f>VISUM_Freeway_OD!AN23-Freeway_Truck!AN23-Freeway_HOT!AN23</f>
        <v>0</v>
      </c>
      <c r="AO23">
        <f>VISUM_Freeway_OD!AO23-Freeway_Truck!AO23-Freeway_HOT!AO23</f>
        <v>0</v>
      </c>
      <c r="AP23">
        <f>VISUM_Freeway_OD!AP23-Freeway_Truck!AP23-Freeway_HOT!AP23</f>
        <v>0</v>
      </c>
      <c r="AQ23">
        <f>VISUM_Freeway_OD!AQ23-Freeway_Truck!AQ23-Freeway_HOT!AQ23</f>
        <v>0</v>
      </c>
      <c r="AR23">
        <f>VISUM_Freeway_OD!AR23-Freeway_Truck!AR23-Freeway_HOT!AR23</f>
        <v>16.839213579999999</v>
      </c>
      <c r="AS23">
        <f>VISUM_Freeway_OD!AS23-Freeway_Truck!AS23-Freeway_HOT!AS23</f>
        <v>108.65121610999999</v>
      </c>
      <c r="AT23">
        <f>VISUM_Freeway_OD!AT23-Freeway_Truck!AT23-Freeway_HOT!AT23</f>
        <v>0</v>
      </c>
      <c r="AU23">
        <f>VISUM_Freeway_OD!AU23-Freeway_Truck!AU23-Freeway_HOT!AU23</f>
        <v>0</v>
      </c>
      <c r="AV23">
        <f>VISUM_Freeway_OD!AV23-Freeway_Truck!AV23-Freeway_HOT!AV23</f>
        <v>0</v>
      </c>
      <c r="AW23">
        <f>VISUM_Freeway_OD!AW23-Freeway_Truck!AW23-Freeway_HOT!AW23</f>
        <v>0</v>
      </c>
      <c r="AX23">
        <f>VISUM_Freeway_OD!AX23-Freeway_Truck!AX23-Freeway_HOT!AX23</f>
        <v>0</v>
      </c>
      <c r="AY23">
        <f>VISUM_Freeway_OD!AY23-Freeway_Truck!AY23-Freeway_HOT!AY23</f>
        <v>0</v>
      </c>
    </row>
    <row r="24" spans="1:51" x14ac:dyDescent="0.25">
      <c r="A24" s="4" t="str">
        <f>IF(VLOOKUP(B24,Freeway_Zone_Link_Mapping!$A:$C,2,FALSE)&lt;&gt;"",VLOOKUP(B24,Freeway_Zone_Link_Mapping!$A:$C,2,FALSE),"")</f>
        <v/>
      </c>
      <c r="B24" s="4">
        <v>44</v>
      </c>
      <c r="C24">
        <f>VISUM_Freeway_OD!C24-Freeway_Truck!C24-Freeway_HOT!C24</f>
        <v>0</v>
      </c>
      <c r="D24">
        <f>VISUM_Freeway_OD!D24-Freeway_Truck!D24-Freeway_HOT!D24</f>
        <v>0</v>
      </c>
      <c r="E24">
        <f>VISUM_Freeway_OD!E24-Freeway_Truck!E24-Freeway_HOT!E24</f>
        <v>0</v>
      </c>
      <c r="F24">
        <f>VISUM_Freeway_OD!F24-Freeway_Truck!F24-Freeway_HOT!F24</f>
        <v>0</v>
      </c>
      <c r="G24">
        <f>VISUM_Freeway_OD!G24-Freeway_Truck!G24-Freeway_HOT!G24</f>
        <v>0</v>
      </c>
      <c r="H24">
        <f>VISUM_Freeway_OD!H24-Freeway_Truck!H24-Freeway_HOT!H24</f>
        <v>0</v>
      </c>
      <c r="I24">
        <f>VISUM_Freeway_OD!I24-Freeway_Truck!I24-Freeway_HOT!I24</f>
        <v>0</v>
      </c>
      <c r="J24">
        <f>VISUM_Freeway_OD!J24-Freeway_Truck!J24-Freeway_HOT!J24</f>
        <v>0</v>
      </c>
      <c r="K24">
        <f>VISUM_Freeway_OD!K24-Freeway_Truck!K24-Freeway_HOT!K24</f>
        <v>0</v>
      </c>
      <c r="L24">
        <f>VISUM_Freeway_OD!L24-Freeway_Truck!L24-Freeway_HOT!L24</f>
        <v>0</v>
      </c>
      <c r="M24">
        <f>VISUM_Freeway_OD!M24-Freeway_Truck!M24-Freeway_HOT!M24</f>
        <v>0</v>
      </c>
      <c r="N24">
        <f>VISUM_Freeway_OD!N24-Freeway_Truck!N24-Freeway_HOT!N24</f>
        <v>0</v>
      </c>
      <c r="O24">
        <f>VISUM_Freeway_OD!O24-Freeway_Truck!O24-Freeway_HOT!O24</f>
        <v>0</v>
      </c>
      <c r="P24">
        <f>VISUM_Freeway_OD!P24-Freeway_Truck!P24-Freeway_HOT!P24</f>
        <v>0</v>
      </c>
      <c r="Q24">
        <f>VISUM_Freeway_OD!Q24-Freeway_Truck!Q24-Freeway_HOT!Q24</f>
        <v>0</v>
      </c>
      <c r="R24">
        <f>VISUM_Freeway_OD!R24-Freeway_Truck!R24-Freeway_HOT!R24</f>
        <v>0</v>
      </c>
      <c r="S24">
        <f>VISUM_Freeway_OD!S24-Freeway_Truck!S24-Freeway_HOT!S24</f>
        <v>0</v>
      </c>
      <c r="T24">
        <f>VISUM_Freeway_OD!T24-Freeway_Truck!T24-Freeway_HOT!T24</f>
        <v>0</v>
      </c>
      <c r="U24">
        <f>VISUM_Freeway_OD!U24-Freeway_Truck!U24-Freeway_HOT!U24</f>
        <v>0</v>
      </c>
      <c r="V24">
        <f>VISUM_Freeway_OD!V24-Freeway_Truck!V24-Freeway_HOT!V24</f>
        <v>0</v>
      </c>
      <c r="W24">
        <f>VISUM_Freeway_OD!W24-Freeway_Truck!W24-Freeway_HOT!W24</f>
        <v>0</v>
      </c>
      <c r="X24">
        <f>VISUM_Freeway_OD!X24-Freeway_Truck!X24-Freeway_HOT!X24</f>
        <v>0</v>
      </c>
      <c r="Y24">
        <f>VISUM_Freeway_OD!Y24-Freeway_Truck!Y24-Freeway_HOT!Y24</f>
        <v>0</v>
      </c>
      <c r="Z24">
        <f>VISUM_Freeway_OD!Z24-Freeway_Truck!Z24-Freeway_HOT!Z24</f>
        <v>0</v>
      </c>
      <c r="AA24">
        <f>VISUM_Freeway_OD!AA24-Freeway_Truck!AA24-Freeway_HOT!AA24</f>
        <v>0</v>
      </c>
      <c r="AB24">
        <f>VISUM_Freeway_OD!AB24-Freeway_Truck!AB24-Freeway_HOT!AB24</f>
        <v>0</v>
      </c>
      <c r="AC24">
        <f>VISUM_Freeway_OD!AC24-Freeway_Truck!AC24-Freeway_HOT!AC24</f>
        <v>0</v>
      </c>
      <c r="AD24">
        <f>VISUM_Freeway_OD!AD24-Freeway_Truck!AD24-Freeway_HOT!AD24</f>
        <v>0</v>
      </c>
      <c r="AE24">
        <f>VISUM_Freeway_OD!AE24-Freeway_Truck!AE24-Freeway_HOT!AE24</f>
        <v>0</v>
      </c>
      <c r="AF24">
        <f>VISUM_Freeway_OD!AF24-Freeway_Truck!AF24-Freeway_HOT!AF24</f>
        <v>0</v>
      </c>
      <c r="AG24">
        <f>VISUM_Freeway_OD!AG24-Freeway_Truck!AG24-Freeway_HOT!AG24</f>
        <v>0</v>
      </c>
      <c r="AH24">
        <f>VISUM_Freeway_OD!AH24-Freeway_Truck!AH24-Freeway_HOT!AH24</f>
        <v>0</v>
      </c>
      <c r="AI24">
        <f>VISUM_Freeway_OD!AI24-Freeway_Truck!AI24-Freeway_HOT!AI24</f>
        <v>0</v>
      </c>
      <c r="AJ24">
        <f>VISUM_Freeway_OD!AJ24-Freeway_Truck!AJ24-Freeway_HOT!AJ24</f>
        <v>0</v>
      </c>
      <c r="AK24">
        <f>VISUM_Freeway_OD!AK24-Freeway_Truck!AK24-Freeway_HOT!AK24</f>
        <v>0</v>
      </c>
      <c r="AL24">
        <f>VISUM_Freeway_OD!AL24-Freeway_Truck!AL24-Freeway_HOT!AL24</f>
        <v>0</v>
      </c>
      <c r="AM24">
        <f>VISUM_Freeway_OD!AM24-Freeway_Truck!AM24-Freeway_HOT!AM24</f>
        <v>0</v>
      </c>
      <c r="AN24">
        <f>VISUM_Freeway_OD!AN24-Freeway_Truck!AN24-Freeway_HOT!AN24</f>
        <v>0</v>
      </c>
      <c r="AO24">
        <f>VISUM_Freeway_OD!AO24-Freeway_Truck!AO24-Freeway_HOT!AO24</f>
        <v>0</v>
      </c>
      <c r="AP24">
        <f>VISUM_Freeway_OD!AP24-Freeway_Truck!AP24-Freeway_HOT!AP24</f>
        <v>0</v>
      </c>
      <c r="AQ24">
        <f>VISUM_Freeway_OD!AQ24-Freeway_Truck!AQ24-Freeway_HOT!AQ24</f>
        <v>0</v>
      </c>
      <c r="AR24">
        <f>VISUM_Freeway_OD!AR24-Freeway_Truck!AR24-Freeway_HOT!AR24</f>
        <v>0</v>
      </c>
      <c r="AS24">
        <f>VISUM_Freeway_OD!AS24-Freeway_Truck!AS24-Freeway_HOT!AS24</f>
        <v>0</v>
      </c>
      <c r="AT24">
        <f>VISUM_Freeway_OD!AT24-Freeway_Truck!AT24-Freeway_HOT!AT24</f>
        <v>0</v>
      </c>
      <c r="AU24">
        <f>VISUM_Freeway_OD!AU24-Freeway_Truck!AU24-Freeway_HOT!AU24</f>
        <v>0</v>
      </c>
      <c r="AV24">
        <f>VISUM_Freeway_OD!AV24-Freeway_Truck!AV24-Freeway_HOT!AV24</f>
        <v>0</v>
      </c>
      <c r="AW24">
        <f>VISUM_Freeway_OD!AW24-Freeway_Truck!AW24-Freeway_HOT!AW24</f>
        <v>0</v>
      </c>
      <c r="AX24">
        <f>VISUM_Freeway_OD!AX24-Freeway_Truck!AX24-Freeway_HOT!AX24</f>
        <v>0</v>
      </c>
      <c r="AY24">
        <f>VISUM_Freeway_OD!AY24-Freeway_Truck!AY24-Freeway_HOT!AY24</f>
        <v>0</v>
      </c>
    </row>
    <row r="25" spans="1:51" x14ac:dyDescent="0.25">
      <c r="A25" s="4">
        <f>IF(VLOOKUP(B25,Freeway_Zone_Link_Mapping!$A:$C,2,FALSE)&lt;&gt;"",VLOOKUP(B25,Freeway_Zone_Link_Mapping!$A:$C,2,FALSE),"")</f>
        <v>214</v>
      </c>
      <c r="B25" s="4">
        <v>45</v>
      </c>
      <c r="C25">
        <f>VISUM_Freeway_OD!C25-Freeway_Truck!C25-Freeway_HOT!C25</f>
        <v>0</v>
      </c>
      <c r="D25">
        <f>VISUM_Freeway_OD!D25-Freeway_Truck!D25-Freeway_HOT!D25</f>
        <v>0</v>
      </c>
      <c r="E25">
        <f>VISUM_Freeway_OD!E25-Freeway_Truck!E25-Freeway_HOT!E25</f>
        <v>0</v>
      </c>
      <c r="F25">
        <f>VISUM_Freeway_OD!F25-Freeway_Truck!F25-Freeway_HOT!F25</f>
        <v>0</v>
      </c>
      <c r="G25">
        <f>VISUM_Freeway_OD!G25-Freeway_Truck!G25-Freeway_HOT!G25</f>
        <v>0</v>
      </c>
      <c r="H25">
        <f>VISUM_Freeway_OD!H25-Freeway_Truck!H25-Freeway_HOT!H25</f>
        <v>0</v>
      </c>
      <c r="I25">
        <f>VISUM_Freeway_OD!I25-Freeway_Truck!I25-Freeway_HOT!I25</f>
        <v>0</v>
      </c>
      <c r="J25">
        <f>VISUM_Freeway_OD!J25-Freeway_Truck!J25-Freeway_HOT!J25</f>
        <v>0</v>
      </c>
      <c r="K25">
        <f>VISUM_Freeway_OD!K25-Freeway_Truck!K25-Freeway_HOT!K25</f>
        <v>0</v>
      </c>
      <c r="L25">
        <f>VISUM_Freeway_OD!L25-Freeway_Truck!L25-Freeway_HOT!L25</f>
        <v>0</v>
      </c>
      <c r="M25">
        <f>VISUM_Freeway_OD!M25-Freeway_Truck!M25-Freeway_HOT!M25</f>
        <v>50.988643639999999</v>
      </c>
      <c r="N25">
        <f>VISUM_Freeway_OD!N25-Freeway_Truck!N25-Freeway_HOT!N25</f>
        <v>190.50467387</v>
      </c>
      <c r="O25">
        <f>VISUM_Freeway_OD!O25-Freeway_Truck!O25-Freeway_HOT!O25</f>
        <v>0</v>
      </c>
      <c r="P25">
        <f>VISUM_Freeway_OD!P25-Freeway_Truck!P25-Freeway_HOT!P25</f>
        <v>0</v>
      </c>
      <c r="Q25">
        <f>VISUM_Freeway_OD!Q25-Freeway_Truck!Q25-Freeway_HOT!Q25</f>
        <v>0</v>
      </c>
      <c r="R25">
        <f>VISUM_Freeway_OD!R25-Freeway_Truck!R25-Freeway_HOT!R25</f>
        <v>0</v>
      </c>
      <c r="S25">
        <f>VISUM_Freeway_OD!S25-Freeway_Truck!S25-Freeway_HOT!S25</f>
        <v>0</v>
      </c>
      <c r="T25">
        <f>VISUM_Freeway_OD!T25-Freeway_Truck!T25-Freeway_HOT!T25</f>
        <v>0</v>
      </c>
      <c r="U25">
        <f>VISUM_Freeway_OD!U25-Freeway_Truck!U25-Freeway_HOT!U25</f>
        <v>0</v>
      </c>
      <c r="V25">
        <f>VISUM_Freeway_OD!V25-Freeway_Truck!V25-Freeway_HOT!V25</f>
        <v>0</v>
      </c>
      <c r="W25">
        <f>VISUM_Freeway_OD!W25-Freeway_Truck!W25-Freeway_HOT!W25</f>
        <v>0</v>
      </c>
      <c r="X25">
        <f>VISUM_Freeway_OD!X25-Freeway_Truck!X25-Freeway_HOT!X25</f>
        <v>0</v>
      </c>
      <c r="Y25">
        <f>VISUM_Freeway_OD!Y25-Freeway_Truck!Y25-Freeway_HOT!Y25</f>
        <v>0</v>
      </c>
      <c r="Z25">
        <f>VISUM_Freeway_OD!Z25-Freeway_Truck!Z25-Freeway_HOT!Z25</f>
        <v>0</v>
      </c>
      <c r="AA25">
        <f>VISUM_Freeway_OD!AA25-Freeway_Truck!AA25-Freeway_HOT!AA25</f>
        <v>0</v>
      </c>
      <c r="AB25">
        <f>VISUM_Freeway_OD!AB25-Freeway_Truck!AB25-Freeway_HOT!AB25</f>
        <v>0</v>
      </c>
      <c r="AC25">
        <f>VISUM_Freeway_OD!AC25-Freeway_Truck!AC25-Freeway_HOT!AC25</f>
        <v>0</v>
      </c>
      <c r="AD25">
        <f>VISUM_Freeway_OD!AD25-Freeway_Truck!AD25-Freeway_HOT!AD25</f>
        <v>0</v>
      </c>
      <c r="AE25">
        <f>VISUM_Freeway_OD!AE25-Freeway_Truck!AE25-Freeway_HOT!AE25</f>
        <v>0</v>
      </c>
      <c r="AF25">
        <f>VISUM_Freeway_OD!AF25-Freeway_Truck!AF25-Freeway_HOT!AF25</f>
        <v>0</v>
      </c>
      <c r="AG25">
        <f>VISUM_Freeway_OD!AG25-Freeway_Truck!AG25-Freeway_HOT!AG25</f>
        <v>0</v>
      </c>
      <c r="AH25">
        <f>VISUM_Freeway_OD!AH25-Freeway_Truck!AH25-Freeway_HOT!AH25</f>
        <v>0</v>
      </c>
      <c r="AI25">
        <f>VISUM_Freeway_OD!AI25-Freeway_Truck!AI25-Freeway_HOT!AI25</f>
        <v>0</v>
      </c>
      <c r="AJ25">
        <f>VISUM_Freeway_OD!AJ25-Freeway_Truck!AJ25-Freeway_HOT!AJ25</f>
        <v>297.13300056999998</v>
      </c>
      <c r="AK25">
        <f>VISUM_Freeway_OD!AK25-Freeway_Truck!AK25-Freeway_HOT!AK25</f>
        <v>0</v>
      </c>
      <c r="AL25">
        <f>VISUM_Freeway_OD!AL25-Freeway_Truck!AL25-Freeway_HOT!AL25</f>
        <v>0</v>
      </c>
      <c r="AM25">
        <f>VISUM_Freeway_OD!AM25-Freeway_Truck!AM25-Freeway_HOT!AM25</f>
        <v>0</v>
      </c>
      <c r="AN25">
        <f>VISUM_Freeway_OD!AN25-Freeway_Truck!AN25-Freeway_HOT!AN25</f>
        <v>0</v>
      </c>
      <c r="AO25">
        <f>VISUM_Freeway_OD!AO25-Freeway_Truck!AO25-Freeway_HOT!AO25</f>
        <v>0</v>
      </c>
      <c r="AP25">
        <f>VISUM_Freeway_OD!AP25-Freeway_Truck!AP25-Freeway_HOT!AP25</f>
        <v>0</v>
      </c>
      <c r="AQ25">
        <f>VISUM_Freeway_OD!AQ25-Freeway_Truck!AQ25-Freeway_HOT!AQ25</f>
        <v>0</v>
      </c>
      <c r="AR25">
        <f>VISUM_Freeway_OD!AR25-Freeway_Truck!AR25-Freeway_HOT!AR25</f>
        <v>38.453687690000002</v>
      </c>
      <c r="AS25">
        <f>VISUM_Freeway_OD!AS25-Freeway_Truck!AS25-Freeway_HOT!AS25</f>
        <v>71.347606009999993</v>
      </c>
      <c r="AT25">
        <f>VISUM_Freeway_OD!AT25-Freeway_Truck!AT25-Freeway_HOT!AT25</f>
        <v>0</v>
      </c>
      <c r="AU25">
        <f>VISUM_Freeway_OD!AU25-Freeway_Truck!AU25-Freeway_HOT!AU25</f>
        <v>0</v>
      </c>
      <c r="AV25">
        <f>VISUM_Freeway_OD!AV25-Freeway_Truck!AV25-Freeway_HOT!AV25</f>
        <v>0</v>
      </c>
      <c r="AW25">
        <f>VISUM_Freeway_OD!AW25-Freeway_Truck!AW25-Freeway_HOT!AW25</f>
        <v>0</v>
      </c>
      <c r="AX25">
        <f>VISUM_Freeway_OD!AX25-Freeway_Truck!AX25-Freeway_HOT!AX25</f>
        <v>0</v>
      </c>
      <c r="AY25">
        <f>VISUM_Freeway_OD!AY25-Freeway_Truck!AY25-Freeway_HOT!AY25</f>
        <v>0</v>
      </c>
    </row>
    <row r="26" spans="1:51" x14ac:dyDescent="0.25">
      <c r="A26" s="4">
        <f>IF(VLOOKUP(B26,Freeway_Zone_Link_Mapping!$A:$C,2,FALSE)&lt;&gt;"",VLOOKUP(B26,Freeway_Zone_Link_Mapping!$A:$C,2,FALSE),"")</f>
        <v>191</v>
      </c>
      <c r="B26" s="4">
        <v>46</v>
      </c>
      <c r="C26">
        <f>VISUM_Freeway_OD!C26-Freeway_Truck!C26-Freeway_HOT!C26</f>
        <v>0</v>
      </c>
      <c r="D26">
        <f>VISUM_Freeway_OD!D26-Freeway_Truck!D26-Freeway_HOT!D26</f>
        <v>0</v>
      </c>
      <c r="E26">
        <f>VISUM_Freeway_OD!E26-Freeway_Truck!E26-Freeway_HOT!E26</f>
        <v>0</v>
      </c>
      <c r="F26">
        <f>VISUM_Freeway_OD!F26-Freeway_Truck!F26-Freeway_HOT!F26</f>
        <v>0</v>
      </c>
      <c r="G26">
        <f>VISUM_Freeway_OD!G26-Freeway_Truck!G26-Freeway_HOT!G26</f>
        <v>0</v>
      </c>
      <c r="H26">
        <f>VISUM_Freeway_OD!H26-Freeway_Truck!H26-Freeway_HOT!H26</f>
        <v>0</v>
      </c>
      <c r="I26">
        <f>VISUM_Freeway_OD!I26-Freeway_Truck!I26-Freeway_HOT!I26</f>
        <v>0</v>
      </c>
      <c r="J26">
        <f>VISUM_Freeway_OD!J26-Freeway_Truck!J26-Freeway_HOT!J26</f>
        <v>0</v>
      </c>
      <c r="K26">
        <f>VISUM_Freeway_OD!K26-Freeway_Truck!K26-Freeway_HOT!K26</f>
        <v>0</v>
      </c>
      <c r="L26">
        <f>VISUM_Freeway_OD!L26-Freeway_Truck!L26-Freeway_HOT!L26</f>
        <v>0</v>
      </c>
      <c r="M26">
        <f>VISUM_Freeway_OD!M26-Freeway_Truck!M26-Freeway_HOT!M26</f>
        <v>0</v>
      </c>
      <c r="N26">
        <f>VISUM_Freeway_OD!N26-Freeway_Truck!N26-Freeway_HOT!N26</f>
        <v>0</v>
      </c>
      <c r="O26">
        <f>VISUM_Freeway_OD!O26-Freeway_Truck!O26-Freeway_HOT!O26</f>
        <v>0</v>
      </c>
      <c r="P26">
        <f>VISUM_Freeway_OD!P26-Freeway_Truck!P26-Freeway_HOT!P26</f>
        <v>159.89585199999999</v>
      </c>
      <c r="Q26">
        <f>VISUM_Freeway_OD!Q26-Freeway_Truck!Q26-Freeway_HOT!Q26</f>
        <v>0</v>
      </c>
      <c r="R26">
        <f>VISUM_Freeway_OD!R26-Freeway_Truck!R26-Freeway_HOT!R26</f>
        <v>0</v>
      </c>
      <c r="S26">
        <f>VISUM_Freeway_OD!S26-Freeway_Truck!S26-Freeway_HOT!S26</f>
        <v>0</v>
      </c>
      <c r="T26">
        <f>VISUM_Freeway_OD!T26-Freeway_Truck!T26-Freeway_HOT!T26</f>
        <v>0</v>
      </c>
      <c r="U26">
        <f>VISUM_Freeway_OD!U26-Freeway_Truck!U26-Freeway_HOT!U26</f>
        <v>0</v>
      </c>
      <c r="V26">
        <f>VISUM_Freeway_OD!V26-Freeway_Truck!V26-Freeway_HOT!V26</f>
        <v>0</v>
      </c>
      <c r="W26">
        <f>VISUM_Freeway_OD!W26-Freeway_Truck!W26-Freeway_HOT!W26</f>
        <v>0</v>
      </c>
      <c r="X26">
        <f>VISUM_Freeway_OD!X26-Freeway_Truck!X26-Freeway_HOT!X26</f>
        <v>0</v>
      </c>
      <c r="Y26">
        <f>VISUM_Freeway_OD!Y26-Freeway_Truck!Y26-Freeway_HOT!Y26</f>
        <v>0</v>
      </c>
      <c r="Z26">
        <f>VISUM_Freeway_OD!Z26-Freeway_Truck!Z26-Freeway_HOT!Z26</f>
        <v>0</v>
      </c>
      <c r="AA26">
        <f>VISUM_Freeway_OD!AA26-Freeway_Truck!AA26-Freeway_HOT!AA26</f>
        <v>0</v>
      </c>
      <c r="AB26">
        <f>VISUM_Freeway_OD!AB26-Freeway_Truck!AB26-Freeway_HOT!AB26</f>
        <v>0</v>
      </c>
      <c r="AC26">
        <f>VISUM_Freeway_OD!AC26-Freeway_Truck!AC26-Freeway_HOT!AC26</f>
        <v>0</v>
      </c>
      <c r="AD26">
        <f>VISUM_Freeway_OD!AD26-Freeway_Truck!AD26-Freeway_HOT!AD26</f>
        <v>0</v>
      </c>
      <c r="AE26">
        <f>VISUM_Freeway_OD!AE26-Freeway_Truck!AE26-Freeway_HOT!AE26</f>
        <v>0</v>
      </c>
      <c r="AF26">
        <f>VISUM_Freeway_OD!AF26-Freeway_Truck!AF26-Freeway_HOT!AF26</f>
        <v>0</v>
      </c>
      <c r="AG26">
        <f>VISUM_Freeway_OD!AG26-Freeway_Truck!AG26-Freeway_HOT!AG26</f>
        <v>0</v>
      </c>
      <c r="AH26">
        <f>VISUM_Freeway_OD!AH26-Freeway_Truck!AH26-Freeway_HOT!AH26</f>
        <v>0</v>
      </c>
      <c r="AI26">
        <f>VISUM_Freeway_OD!AI26-Freeway_Truck!AI26-Freeway_HOT!AI26</f>
        <v>0</v>
      </c>
      <c r="AJ26">
        <f>VISUM_Freeway_OD!AJ26-Freeway_Truck!AJ26-Freeway_HOT!AJ26</f>
        <v>0</v>
      </c>
      <c r="AK26">
        <f>VISUM_Freeway_OD!AK26-Freeway_Truck!AK26-Freeway_HOT!AK26</f>
        <v>0</v>
      </c>
      <c r="AL26">
        <f>VISUM_Freeway_OD!AL26-Freeway_Truck!AL26-Freeway_HOT!AL26</f>
        <v>0</v>
      </c>
      <c r="AM26">
        <f>VISUM_Freeway_OD!AM26-Freeway_Truck!AM26-Freeway_HOT!AM26</f>
        <v>0</v>
      </c>
      <c r="AN26">
        <f>VISUM_Freeway_OD!AN26-Freeway_Truck!AN26-Freeway_HOT!AN26</f>
        <v>0</v>
      </c>
      <c r="AO26">
        <f>VISUM_Freeway_OD!AO26-Freeway_Truck!AO26-Freeway_HOT!AO26</f>
        <v>0</v>
      </c>
      <c r="AP26">
        <f>VISUM_Freeway_OD!AP26-Freeway_Truck!AP26-Freeway_HOT!AP26</f>
        <v>0</v>
      </c>
      <c r="AQ26">
        <f>VISUM_Freeway_OD!AQ26-Freeway_Truck!AQ26-Freeway_HOT!AQ26</f>
        <v>0</v>
      </c>
      <c r="AR26">
        <f>VISUM_Freeway_OD!AR26-Freeway_Truck!AR26-Freeway_HOT!AR26</f>
        <v>0</v>
      </c>
      <c r="AS26">
        <f>VISUM_Freeway_OD!AS26-Freeway_Truck!AS26-Freeway_HOT!AS26</f>
        <v>0</v>
      </c>
      <c r="AT26">
        <f>VISUM_Freeway_OD!AT26-Freeway_Truck!AT26-Freeway_HOT!AT26</f>
        <v>0</v>
      </c>
      <c r="AU26">
        <f>VISUM_Freeway_OD!AU26-Freeway_Truck!AU26-Freeway_HOT!AU26</f>
        <v>0</v>
      </c>
      <c r="AV26">
        <f>VISUM_Freeway_OD!AV26-Freeway_Truck!AV26-Freeway_HOT!AV26</f>
        <v>0</v>
      </c>
      <c r="AW26">
        <f>VISUM_Freeway_OD!AW26-Freeway_Truck!AW26-Freeway_HOT!AW26</f>
        <v>0</v>
      </c>
      <c r="AX26">
        <f>VISUM_Freeway_OD!AX26-Freeway_Truck!AX26-Freeway_HOT!AX26</f>
        <v>0</v>
      </c>
      <c r="AY26">
        <f>VISUM_Freeway_OD!AY26-Freeway_Truck!AY26-Freeway_HOT!AY26</f>
        <v>0</v>
      </c>
    </row>
    <row r="27" spans="1:51" x14ac:dyDescent="0.25">
      <c r="A27" s="4">
        <f>IF(VLOOKUP(B27,Freeway_Zone_Link_Mapping!$A:$C,2,FALSE)&lt;&gt;"",VLOOKUP(B27,Freeway_Zone_Link_Mapping!$A:$C,2,FALSE),"")</f>
        <v>196</v>
      </c>
      <c r="B27" s="4">
        <v>47</v>
      </c>
      <c r="C27">
        <f>VISUM_Freeway_OD!C27-Freeway_Truck!C27-Freeway_HOT!C27</f>
        <v>0</v>
      </c>
      <c r="D27">
        <f>VISUM_Freeway_OD!D27-Freeway_Truck!D27-Freeway_HOT!D27</f>
        <v>0</v>
      </c>
      <c r="E27">
        <f>VISUM_Freeway_OD!E27-Freeway_Truck!E27-Freeway_HOT!E27</f>
        <v>0</v>
      </c>
      <c r="F27">
        <f>VISUM_Freeway_OD!F27-Freeway_Truck!F27-Freeway_HOT!F27</f>
        <v>0</v>
      </c>
      <c r="G27">
        <f>VISUM_Freeway_OD!G27-Freeway_Truck!G27-Freeway_HOT!G27</f>
        <v>5.1905080000000003</v>
      </c>
      <c r="H27">
        <f>VISUM_Freeway_OD!H27-Freeway_Truck!H27-Freeway_HOT!H27</f>
        <v>0</v>
      </c>
      <c r="I27">
        <f>VISUM_Freeway_OD!I27-Freeway_Truck!I27-Freeway_HOT!I27</f>
        <v>0</v>
      </c>
      <c r="J27">
        <f>VISUM_Freeway_OD!J27-Freeway_Truck!J27-Freeway_HOT!J27</f>
        <v>0</v>
      </c>
      <c r="K27">
        <f>VISUM_Freeway_OD!K27-Freeway_Truck!K27-Freeway_HOT!K27</f>
        <v>0</v>
      </c>
      <c r="L27">
        <f>VISUM_Freeway_OD!L27-Freeway_Truck!L27-Freeway_HOT!L27</f>
        <v>0</v>
      </c>
      <c r="M27">
        <f>VISUM_Freeway_OD!M27-Freeway_Truck!M27-Freeway_HOT!M27</f>
        <v>0</v>
      </c>
      <c r="N27">
        <f>VISUM_Freeway_OD!N27-Freeway_Truck!N27-Freeway_HOT!N27</f>
        <v>0</v>
      </c>
      <c r="O27">
        <f>VISUM_Freeway_OD!O27-Freeway_Truck!O27-Freeway_HOT!O27</f>
        <v>0</v>
      </c>
      <c r="P27">
        <f>VISUM_Freeway_OD!P27-Freeway_Truck!P27-Freeway_HOT!P27</f>
        <v>0</v>
      </c>
      <c r="Q27">
        <f>VISUM_Freeway_OD!Q27-Freeway_Truck!Q27-Freeway_HOT!Q27</f>
        <v>0</v>
      </c>
      <c r="R27">
        <f>VISUM_Freeway_OD!R27-Freeway_Truck!R27-Freeway_HOT!R27</f>
        <v>0</v>
      </c>
      <c r="S27">
        <f>VISUM_Freeway_OD!S27-Freeway_Truck!S27-Freeway_HOT!S27</f>
        <v>0</v>
      </c>
      <c r="T27">
        <f>VISUM_Freeway_OD!T27-Freeway_Truck!T27-Freeway_HOT!T27</f>
        <v>0</v>
      </c>
      <c r="U27">
        <f>VISUM_Freeway_OD!U27-Freeway_Truck!U27-Freeway_HOT!U27</f>
        <v>0</v>
      </c>
      <c r="V27">
        <f>VISUM_Freeway_OD!V27-Freeway_Truck!V27-Freeway_HOT!V27</f>
        <v>0</v>
      </c>
      <c r="W27">
        <f>VISUM_Freeway_OD!W27-Freeway_Truck!W27-Freeway_HOT!W27</f>
        <v>0</v>
      </c>
      <c r="X27">
        <f>VISUM_Freeway_OD!X27-Freeway_Truck!X27-Freeway_HOT!X27</f>
        <v>0</v>
      </c>
      <c r="Y27">
        <f>VISUM_Freeway_OD!Y27-Freeway_Truck!Y27-Freeway_HOT!Y27</f>
        <v>0</v>
      </c>
      <c r="Z27">
        <f>VISUM_Freeway_OD!Z27-Freeway_Truck!Z27-Freeway_HOT!Z27</f>
        <v>0</v>
      </c>
      <c r="AA27">
        <f>VISUM_Freeway_OD!AA27-Freeway_Truck!AA27-Freeway_HOT!AA27</f>
        <v>0</v>
      </c>
      <c r="AB27">
        <f>VISUM_Freeway_OD!AB27-Freeway_Truck!AB27-Freeway_HOT!AB27</f>
        <v>0</v>
      </c>
      <c r="AC27">
        <f>VISUM_Freeway_OD!AC27-Freeway_Truck!AC27-Freeway_HOT!AC27</f>
        <v>0</v>
      </c>
      <c r="AD27">
        <f>VISUM_Freeway_OD!AD27-Freeway_Truck!AD27-Freeway_HOT!AD27</f>
        <v>0</v>
      </c>
      <c r="AE27">
        <f>VISUM_Freeway_OD!AE27-Freeway_Truck!AE27-Freeway_HOT!AE27</f>
        <v>0</v>
      </c>
      <c r="AF27">
        <f>VISUM_Freeway_OD!AF27-Freeway_Truck!AF27-Freeway_HOT!AF27</f>
        <v>0</v>
      </c>
      <c r="AG27">
        <f>VISUM_Freeway_OD!AG27-Freeway_Truck!AG27-Freeway_HOT!AG27</f>
        <v>0</v>
      </c>
      <c r="AH27">
        <f>VISUM_Freeway_OD!AH27-Freeway_Truck!AH27-Freeway_HOT!AH27</f>
        <v>0</v>
      </c>
      <c r="AI27">
        <f>VISUM_Freeway_OD!AI27-Freeway_Truck!AI27-Freeway_HOT!AI27</f>
        <v>0</v>
      </c>
      <c r="AJ27">
        <f>VISUM_Freeway_OD!AJ27-Freeway_Truck!AJ27-Freeway_HOT!AJ27</f>
        <v>0</v>
      </c>
      <c r="AK27">
        <f>VISUM_Freeway_OD!AK27-Freeway_Truck!AK27-Freeway_HOT!AK27</f>
        <v>0</v>
      </c>
      <c r="AL27">
        <f>VISUM_Freeway_OD!AL27-Freeway_Truck!AL27-Freeway_HOT!AL27</f>
        <v>0</v>
      </c>
      <c r="AM27">
        <f>VISUM_Freeway_OD!AM27-Freeway_Truck!AM27-Freeway_HOT!AM27</f>
        <v>0</v>
      </c>
      <c r="AN27">
        <f>VISUM_Freeway_OD!AN27-Freeway_Truck!AN27-Freeway_HOT!AN27</f>
        <v>50.845618000000002</v>
      </c>
      <c r="AO27">
        <f>VISUM_Freeway_OD!AO27-Freeway_Truck!AO27-Freeway_HOT!AO27</f>
        <v>0</v>
      </c>
      <c r="AP27">
        <f>VISUM_Freeway_OD!AP27-Freeway_Truck!AP27-Freeway_HOT!AP27</f>
        <v>0</v>
      </c>
      <c r="AQ27">
        <f>VISUM_Freeway_OD!AQ27-Freeway_Truck!AQ27-Freeway_HOT!AQ27</f>
        <v>91.558920999999998</v>
      </c>
      <c r="AR27">
        <f>VISUM_Freeway_OD!AR27-Freeway_Truck!AR27-Freeway_HOT!AR27</f>
        <v>0</v>
      </c>
      <c r="AS27">
        <f>VISUM_Freeway_OD!AS27-Freeway_Truck!AS27-Freeway_HOT!AS27</f>
        <v>0</v>
      </c>
      <c r="AT27">
        <f>VISUM_Freeway_OD!AT27-Freeway_Truck!AT27-Freeway_HOT!AT27</f>
        <v>192.33905300000001</v>
      </c>
      <c r="AU27">
        <f>VISUM_Freeway_OD!AU27-Freeway_Truck!AU27-Freeway_HOT!AU27</f>
        <v>0</v>
      </c>
      <c r="AV27">
        <f>VISUM_Freeway_OD!AV27-Freeway_Truck!AV27-Freeway_HOT!AV27</f>
        <v>0</v>
      </c>
      <c r="AW27">
        <f>VISUM_Freeway_OD!AW27-Freeway_Truck!AW27-Freeway_HOT!AW27</f>
        <v>0</v>
      </c>
      <c r="AX27">
        <f>VISUM_Freeway_OD!AX27-Freeway_Truck!AX27-Freeway_HOT!AX27</f>
        <v>0</v>
      </c>
      <c r="AY27">
        <f>VISUM_Freeway_OD!AY27-Freeway_Truck!AY27-Freeway_HOT!AY27</f>
        <v>0</v>
      </c>
    </row>
    <row r="28" spans="1:51" x14ac:dyDescent="0.25">
      <c r="A28" s="4" t="str">
        <f>IF(VLOOKUP(B28,Freeway_Zone_Link_Mapping!$A:$C,2,FALSE)&lt;&gt;"",VLOOKUP(B28,Freeway_Zone_Link_Mapping!$A:$C,2,FALSE),"")</f>
        <v/>
      </c>
      <c r="B28" s="4">
        <v>48</v>
      </c>
      <c r="C28">
        <f>VISUM_Freeway_OD!C28-Freeway_Truck!C28-Freeway_HOT!C28</f>
        <v>0</v>
      </c>
      <c r="D28">
        <f>VISUM_Freeway_OD!D28-Freeway_Truck!D28-Freeway_HOT!D28</f>
        <v>0</v>
      </c>
      <c r="E28">
        <f>VISUM_Freeway_OD!E28-Freeway_Truck!E28-Freeway_HOT!E28</f>
        <v>0</v>
      </c>
      <c r="F28">
        <f>VISUM_Freeway_OD!F28-Freeway_Truck!F28-Freeway_HOT!F28</f>
        <v>0</v>
      </c>
      <c r="G28">
        <f>VISUM_Freeway_OD!G28-Freeway_Truck!G28-Freeway_HOT!G28</f>
        <v>0</v>
      </c>
      <c r="H28">
        <f>VISUM_Freeway_OD!H28-Freeway_Truck!H28-Freeway_HOT!H28</f>
        <v>0</v>
      </c>
      <c r="I28">
        <f>VISUM_Freeway_OD!I28-Freeway_Truck!I28-Freeway_HOT!I28</f>
        <v>0</v>
      </c>
      <c r="J28">
        <f>VISUM_Freeway_OD!J28-Freeway_Truck!J28-Freeway_HOT!J28</f>
        <v>0</v>
      </c>
      <c r="K28">
        <f>VISUM_Freeway_OD!K28-Freeway_Truck!K28-Freeway_HOT!K28</f>
        <v>0</v>
      </c>
      <c r="L28">
        <f>VISUM_Freeway_OD!L28-Freeway_Truck!L28-Freeway_HOT!L28</f>
        <v>0</v>
      </c>
      <c r="M28">
        <f>VISUM_Freeway_OD!M28-Freeway_Truck!M28-Freeway_HOT!M28</f>
        <v>0</v>
      </c>
      <c r="N28">
        <f>VISUM_Freeway_OD!N28-Freeway_Truck!N28-Freeway_HOT!N28</f>
        <v>0</v>
      </c>
      <c r="O28">
        <f>VISUM_Freeway_OD!O28-Freeway_Truck!O28-Freeway_HOT!O28</f>
        <v>0</v>
      </c>
      <c r="P28">
        <f>VISUM_Freeway_OD!P28-Freeway_Truck!P28-Freeway_HOT!P28</f>
        <v>0</v>
      </c>
      <c r="Q28">
        <f>VISUM_Freeway_OD!Q28-Freeway_Truck!Q28-Freeway_HOT!Q28</f>
        <v>0</v>
      </c>
      <c r="R28">
        <f>VISUM_Freeway_OD!R28-Freeway_Truck!R28-Freeway_HOT!R28</f>
        <v>0</v>
      </c>
      <c r="S28">
        <f>VISUM_Freeway_OD!S28-Freeway_Truck!S28-Freeway_HOT!S28</f>
        <v>0</v>
      </c>
      <c r="T28">
        <f>VISUM_Freeway_OD!T28-Freeway_Truck!T28-Freeway_HOT!T28</f>
        <v>0</v>
      </c>
      <c r="U28">
        <f>VISUM_Freeway_OD!U28-Freeway_Truck!U28-Freeway_HOT!U28</f>
        <v>0</v>
      </c>
      <c r="V28">
        <f>VISUM_Freeway_OD!V28-Freeway_Truck!V28-Freeway_HOT!V28</f>
        <v>0</v>
      </c>
      <c r="W28">
        <f>VISUM_Freeway_OD!W28-Freeway_Truck!W28-Freeway_HOT!W28</f>
        <v>0</v>
      </c>
      <c r="X28">
        <f>VISUM_Freeway_OD!X28-Freeway_Truck!X28-Freeway_HOT!X28</f>
        <v>0</v>
      </c>
      <c r="Y28">
        <f>VISUM_Freeway_OD!Y28-Freeway_Truck!Y28-Freeway_HOT!Y28</f>
        <v>0</v>
      </c>
      <c r="Z28">
        <f>VISUM_Freeway_OD!Z28-Freeway_Truck!Z28-Freeway_HOT!Z28</f>
        <v>0</v>
      </c>
      <c r="AA28">
        <f>VISUM_Freeway_OD!AA28-Freeway_Truck!AA28-Freeway_HOT!AA28</f>
        <v>0</v>
      </c>
      <c r="AB28">
        <f>VISUM_Freeway_OD!AB28-Freeway_Truck!AB28-Freeway_HOT!AB28</f>
        <v>0</v>
      </c>
      <c r="AC28">
        <f>VISUM_Freeway_OD!AC28-Freeway_Truck!AC28-Freeway_HOT!AC28</f>
        <v>0</v>
      </c>
      <c r="AD28">
        <f>VISUM_Freeway_OD!AD28-Freeway_Truck!AD28-Freeway_HOT!AD28</f>
        <v>0</v>
      </c>
      <c r="AE28">
        <f>VISUM_Freeway_OD!AE28-Freeway_Truck!AE28-Freeway_HOT!AE28</f>
        <v>0</v>
      </c>
      <c r="AF28">
        <f>VISUM_Freeway_OD!AF28-Freeway_Truck!AF28-Freeway_HOT!AF28</f>
        <v>0</v>
      </c>
      <c r="AG28">
        <f>VISUM_Freeway_OD!AG28-Freeway_Truck!AG28-Freeway_HOT!AG28</f>
        <v>0</v>
      </c>
      <c r="AH28">
        <f>VISUM_Freeway_OD!AH28-Freeway_Truck!AH28-Freeway_HOT!AH28</f>
        <v>0</v>
      </c>
      <c r="AI28">
        <f>VISUM_Freeway_OD!AI28-Freeway_Truck!AI28-Freeway_HOT!AI28</f>
        <v>0</v>
      </c>
      <c r="AJ28">
        <f>VISUM_Freeway_OD!AJ28-Freeway_Truck!AJ28-Freeway_HOT!AJ28</f>
        <v>0</v>
      </c>
      <c r="AK28">
        <f>VISUM_Freeway_OD!AK28-Freeway_Truck!AK28-Freeway_HOT!AK28</f>
        <v>0</v>
      </c>
      <c r="AL28">
        <f>VISUM_Freeway_OD!AL28-Freeway_Truck!AL28-Freeway_HOT!AL28</f>
        <v>0</v>
      </c>
      <c r="AM28">
        <f>VISUM_Freeway_OD!AM28-Freeway_Truck!AM28-Freeway_HOT!AM28</f>
        <v>0</v>
      </c>
      <c r="AN28">
        <f>VISUM_Freeway_OD!AN28-Freeway_Truck!AN28-Freeway_HOT!AN28</f>
        <v>0</v>
      </c>
      <c r="AO28">
        <f>VISUM_Freeway_OD!AO28-Freeway_Truck!AO28-Freeway_HOT!AO28</f>
        <v>0</v>
      </c>
      <c r="AP28">
        <f>VISUM_Freeway_OD!AP28-Freeway_Truck!AP28-Freeway_HOT!AP28</f>
        <v>0</v>
      </c>
      <c r="AQ28">
        <f>VISUM_Freeway_OD!AQ28-Freeway_Truck!AQ28-Freeway_HOT!AQ28</f>
        <v>0</v>
      </c>
      <c r="AR28">
        <f>VISUM_Freeway_OD!AR28-Freeway_Truck!AR28-Freeway_HOT!AR28</f>
        <v>0</v>
      </c>
      <c r="AS28">
        <f>VISUM_Freeway_OD!AS28-Freeway_Truck!AS28-Freeway_HOT!AS28</f>
        <v>0</v>
      </c>
      <c r="AT28">
        <f>VISUM_Freeway_OD!AT28-Freeway_Truck!AT28-Freeway_HOT!AT28</f>
        <v>0</v>
      </c>
      <c r="AU28">
        <f>VISUM_Freeway_OD!AU28-Freeway_Truck!AU28-Freeway_HOT!AU28</f>
        <v>0</v>
      </c>
      <c r="AV28">
        <f>VISUM_Freeway_OD!AV28-Freeway_Truck!AV28-Freeway_HOT!AV28</f>
        <v>0</v>
      </c>
      <c r="AW28">
        <f>VISUM_Freeway_OD!AW28-Freeway_Truck!AW28-Freeway_HOT!AW28</f>
        <v>0</v>
      </c>
      <c r="AX28">
        <f>VISUM_Freeway_OD!AX28-Freeway_Truck!AX28-Freeway_HOT!AX28</f>
        <v>0</v>
      </c>
      <c r="AY28">
        <f>VISUM_Freeway_OD!AY28-Freeway_Truck!AY28-Freeway_HOT!AY28</f>
        <v>0</v>
      </c>
    </row>
    <row r="29" spans="1:51" x14ac:dyDescent="0.25">
      <c r="A29" s="4">
        <f>IF(VLOOKUP(B29,Freeway_Zone_Link_Mapping!$A:$C,2,FALSE)&lt;&gt;"",VLOOKUP(B29,Freeway_Zone_Link_Mapping!$A:$C,2,FALSE),"")</f>
        <v>500</v>
      </c>
      <c r="B29" s="4">
        <v>49</v>
      </c>
      <c r="C29">
        <f>VISUM_Freeway_OD!C29-Freeway_Truck!C29-Freeway_HOT!C29</f>
        <v>0</v>
      </c>
      <c r="D29">
        <f>VISUM_Freeway_OD!D29-Freeway_Truck!D29-Freeway_HOT!D29</f>
        <v>0</v>
      </c>
      <c r="E29">
        <f>VISUM_Freeway_OD!E29-Freeway_Truck!E29-Freeway_HOT!E29</f>
        <v>0</v>
      </c>
      <c r="F29">
        <f>VISUM_Freeway_OD!F29-Freeway_Truck!F29-Freeway_HOT!F29</f>
        <v>0</v>
      </c>
      <c r="G29">
        <f>VISUM_Freeway_OD!G29-Freeway_Truck!G29-Freeway_HOT!G29</f>
        <v>0</v>
      </c>
      <c r="H29">
        <f>VISUM_Freeway_OD!H29-Freeway_Truck!H29-Freeway_HOT!H29</f>
        <v>0</v>
      </c>
      <c r="I29">
        <f>VISUM_Freeway_OD!I29-Freeway_Truck!I29-Freeway_HOT!I29</f>
        <v>0</v>
      </c>
      <c r="J29">
        <f>VISUM_Freeway_OD!J29-Freeway_Truck!J29-Freeway_HOT!J29</f>
        <v>0</v>
      </c>
      <c r="K29">
        <f>VISUM_Freeway_OD!K29-Freeway_Truck!K29-Freeway_HOT!K29</f>
        <v>67.809478630000001</v>
      </c>
      <c r="L29">
        <f>VISUM_Freeway_OD!L29-Freeway_Truck!L29-Freeway_HOT!L29</f>
        <v>0</v>
      </c>
      <c r="M29">
        <f>VISUM_Freeway_OD!M29-Freeway_Truck!M29-Freeway_HOT!M29</f>
        <v>0</v>
      </c>
      <c r="N29">
        <f>VISUM_Freeway_OD!N29-Freeway_Truck!N29-Freeway_HOT!N29</f>
        <v>0</v>
      </c>
      <c r="O29">
        <f>VISUM_Freeway_OD!O29-Freeway_Truck!O29-Freeway_HOT!O29</f>
        <v>0</v>
      </c>
      <c r="P29">
        <f>VISUM_Freeway_OD!P29-Freeway_Truck!P29-Freeway_HOT!P29</f>
        <v>0</v>
      </c>
      <c r="Q29">
        <f>VISUM_Freeway_OD!Q29-Freeway_Truck!Q29-Freeway_HOT!Q29</f>
        <v>0</v>
      </c>
      <c r="R29">
        <f>VISUM_Freeway_OD!R29-Freeway_Truck!R29-Freeway_HOT!R29</f>
        <v>0</v>
      </c>
      <c r="S29">
        <f>VISUM_Freeway_OD!S29-Freeway_Truck!S29-Freeway_HOT!S29</f>
        <v>0</v>
      </c>
      <c r="T29">
        <f>VISUM_Freeway_OD!T29-Freeway_Truck!T29-Freeway_HOT!T29</f>
        <v>0</v>
      </c>
      <c r="U29">
        <f>VISUM_Freeway_OD!U29-Freeway_Truck!U29-Freeway_HOT!U29</f>
        <v>0</v>
      </c>
      <c r="V29">
        <f>VISUM_Freeway_OD!V29-Freeway_Truck!V29-Freeway_HOT!V29</f>
        <v>0</v>
      </c>
      <c r="W29">
        <f>VISUM_Freeway_OD!W29-Freeway_Truck!W29-Freeway_HOT!W29</f>
        <v>0</v>
      </c>
      <c r="X29">
        <f>VISUM_Freeway_OD!X29-Freeway_Truck!X29-Freeway_HOT!X29</f>
        <v>0</v>
      </c>
      <c r="Y29">
        <f>VISUM_Freeway_OD!Y29-Freeway_Truck!Y29-Freeway_HOT!Y29</f>
        <v>0</v>
      </c>
      <c r="Z29">
        <f>VISUM_Freeway_OD!Z29-Freeway_Truck!Z29-Freeway_HOT!Z29</f>
        <v>0</v>
      </c>
      <c r="AA29">
        <f>VISUM_Freeway_OD!AA29-Freeway_Truck!AA29-Freeway_HOT!AA29</f>
        <v>0</v>
      </c>
      <c r="AB29">
        <f>VISUM_Freeway_OD!AB29-Freeway_Truck!AB29-Freeway_HOT!AB29</f>
        <v>0</v>
      </c>
      <c r="AC29">
        <f>VISUM_Freeway_OD!AC29-Freeway_Truck!AC29-Freeway_HOT!AC29</f>
        <v>0</v>
      </c>
      <c r="AD29">
        <f>VISUM_Freeway_OD!AD29-Freeway_Truck!AD29-Freeway_HOT!AD29</f>
        <v>0</v>
      </c>
      <c r="AE29">
        <f>VISUM_Freeway_OD!AE29-Freeway_Truck!AE29-Freeway_HOT!AE29</f>
        <v>0</v>
      </c>
      <c r="AF29">
        <f>VISUM_Freeway_OD!AF29-Freeway_Truck!AF29-Freeway_HOT!AF29</f>
        <v>0</v>
      </c>
      <c r="AG29">
        <f>VISUM_Freeway_OD!AG29-Freeway_Truck!AG29-Freeway_HOT!AG29</f>
        <v>0</v>
      </c>
      <c r="AH29">
        <f>VISUM_Freeway_OD!AH29-Freeway_Truck!AH29-Freeway_HOT!AH29</f>
        <v>0</v>
      </c>
      <c r="AI29">
        <f>VISUM_Freeway_OD!AI29-Freeway_Truck!AI29-Freeway_HOT!AI29</f>
        <v>0</v>
      </c>
      <c r="AJ29">
        <f>VISUM_Freeway_OD!AJ29-Freeway_Truck!AJ29-Freeway_HOT!AJ29</f>
        <v>0</v>
      </c>
      <c r="AK29">
        <f>VISUM_Freeway_OD!AK29-Freeway_Truck!AK29-Freeway_HOT!AK29</f>
        <v>0</v>
      </c>
      <c r="AL29">
        <f>VISUM_Freeway_OD!AL29-Freeway_Truck!AL29-Freeway_HOT!AL29</f>
        <v>0</v>
      </c>
      <c r="AM29">
        <f>VISUM_Freeway_OD!AM29-Freeway_Truck!AM29-Freeway_HOT!AM29</f>
        <v>0</v>
      </c>
      <c r="AN29">
        <f>VISUM_Freeway_OD!AN29-Freeway_Truck!AN29-Freeway_HOT!AN29</f>
        <v>0</v>
      </c>
      <c r="AO29">
        <f>VISUM_Freeway_OD!AO29-Freeway_Truck!AO29-Freeway_HOT!AO29</f>
        <v>0</v>
      </c>
      <c r="AP29">
        <f>VISUM_Freeway_OD!AP29-Freeway_Truck!AP29-Freeway_HOT!AP29</f>
        <v>0</v>
      </c>
      <c r="AQ29">
        <f>VISUM_Freeway_OD!AQ29-Freeway_Truck!AQ29-Freeway_HOT!AQ29</f>
        <v>0</v>
      </c>
      <c r="AR29">
        <f>VISUM_Freeway_OD!AR29-Freeway_Truck!AR29-Freeway_HOT!AR29</f>
        <v>0</v>
      </c>
      <c r="AS29">
        <f>VISUM_Freeway_OD!AS29-Freeway_Truck!AS29-Freeway_HOT!AS29</f>
        <v>0</v>
      </c>
      <c r="AT29">
        <f>VISUM_Freeway_OD!AT29-Freeway_Truck!AT29-Freeway_HOT!AT29</f>
        <v>0</v>
      </c>
      <c r="AU29">
        <f>VISUM_Freeway_OD!AU29-Freeway_Truck!AU29-Freeway_HOT!AU29</f>
        <v>0</v>
      </c>
      <c r="AV29">
        <f>VISUM_Freeway_OD!AV29-Freeway_Truck!AV29-Freeway_HOT!AV29</f>
        <v>0</v>
      </c>
      <c r="AW29">
        <f>VISUM_Freeway_OD!AW29-Freeway_Truck!AW29-Freeway_HOT!AW29</f>
        <v>0</v>
      </c>
      <c r="AX29">
        <f>VISUM_Freeway_OD!AX29-Freeway_Truck!AX29-Freeway_HOT!AX29</f>
        <v>0</v>
      </c>
      <c r="AY29">
        <f>VISUM_Freeway_OD!AY29-Freeway_Truck!AY29-Freeway_HOT!AY29</f>
        <v>0</v>
      </c>
    </row>
    <row r="30" spans="1:51" x14ac:dyDescent="0.25">
      <c r="A30" s="4">
        <f>IF(VLOOKUP(B30,Freeway_Zone_Link_Mapping!$A:$C,2,FALSE)&lt;&gt;"",VLOOKUP(B30,Freeway_Zone_Link_Mapping!$A:$C,2,FALSE),"")</f>
        <v>384</v>
      </c>
      <c r="B30" s="4">
        <v>50</v>
      </c>
      <c r="C30">
        <f>VISUM_Freeway_OD!C30-Freeway_Truck!C30-Freeway_HOT!C30</f>
        <v>0</v>
      </c>
      <c r="D30">
        <f>VISUM_Freeway_OD!D30-Freeway_Truck!D30-Freeway_HOT!D30</f>
        <v>0</v>
      </c>
      <c r="E30">
        <f>VISUM_Freeway_OD!E30-Freeway_Truck!E30-Freeway_HOT!E30</f>
        <v>0</v>
      </c>
      <c r="F30">
        <f>VISUM_Freeway_OD!F30-Freeway_Truck!F30-Freeway_HOT!F30</f>
        <v>0</v>
      </c>
      <c r="G30">
        <f>VISUM_Freeway_OD!G30-Freeway_Truck!G30-Freeway_HOT!G30</f>
        <v>0</v>
      </c>
      <c r="H30">
        <f>VISUM_Freeway_OD!H30-Freeway_Truck!H30-Freeway_HOT!H30</f>
        <v>0</v>
      </c>
      <c r="I30">
        <f>VISUM_Freeway_OD!I30-Freeway_Truck!I30-Freeway_HOT!I30</f>
        <v>0</v>
      </c>
      <c r="J30">
        <f>VISUM_Freeway_OD!J30-Freeway_Truck!J30-Freeway_HOT!J30</f>
        <v>0</v>
      </c>
      <c r="K30">
        <f>VISUM_Freeway_OD!K30-Freeway_Truck!K30-Freeway_HOT!K30</f>
        <v>494.0404873</v>
      </c>
      <c r="L30">
        <f>VISUM_Freeway_OD!L30-Freeway_Truck!L30-Freeway_HOT!L30</f>
        <v>0</v>
      </c>
      <c r="M30">
        <f>VISUM_Freeway_OD!M30-Freeway_Truck!M30-Freeway_HOT!M30</f>
        <v>0</v>
      </c>
      <c r="N30">
        <f>VISUM_Freeway_OD!N30-Freeway_Truck!N30-Freeway_HOT!N30</f>
        <v>0</v>
      </c>
      <c r="O30">
        <f>VISUM_Freeway_OD!O30-Freeway_Truck!O30-Freeway_HOT!O30</f>
        <v>0</v>
      </c>
      <c r="P30">
        <f>VISUM_Freeway_OD!P30-Freeway_Truck!P30-Freeway_HOT!P30</f>
        <v>0</v>
      </c>
      <c r="Q30">
        <f>VISUM_Freeway_OD!Q30-Freeway_Truck!Q30-Freeway_HOT!Q30</f>
        <v>0</v>
      </c>
      <c r="R30">
        <f>VISUM_Freeway_OD!R30-Freeway_Truck!R30-Freeway_HOT!R30</f>
        <v>0</v>
      </c>
      <c r="S30">
        <f>VISUM_Freeway_OD!S30-Freeway_Truck!S30-Freeway_HOT!S30</f>
        <v>0</v>
      </c>
      <c r="T30">
        <f>VISUM_Freeway_OD!T30-Freeway_Truck!T30-Freeway_HOT!T30</f>
        <v>0</v>
      </c>
      <c r="U30">
        <f>VISUM_Freeway_OD!U30-Freeway_Truck!U30-Freeway_HOT!U30</f>
        <v>0</v>
      </c>
      <c r="V30">
        <f>VISUM_Freeway_OD!V30-Freeway_Truck!V30-Freeway_HOT!V30</f>
        <v>0</v>
      </c>
      <c r="W30">
        <f>VISUM_Freeway_OD!W30-Freeway_Truck!W30-Freeway_HOT!W30</f>
        <v>0</v>
      </c>
      <c r="X30">
        <f>VISUM_Freeway_OD!X30-Freeway_Truck!X30-Freeway_HOT!X30</f>
        <v>0</v>
      </c>
      <c r="Y30">
        <f>VISUM_Freeway_OD!Y30-Freeway_Truck!Y30-Freeway_HOT!Y30</f>
        <v>0</v>
      </c>
      <c r="Z30">
        <f>VISUM_Freeway_OD!Z30-Freeway_Truck!Z30-Freeway_HOT!Z30</f>
        <v>0</v>
      </c>
      <c r="AA30">
        <f>VISUM_Freeway_OD!AA30-Freeway_Truck!AA30-Freeway_HOT!AA30</f>
        <v>0</v>
      </c>
      <c r="AB30">
        <f>VISUM_Freeway_OD!AB30-Freeway_Truck!AB30-Freeway_HOT!AB30</f>
        <v>0</v>
      </c>
      <c r="AC30">
        <f>VISUM_Freeway_OD!AC30-Freeway_Truck!AC30-Freeway_HOT!AC30</f>
        <v>0</v>
      </c>
      <c r="AD30">
        <f>VISUM_Freeway_OD!AD30-Freeway_Truck!AD30-Freeway_HOT!AD30</f>
        <v>0</v>
      </c>
      <c r="AE30">
        <f>VISUM_Freeway_OD!AE30-Freeway_Truck!AE30-Freeway_HOT!AE30</f>
        <v>0</v>
      </c>
      <c r="AF30">
        <f>VISUM_Freeway_OD!AF30-Freeway_Truck!AF30-Freeway_HOT!AF30</f>
        <v>0</v>
      </c>
      <c r="AG30">
        <f>VISUM_Freeway_OD!AG30-Freeway_Truck!AG30-Freeway_HOT!AG30</f>
        <v>0</v>
      </c>
      <c r="AH30">
        <f>VISUM_Freeway_OD!AH30-Freeway_Truck!AH30-Freeway_HOT!AH30</f>
        <v>0</v>
      </c>
      <c r="AI30">
        <f>VISUM_Freeway_OD!AI30-Freeway_Truck!AI30-Freeway_HOT!AI30</f>
        <v>0</v>
      </c>
      <c r="AJ30">
        <f>VISUM_Freeway_OD!AJ30-Freeway_Truck!AJ30-Freeway_HOT!AJ30</f>
        <v>0</v>
      </c>
      <c r="AK30">
        <f>VISUM_Freeway_OD!AK30-Freeway_Truck!AK30-Freeway_HOT!AK30</f>
        <v>0</v>
      </c>
      <c r="AL30">
        <f>VISUM_Freeway_OD!AL30-Freeway_Truck!AL30-Freeway_HOT!AL30</f>
        <v>0</v>
      </c>
      <c r="AM30">
        <f>VISUM_Freeway_OD!AM30-Freeway_Truck!AM30-Freeway_HOT!AM30</f>
        <v>0</v>
      </c>
      <c r="AN30">
        <f>VISUM_Freeway_OD!AN30-Freeway_Truck!AN30-Freeway_HOT!AN30</f>
        <v>0</v>
      </c>
      <c r="AO30">
        <f>VISUM_Freeway_OD!AO30-Freeway_Truck!AO30-Freeway_HOT!AO30</f>
        <v>0</v>
      </c>
      <c r="AP30">
        <f>VISUM_Freeway_OD!AP30-Freeway_Truck!AP30-Freeway_HOT!AP30</f>
        <v>0</v>
      </c>
      <c r="AQ30">
        <f>VISUM_Freeway_OD!AQ30-Freeway_Truck!AQ30-Freeway_HOT!AQ30</f>
        <v>0</v>
      </c>
      <c r="AR30">
        <f>VISUM_Freeway_OD!AR30-Freeway_Truck!AR30-Freeway_HOT!AR30</f>
        <v>0</v>
      </c>
      <c r="AS30">
        <f>VISUM_Freeway_OD!AS30-Freeway_Truck!AS30-Freeway_HOT!AS30</f>
        <v>0</v>
      </c>
      <c r="AT30">
        <f>VISUM_Freeway_OD!AT30-Freeway_Truck!AT30-Freeway_HOT!AT30</f>
        <v>0</v>
      </c>
      <c r="AU30">
        <f>VISUM_Freeway_OD!AU30-Freeway_Truck!AU30-Freeway_HOT!AU30</f>
        <v>0</v>
      </c>
      <c r="AV30">
        <f>VISUM_Freeway_OD!AV30-Freeway_Truck!AV30-Freeway_HOT!AV30</f>
        <v>0</v>
      </c>
      <c r="AW30">
        <f>VISUM_Freeway_OD!AW30-Freeway_Truck!AW30-Freeway_HOT!AW30</f>
        <v>0</v>
      </c>
      <c r="AX30">
        <f>VISUM_Freeway_OD!AX30-Freeway_Truck!AX30-Freeway_HOT!AX30</f>
        <v>0</v>
      </c>
      <c r="AY30">
        <f>VISUM_Freeway_OD!AY30-Freeway_Truck!AY30-Freeway_HOT!AY30</f>
        <v>0</v>
      </c>
    </row>
    <row r="31" spans="1:51" x14ac:dyDescent="0.25">
      <c r="A31" s="4" t="str">
        <f>IF(VLOOKUP(B31,Freeway_Zone_Link_Mapping!$A:$C,2,FALSE)&lt;&gt;"",VLOOKUP(B31,Freeway_Zone_Link_Mapping!$A:$C,2,FALSE),"")</f>
        <v/>
      </c>
      <c r="B31" s="4">
        <v>51</v>
      </c>
      <c r="C31">
        <f>VISUM_Freeway_OD!C31-Freeway_Truck!C31-Freeway_HOT!C31</f>
        <v>0</v>
      </c>
      <c r="D31">
        <f>VISUM_Freeway_OD!D31-Freeway_Truck!D31-Freeway_HOT!D31</f>
        <v>0</v>
      </c>
      <c r="E31">
        <f>VISUM_Freeway_OD!E31-Freeway_Truck!E31-Freeway_HOT!E31</f>
        <v>0</v>
      </c>
      <c r="F31">
        <f>VISUM_Freeway_OD!F31-Freeway_Truck!F31-Freeway_HOT!F31</f>
        <v>0</v>
      </c>
      <c r="G31">
        <f>VISUM_Freeway_OD!G31-Freeway_Truck!G31-Freeway_HOT!G31</f>
        <v>0</v>
      </c>
      <c r="H31">
        <f>VISUM_Freeway_OD!H31-Freeway_Truck!H31-Freeway_HOT!H31</f>
        <v>0</v>
      </c>
      <c r="I31">
        <f>VISUM_Freeway_OD!I31-Freeway_Truck!I31-Freeway_HOT!I31</f>
        <v>0</v>
      </c>
      <c r="J31">
        <f>VISUM_Freeway_OD!J31-Freeway_Truck!J31-Freeway_HOT!J31</f>
        <v>0</v>
      </c>
      <c r="K31">
        <f>VISUM_Freeway_OD!K31-Freeway_Truck!K31-Freeway_HOT!K31</f>
        <v>0</v>
      </c>
      <c r="L31">
        <f>VISUM_Freeway_OD!L31-Freeway_Truck!L31-Freeway_HOT!L31</f>
        <v>0</v>
      </c>
      <c r="M31">
        <f>VISUM_Freeway_OD!M31-Freeway_Truck!M31-Freeway_HOT!M31</f>
        <v>0</v>
      </c>
      <c r="N31">
        <f>VISUM_Freeway_OD!N31-Freeway_Truck!N31-Freeway_HOT!N31</f>
        <v>0</v>
      </c>
      <c r="O31">
        <f>VISUM_Freeway_OD!O31-Freeway_Truck!O31-Freeway_HOT!O31</f>
        <v>0</v>
      </c>
      <c r="P31">
        <f>VISUM_Freeway_OD!P31-Freeway_Truck!P31-Freeway_HOT!P31</f>
        <v>0</v>
      </c>
      <c r="Q31">
        <f>VISUM_Freeway_OD!Q31-Freeway_Truck!Q31-Freeway_HOT!Q31</f>
        <v>0</v>
      </c>
      <c r="R31">
        <f>VISUM_Freeway_OD!R31-Freeway_Truck!R31-Freeway_HOT!R31</f>
        <v>0</v>
      </c>
      <c r="S31">
        <f>VISUM_Freeway_OD!S31-Freeway_Truck!S31-Freeway_HOT!S31</f>
        <v>0</v>
      </c>
      <c r="T31">
        <f>VISUM_Freeway_OD!T31-Freeway_Truck!T31-Freeway_HOT!T31</f>
        <v>0</v>
      </c>
      <c r="U31">
        <f>VISUM_Freeway_OD!U31-Freeway_Truck!U31-Freeway_HOT!U31</f>
        <v>0</v>
      </c>
      <c r="V31">
        <f>VISUM_Freeway_OD!V31-Freeway_Truck!V31-Freeway_HOT!V31</f>
        <v>0</v>
      </c>
      <c r="W31">
        <f>VISUM_Freeway_OD!W31-Freeway_Truck!W31-Freeway_HOT!W31</f>
        <v>0</v>
      </c>
      <c r="X31">
        <f>VISUM_Freeway_OD!X31-Freeway_Truck!X31-Freeway_HOT!X31</f>
        <v>0</v>
      </c>
      <c r="Y31">
        <f>VISUM_Freeway_OD!Y31-Freeway_Truck!Y31-Freeway_HOT!Y31</f>
        <v>0</v>
      </c>
      <c r="Z31">
        <f>VISUM_Freeway_OD!Z31-Freeway_Truck!Z31-Freeway_HOT!Z31</f>
        <v>0</v>
      </c>
      <c r="AA31">
        <f>VISUM_Freeway_OD!AA31-Freeway_Truck!AA31-Freeway_HOT!AA31</f>
        <v>0</v>
      </c>
      <c r="AB31">
        <f>VISUM_Freeway_OD!AB31-Freeway_Truck!AB31-Freeway_HOT!AB31</f>
        <v>0</v>
      </c>
      <c r="AC31">
        <f>VISUM_Freeway_OD!AC31-Freeway_Truck!AC31-Freeway_HOT!AC31</f>
        <v>0</v>
      </c>
      <c r="AD31">
        <f>VISUM_Freeway_OD!AD31-Freeway_Truck!AD31-Freeway_HOT!AD31</f>
        <v>0</v>
      </c>
      <c r="AE31">
        <f>VISUM_Freeway_OD!AE31-Freeway_Truck!AE31-Freeway_HOT!AE31</f>
        <v>0</v>
      </c>
      <c r="AF31">
        <f>VISUM_Freeway_OD!AF31-Freeway_Truck!AF31-Freeway_HOT!AF31</f>
        <v>0</v>
      </c>
      <c r="AG31">
        <f>VISUM_Freeway_OD!AG31-Freeway_Truck!AG31-Freeway_HOT!AG31</f>
        <v>0</v>
      </c>
      <c r="AH31">
        <f>VISUM_Freeway_OD!AH31-Freeway_Truck!AH31-Freeway_HOT!AH31</f>
        <v>0</v>
      </c>
      <c r="AI31">
        <f>VISUM_Freeway_OD!AI31-Freeway_Truck!AI31-Freeway_HOT!AI31</f>
        <v>0</v>
      </c>
      <c r="AJ31">
        <f>VISUM_Freeway_OD!AJ31-Freeway_Truck!AJ31-Freeway_HOT!AJ31</f>
        <v>0</v>
      </c>
      <c r="AK31">
        <f>VISUM_Freeway_OD!AK31-Freeway_Truck!AK31-Freeway_HOT!AK31</f>
        <v>0</v>
      </c>
      <c r="AL31">
        <f>VISUM_Freeway_OD!AL31-Freeway_Truck!AL31-Freeway_HOT!AL31</f>
        <v>0</v>
      </c>
      <c r="AM31">
        <f>VISUM_Freeway_OD!AM31-Freeway_Truck!AM31-Freeway_HOT!AM31</f>
        <v>0</v>
      </c>
      <c r="AN31">
        <f>VISUM_Freeway_OD!AN31-Freeway_Truck!AN31-Freeway_HOT!AN31</f>
        <v>0</v>
      </c>
      <c r="AO31">
        <f>VISUM_Freeway_OD!AO31-Freeway_Truck!AO31-Freeway_HOT!AO31</f>
        <v>0</v>
      </c>
      <c r="AP31">
        <f>VISUM_Freeway_OD!AP31-Freeway_Truck!AP31-Freeway_HOT!AP31</f>
        <v>0</v>
      </c>
      <c r="AQ31">
        <f>VISUM_Freeway_OD!AQ31-Freeway_Truck!AQ31-Freeway_HOT!AQ31</f>
        <v>0</v>
      </c>
      <c r="AR31">
        <f>VISUM_Freeway_OD!AR31-Freeway_Truck!AR31-Freeway_HOT!AR31</f>
        <v>0</v>
      </c>
      <c r="AS31">
        <f>VISUM_Freeway_OD!AS31-Freeway_Truck!AS31-Freeway_HOT!AS31</f>
        <v>0</v>
      </c>
      <c r="AT31">
        <f>VISUM_Freeway_OD!AT31-Freeway_Truck!AT31-Freeway_HOT!AT31</f>
        <v>0</v>
      </c>
      <c r="AU31">
        <f>VISUM_Freeway_OD!AU31-Freeway_Truck!AU31-Freeway_HOT!AU31</f>
        <v>0</v>
      </c>
      <c r="AV31">
        <f>VISUM_Freeway_OD!AV31-Freeway_Truck!AV31-Freeway_HOT!AV31</f>
        <v>0</v>
      </c>
      <c r="AW31">
        <f>VISUM_Freeway_OD!AW31-Freeway_Truck!AW31-Freeway_HOT!AW31</f>
        <v>0</v>
      </c>
      <c r="AX31">
        <f>VISUM_Freeway_OD!AX31-Freeway_Truck!AX31-Freeway_HOT!AX31</f>
        <v>0</v>
      </c>
      <c r="AY31">
        <f>VISUM_Freeway_OD!AY31-Freeway_Truck!AY31-Freeway_HOT!AY31</f>
        <v>0</v>
      </c>
    </row>
    <row r="32" spans="1:51" x14ac:dyDescent="0.25">
      <c r="A32" s="4" t="str">
        <f>IF(VLOOKUP(B32,Freeway_Zone_Link_Mapping!$A:$C,2,FALSE)&lt;&gt;"",VLOOKUP(B32,Freeway_Zone_Link_Mapping!$A:$C,2,FALSE),"")</f>
        <v/>
      </c>
      <c r="B32" s="4">
        <v>52</v>
      </c>
      <c r="C32">
        <f>VISUM_Freeway_OD!C32-Freeway_Truck!C32-Freeway_HOT!C32</f>
        <v>0</v>
      </c>
      <c r="D32">
        <f>VISUM_Freeway_OD!D32-Freeway_Truck!D32-Freeway_HOT!D32</f>
        <v>0</v>
      </c>
      <c r="E32">
        <f>VISUM_Freeway_OD!E32-Freeway_Truck!E32-Freeway_HOT!E32</f>
        <v>0</v>
      </c>
      <c r="F32">
        <f>VISUM_Freeway_OD!F32-Freeway_Truck!F32-Freeway_HOT!F32</f>
        <v>0</v>
      </c>
      <c r="G32">
        <f>VISUM_Freeway_OD!G32-Freeway_Truck!G32-Freeway_HOT!G32</f>
        <v>0</v>
      </c>
      <c r="H32">
        <f>VISUM_Freeway_OD!H32-Freeway_Truck!H32-Freeway_HOT!H32</f>
        <v>0</v>
      </c>
      <c r="I32">
        <f>VISUM_Freeway_OD!I32-Freeway_Truck!I32-Freeway_HOT!I32</f>
        <v>0</v>
      </c>
      <c r="J32">
        <f>VISUM_Freeway_OD!J32-Freeway_Truck!J32-Freeway_HOT!J32</f>
        <v>0</v>
      </c>
      <c r="K32">
        <f>VISUM_Freeway_OD!K32-Freeway_Truck!K32-Freeway_HOT!K32</f>
        <v>0</v>
      </c>
      <c r="L32">
        <f>VISUM_Freeway_OD!L32-Freeway_Truck!L32-Freeway_HOT!L32</f>
        <v>0</v>
      </c>
      <c r="M32">
        <f>VISUM_Freeway_OD!M32-Freeway_Truck!M32-Freeway_HOT!M32</f>
        <v>0</v>
      </c>
      <c r="N32">
        <f>VISUM_Freeway_OD!N32-Freeway_Truck!N32-Freeway_HOT!N32</f>
        <v>0</v>
      </c>
      <c r="O32">
        <f>VISUM_Freeway_OD!O32-Freeway_Truck!O32-Freeway_HOT!O32</f>
        <v>0</v>
      </c>
      <c r="P32">
        <f>VISUM_Freeway_OD!P32-Freeway_Truck!P32-Freeway_HOT!P32</f>
        <v>0</v>
      </c>
      <c r="Q32">
        <f>VISUM_Freeway_OD!Q32-Freeway_Truck!Q32-Freeway_HOT!Q32</f>
        <v>0</v>
      </c>
      <c r="R32">
        <f>VISUM_Freeway_OD!R32-Freeway_Truck!R32-Freeway_HOT!R32</f>
        <v>0</v>
      </c>
      <c r="S32">
        <f>VISUM_Freeway_OD!S32-Freeway_Truck!S32-Freeway_HOT!S32</f>
        <v>0</v>
      </c>
      <c r="T32">
        <f>VISUM_Freeway_OD!T32-Freeway_Truck!T32-Freeway_HOT!T32</f>
        <v>0</v>
      </c>
      <c r="U32">
        <f>VISUM_Freeway_OD!U32-Freeway_Truck!U32-Freeway_HOT!U32</f>
        <v>0</v>
      </c>
      <c r="V32">
        <f>VISUM_Freeway_OD!V32-Freeway_Truck!V32-Freeway_HOT!V32</f>
        <v>0</v>
      </c>
      <c r="W32">
        <f>VISUM_Freeway_OD!W32-Freeway_Truck!W32-Freeway_HOT!W32</f>
        <v>0</v>
      </c>
      <c r="X32">
        <f>VISUM_Freeway_OD!X32-Freeway_Truck!X32-Freeway_HOT!X32</f>
        <v>0</v>
      </c>
      <c r="Y32">
        <f>VISUM_Freeway_OD!Y32-Freeway_Truck!Y32-Freeway_HOT!Y32</f>
        <v>0</v>
      </c>
      <c r="Z32">
        <f>VISUM_Freeway_OD!Z32-Freeway_Truck!Z32-Freeway_HOT!Z32</f>
        <v>0</v>
      </c>
      <c r="AA32">
        <f>VISUM_Freeway_OD!AA32-Freeway_Truck!AA32-Freeway_HOT!AA32</f>
        <v>0</v>
      </c>
      <c r="AB32">
        <f>VISUM_Freeway_OD!AB32-Freeway_Truck!AB32-Freeway_HOT!AB32</f>
        <v>0</v>
      </c>
      <c r="AC32">
        <f>VISUM_Freeway_OD!AC32-Freeway_Truck!AC32-Freeway_HOT!AC32</f>
        <v>0</v>
      </c>
      <c r="AD32">
        <f>VISUM_Freeway_OD!AD32-Freeway_Truck!AD32-Freeway_HOT!AD32</f>
        <v>0</v>
      </c>
      <c r="AE32">
        <f>VISUM_Freeway_OD!AE32-Freeway_Truck!AE32-Freeway_HOT!AE32</f>
        <v>0</v>
      </c>
      <c r="AF32">
        <f>VISUM_Freeway_OD!AF32-Freeway_Truck!AF32-Freeway_HOT!AF32</f>
        <v>0</v>
      </c>
      <c r="AG32">
        <f>VISUM_Freeway_OD!AG32-Freeway_Truck!AG32-Freeway_HOT!AG32</f>
        <v>0</v>
      </c>
      <c r="AH32">
        <f>VISUM_Freeway_OD!AH32-Freeway_Truck!AH32-Freeway_HOT!AH32</f>
        <v>0</v>
      </c>
      <c r="AI32">
        <f>VISUM_Freeway_OD!AI32-Freeway_Truck!AI32-Freeway_HOT!AI32</f>
        <v>0</v>
      </c>
      <c r="AJ32">
        <f>VISUM_Freeway_OD!AJ32-Freeway_Truck!AJ32-Freeway_HOT!AJ32</f>
        <v>0</v>
      </c>
      <c r="AK32">
        <f>VISUM_Freeway_OD!AK32-Freeway_Truck!AK32-Freeway_HOT!AK32</f>
        <v>0</v>
      </c>
      <c r="AL32">
        <f>VISUM_Freeway_OD!AL32-Freeway_Truck!AL32-Freeway_HOT!AL32</f>
        <v>0</v>
      </c>
      <c r="AM32">
        <f>VISUM_Freeway_OD!AM32-Freeway_Truck!AM32-Freeway_HOT!AM32</f>
        <v>0</v>
      </c>
      <c r="AN32">
        <f>VISUM_Freeway_OD!AN32-Freeway_Truck!AN32-Freeway_HOT!AN32</f>
        <v>0</v>
      </c>
      <c r="AO32">
        <f>VISUM_Freeway_OD!AO32-Freeway_Truck!AO32-Freeway_HOT!AO32</f>
        <v>0</v>
      </c>
      <c r="AP32">
        <f>VISUM_Freeway_OD!AP32-Freeway_Truck!AP32-Freeway_HOT!AP32</f>
        <v>0</v>
      </c>
      <c r="AQ32">
        <f>VISUM_Freeway_OD!AQ32-Freeway_Truck!AQ32-Freeway_HOT!AQ32</f>
        <v>0</v>
      </c>
      <c r="AR32">
        <f>VISUM_Freeway_OD!AR32-Freeway_Truck!AR32-Freeway_HOT!AR32</f>
        <v>0</v>
      </c>
      <c r="AS32">
        <f>VISUM_Freeway_OD!AS32-Freeway_Truck!AS32-Freeway_HOT!AS32</f>
        <v>0</v>
      </c>
      <c r="AT32">
        <f>VISUM_Freeway_OD!AT32-Freeway_Truck!AT32-Freeway_HOT!AT32</f>
        <v>0</v>
      </c>
      <c r="AU32">
        <f>VISUM_Freeway_OD!AU32-Freeway_Truck!AU32-Freeway_HOT!AU32</f>
        <v>0</v>
      </c>
      <c r="AV32">
        <f>VISUM_Freeway_OD!AV32-Freeway_Truck!AV32-Freeway_HOT!AV32</f>
        <v>0</v>
      </c>
      <c r="AW32">
        <f>VISUM_Freeway_OD!AW32-Freeway_Truck!AW32-Freeway_HOT!AW32</f>
        <v>0</v>
      </c>
      <c r="AX32">
        <f>VISUM_Freeway_OD!AX32-Freeway_Truck!AX32-Freeway_HOT!AX32</f>
        <v>0</v>
      </c>
      <c r="AY32">
        <f>VISUM_Freeway_OD!AY32-Freeway_Truck!AY32-Freeway_HOT!AY32</f>
        <v>0</v>
      </c>
    </row>
    <row r="33" spans="1:51" x14ac:dyDescent="0.25">
      <c r="A33" s="4" t="str">
        <f>IF(VLOOKUP(B33,Freeway_Zone_Link_Mapping!$A:$C,2,FALSE)&lt;&gt;"",VLOOKUP(B33,Freeway_Zone_Link_Mapping!$A:$C,2,FALSE),"")</f>
        <v/>
      </c>
      <c r="B33" s="4">
        <v>53</v>
      </c>
      <c r="C33">
        <f>VISUM_Freeway_OD!C33-Freeway_Truck!C33-Freeway_HOT!C33</f>
        <v>0</v>
      </c>
      <c r="D33">
        <f>VISUM_Freeway_OD!D33-Freeway_Truck!D33-Freeway_HOT!D33</f>
        <v>0</v>
      </c>
      <c r="E33">
        <f>VISUM_Freeway_OD!E33-Freeway_Truck!E33-Freeway_HOT!E33</f>
        <v>0</v>
      </c>
      <c r="F33">
        <f>VISUM_Freeway_OD!F33-Freeway_Truck!F33-Freeway_HOT!F33</f>
        <v>0</v>
      </c>
      <c r="G33">
        <f>VISUM_Freeway_OD!G33-Freeway_Truck!G33-Freeway_HOT!G33</f>
        <v>0</v>
      </c>
      <c r="H33">
        <f>VISUM_Freeway_OD!H33-Freeway_Truck!H33-Freeway_HOT!H33</f>
        <v>0</v>
      </c>
      <c r="I33">
        <f>VISUM_Freeway_OD!I33-Freeway_Truck!I33-Freeway_HOT!I33</f>
        <v>0</v>
      </c>
      <c r="J33">
        <f>VISUM_Freeway_OD!J33-Freeway_Truck!J33-Freeway_HOT!J33</f>
        <v>0</v>
      </c>
      <c r="K33">
        <f>VISUM_Freeway_OD!K33-Freeway_Truck!K33-Freeway_HOT!K33</f>
        <v>0</v>
      </c>
      <c r="L33">
        <f>VISUM_Freeway_OD!L33-Freeway_Truck!L33-Freeway_HOT!L33</f>
        <v>0</v>
      </c>
      <c r="M33">
        <f>VISUM_Freeway_OD!M33-Freeway_Truck!M33-Freeway_HOT!M33</f>
        <v>0</v>
      </c>
      <c r="N33">
        <f>VISUM_Freeway_OD!N33-Freeway_Truck!N33-Freeway_HOT!N33</f>
        <v>0</v>
      </c>
      <c r="O33">
        <f>VISUM_Freeway_OD!O33-Freeway_Truck!O33-Freeway_HOT!O33</f>
        <v>0</v>
      </c>
      <c r="P33">
        <f>VISUM_Freeway_OD!P33-Freeway_Truck!P33-Freeway_HOT!P33</f>
        <v>0</v>
      </c>
      <c r="Q33">
        <f>VISUM_Freeway_OD!Q33-Freeway_Truck!Q33-Freeway_HOT!Q33</f>
        <v>0</v>
      </c>
      <c r="R33">
        <f>VISUM_Freeway_OD!R33-Freeway_Truck!R33-Freeway_HOT!R33</f>
        <v>0</v>
      </c>
      <c r="S33">
        <f>VISUM_Freeway_OD!S33-Freeway_Truck!S33-Freeway_HOT!S33</f>
        <v>0</v>
      </c>
      <c r="T33">
        <f>VISUM_Freeway_OD!T33-Freeway_Truck!T33-Freeway_HOT!T33</f>
        <v>0</v>
      </c>
      <c r="U33">
        <f>VISUM_Freeway_OD!U33-Freeway_Truck!U33-Freeway_HOT!U33</f>
        <v>0</v>
      </c>
      <c r="V33">
        <f>VISUM_Freeway_OD!V33-Freeway_Truck!V33-Freeway_HOT!V33</f>
        <v>0</v>
      </c>
      <c r="W33">
        <f>VISUM_Freeway_OD!W33-Freeway_Truck!W33-Freeway_HOT!W33</f>
        <v>0</v>
      </c>
      <c r="X33">
        <f>VISUM_Freeway_OD!X33-Freeway_Truck!X33-Freeway_HOT!X33</f>
        <v>0</v>
      </c>
      <c r="Y33">
        <f>VISUM_Freeway_OD!Y33-Freeway_Truck!Y33-Freeway_HOT!Y33</f>
        <v>0</v>
      </c>
      <c r="Z33">
        <f>VISUM_Freeway_OD!Z33-Freeway_Truck!Z33-Freeway_HOT!Z33</f>
        <v>0</v>
      </c>
      <c r="AA33">
        <f>VISUM_Freeway_OD!AA33-Freeway_Truck!AA33-Freeway_HOT!AA33</f>
        <v>0</v>
      </c>
      <c r="AB33">
        <f>VISUM_Freeway_OD!AB33-Freeway_Truck!AB33-Freeway_HOT!AB33</f>
        <v>0</v>
      </c>
      <c r="AC33">
        <f>VISUM_Freeway_OD!AC33-Freeway_Truck!AC33-Freeway_HOT!AC33</f>
        <v>0</v>
      </c>
      <c r="AD33">
        <f>VISUM_Freeway_OD!AD33-Freeway_Truck!AD33-Freeway_HOT!AD33</f>
        <v>0</v>
      </c>
      <c r="AE33">
        <f>VISUM_Freeway_OD!AE33-Freeway_Truck!AE33-Freeway_HOT!AE33</f>
        <v>0</v>
      </c>
      <c r="AF33">
        <f>VISUM_Freeway_OD!AF33-Freeway_Truck!AF33-Freeway_HOT!AF33</f>
        <v>0</v>
      </c>
      <c r="AG33">
        <f>VISUM_Freeway_OD!AG33-Freeway_Truck!AG33-Freeway_HOT!AG33</f>
        <v>0</v>
      </c>
      <c r="AH33">
        <f>VISUM_Freeway_OD!AH33-Freeway_Truck!AH33-Freeway_HOT!AH33</f>
        <v>0</v>
      </c>
      <c r="AI33">
        <f>VISUM_Freeway_OD!AI33-Freeway_Truck!AI33-Freeway_HOT!AI33</f>
        <v>0</v>
      </c>
      <c r="AJ33">
        <f>VISUM_Freeway_OD!AJ33-Freeway_Truck!AJ33-Freeway_HOT!AJ33</f>
        <v>0</v>
      </c>
      <c r="AK33">
        <f>VISUM_Freeway_OD!AK33-Freeway_Truck!AK33-Freeway_HOT!AK33</f>
        <v>0</v>
      </c>
      <c r="AL33">
        <f>VISUM_Freeway_OD!AL33-Freeway_Truck!AL33-Freeway_HOT!AL33</f>
        <v>0</v>
      </c>
      <c r="AM33">
        <f>VISUM_Freeway_OD!AM33-Freeway_Truck!AM33-Freeway_HOT!AM33</f>
        <v>0</v>
      </c>
      <c r="AN33">
        <f>VISUM_Freeway_OD!AN33-Freeway_Truck!AN33-Freeway_HOT!AN33</f>
        <v>0</v>
      </c>
      <c r="AO33">
        <f>VISUM_Freeway_OD!AO33-Freeway_Truck!AO33-Freeway_HOT!AO33</f>
        <v>0</v>
      </c>
      <c r="AP33">
        <f>VISUM_Freeway_OD!AP33-Freeway_Truck!AP33-Freeway_HOT!AP33</f>
        <v>0</v>
      </c>
      <c r="AQ33">
        <f>VISUM_Freeway_OD!AQ33-Freeway_Truck!AQ33-Freeway_HOT!AQ33</f>
        <v>0</v>
      </c>
      <c r="AR33">
        <f>VISUM_Freeway_OD!AR33-Freeway_Truck!AR33-Freeway_HOT!AR33</f>
        <v>0</v>
      </c>
      <c r="AS33">
        <f>VISUM_Freeway_OD!AS33-Freeway_Truck!AS33-Freeway_HOT!AS33</f>
        <v>0</v>
      </c>
      <c r="AT33">
        <f>VISUM_Freeway_OD!AT33-Freeway_Truck!AT33-Freeway_HOT!AT33</f>
        <v>0</v>
      </c>
      <c r="AU33">
        <f>VISUM_Freeway_OD!AU33-Freeway_Truck!AU33-Freeway_HOT!AU33</f>
        <v>0</v>
      </c>
      <c r="AV33">
        <f>VISUM_Freeway_OD!AV33-Freeway_Truck!AV33-Freeway_HOT!AV33</f>
        <v>0</v>
      </c>
      <c r="AW33">
        <f>VISUM_Freeway_OD!AW33-Freeway_Truck!AW33-Freeway_HOT!AW33</f>
        <v>0</v>
      </c>
      <c r="AX33">
        <f>VISUM_Freeway_OD!AX33-Freeway_Truck!AX33-Freeway_HOT!AX33</f>
        <v>0</v>
      </c>
      <c r="AY33">
        <f>VISUM_Freeway_OD!AY33-Freeway_Truck!AY33-Freeway_HOT!AY33</f>
        <v>0</v>
      </c>
    </row>
    <row r="34" spans="1:51" x14ac:dyDescent="0.25">
      <c r="A34" s="4">
        <f>IF(VLOOKUP(B34,Freeway_Zone_Link_Mapping!$A:$C,2,FALSE)&lt;&gt;"",VLOOKUP(B34,Freeway_Zone_Link_Mapping!$A:$C,2,FALSE),"")</f>
        <v>398</v>
      </c>
      <c r="B34" s="4">
        <v>54</v>
      </c>
      <c r="C34">
        <f>VISUM_Freeway_OD!C34-Freeway_Truck!C34-Freeway_HOT!C34</f>
        <v>6.2783570100000006</v>
      </c>
      <c r="D34">
        <f>VISUM_Freeway_OD!D34-Freeway_Truck!D34-Freeway_HOT!D34</f>
        <v>0</v>
      </c>
      <c r="E34">
        <f>VISUM_Freeway_OD!E34-Freeway_Truck!E34-Freeway_HOT!E34</f>
        <v>0.74544694</v>
      </c>
      <c r="F34">
        <f>VISUM_Freeway_OD!F34-Freeway_Truck!F34-Freeway_HOT!F34</f>
        <v>624.42920649999996</v>
      </c>
      <c r="G34">
        <f>VISUM_Freeway_OD!G34-Freeway_Truck!G34-Freeway_HOT!G34</f>
        <v>0</v>
      </c>
      <c r="H34">
        <f>VISUM_Freeway_OD!H34-Freeway_Truck!H34-Freeway_HOT!H34</f>
        <v>0</v>
      </c>
      <c r="I34">
        <f>VISUM_Freeway_OD!I34-Freeway_Truck!I34-Freeway_HOT!I34</f>
        <v>0</v>
      </c>
      <c r="J34">
        <f>VISUM_Freeway_OD!J34-Freeway_Truck!J34-Freeway_HOT!J34</f>
        <v>0</v>
      </c>
      <c r="K34">
        <f>VISUM_Freeway_OD!K34-Freeway_Truck!K34-Freeway_HOT!K34</f>
        <v>0</v>
      </c>
      <c r="L34">
        <f>VISUM_Freeway_OD!L34-Freeway_Truck!L34-Freeway_HOT!L34</f>
        <v>0</v>
      </c>
      <c r="M34">
        <f>VISUM_Freeway_OD!M34-Freeway_Truck!M34-Freeway_HOT!M34</f>
        <v>0</v>
      </c>
      <c r="N34">
        <f>VISUM_Freeway_OD!N34-Freeway_Truck!N34-Freeway_HOT!N34</f>
        <v>4.7355399999999999E-3</v>
      </c>
      <c r="O34">
        <f>VISUM_Freeway_OD!O34-Freeway_Truck!O34-Freeway_HOT!O34</f>
        <v>0</v>
      </c>
      <c r="P34">
        <f>VISUM_Freeway_OD!P34-Freeway_Truck!P34-Freeway_HOT!P34</f>
        <v>0</v>
      </c>
      <c r="Q34">
        <f>VISUM_Freeway_OD!Q34-Freeway_Truck!Q34-Freeway_HOT!Q34</f>
        <v>0</v>
      </c>
      <c r="R34">
        <f>VISUM_Freeway_OD!R34-Freeway_Truck!R34-Freeway_HOT!R34</f>
        <v>0</v>
      </c>
      <c r="S34">
        <f>VISUM_Freeway_OD!S34-Freeway_Truck!S34-Freeway_HOT!S34</f>
        <v>0</v>
      </c>
      <c r="T34">
        <f>VISUM_Freeway_OD!T34-Freeway_Truck!T34-Freeway_HOT!T34</f>
        <v>0</v>
      </c>
      <c r="U34">
        <f>VISUM_Freeway_OD!U34-Freeway_Truck!U34-Freeway_HOT!U34</f>
        <v>0</v>
      </c>
      <c r="V34">
        <f>VISUM_Freeway_OD!V34-Freeway_Truck!V34-Freeway_HOT!V34</f>
        <v>0</v>
      </c>
      <c r="W34">
        <f>VISUM_Freeway_OD!W34-Freeway_Truck!W34-Freeway_HOT!W34</f>
        <v>0</v>
      </c>
      <c r="X34">
        <f>VISUM_Freeway_OD!X34-Freeway_Truck!X34-Freeway_HOT!X34</f>
        <v>0</v>
      </c>
      <c r="Y34">
        <f>VISUM_Freeway_OD!Y34-Freeway_Truck!Y34-Freeway_HOT!Y34</f>
        <v>0</v>
      </c>
      <c r="Z34">
        <f>VISUM_Freeway_OD!Z34-Freeway_Truck!Z34-Freeway_HOT!Z34</f>
        <v>0</v>
      </c>
      <c r="AA34">
        <f>VISUM_Freeway_OD!AA34-Freeway_Truck!AA34-Freeway_HOT!AA34</f>
        <v>0</v>
      </c>
      <c r="AB34">
        <f>VISUM_Freeway_OD!AB34-Freeway_Truck!AB34-Freeway_HOT!AB34</f>
        <v>0</v>
      </c>
      <c r="AC34">
        <f>VISUM_Freeway_OD!AC34-Freeway_Truck!AC34-Freeway_HOT!AC34</f>
        <v>0</v>
      </c>
      <c r="AD34">
        <f>VISUM_Freeway_OD!AD34-Freeway_Truck!AD34-Freeway_HOT!AD34</f>
        <v>0</v>
      </c>
      <c r="AE34">
        <f>VISUM_Freeway_OD!AE34-Freeway_Truck!AE34-Freeway_HOT!AE34</f>
        <v>0</v>
      </c>
      <c r="AF34">
        <f>VISUM_Freeway_OD!AF34-Freeway_Truck!AF34-Freeway_HOT!AF34</f>
        <v>0</v>
      </c>
      <c r="AG34">
        <f>VISUM_Freeway_OD!AG34-Freeway_Truck!AG34-Freeway_HOT!AG34</f>
        <v>0</v>
      </c>
      <c r="AH34">
        <f>VISUM_Freeway_OD!AH34-Freeway_Truck!AH34-Freeway_HOT!AH34</f>
        <v>0</v>
      </c>
      <c r="AI34">
        <f>VISUM_Freeway_OD!AI34-Freeway_Truck!AI34-Freeway_HOT!AI34</f>
        <v>0</v>
      </c>
      <c r="AJ34">
        <f>VISUM_Freeway_OD!AJ34-Freeway_Truck!AJ34-Freeway_HOT!AJ34</f>
        <v>1.21832E-2</v>
      </c>
      <c r="AK34">
        <f>VISUM_Freeway_OD!AK34-Freeway_Truck!AK34-Freeway_HOT!AK34</f>
        <v>0</v>
      </c>
      <c r="AL34">
        <f>VISUM_Freeway_OD!AL34-Freeway_Truck!AL34-Freeway_HOT!AL34</f>
        <v>0</v>
      </c>
      <c r="AM34">
        <f>VISUM_Freeway_OD!AM34-Freeway_Truck!AM34-Freeway_HOT!AM34</f>
        <v>0</v>
      </c>
      <c r="AN34">
        <f>VISUM_Freeway_OD!AN34-Freeway_Truck!AN34-Freeway_HOT!AN34</f>
        <v>0</v>
      </c>
      <c r="AO34">
        <f>VISUM_Freeway_OD!AO34-Freeway_Truck!AO34-Freeway_HOT!AO34</f>
        <v>0</v>
      </c>
      <c r="AP34">
        <f>VISUM_Freeway_OD!AP34-Freeway_Truck!AP34-Freeway_HOT!AP34</f>
        <v>0</v>
      </c>
      <c r="AQ34">
        <f>VISUM_Freeway_OD!AQ34-Freeway_Truck!AQ34-Freeway_HOT!AQ34</f>
        <v>0</v>
      </c>
      <c r="AR34">
        <f>VISUM_Freeway_OD!AR34-Freeway_Truck!AR34-Freeway_HOT!AR34</f>
        <v>1.5772200000000001E-3</v>
      </c>
      <c r="AS34">
        <f>VISUM_Freeway_OD!AS34-Freeway_Truck!AS34-Freeway_HOT!AS34</f>
        <v>0</v>
      </c>
      <c r="AT34">
        <f>VISUM_Freeway_OD!AT34-Freeway_Truck!AT34-Freeway_HOT!AT34</f>
        <v>1.6556930000000001E-2</v>
      </c>
      <c r="AU34">
        <f>VISUM_Freeway_OD!AU34-Freeway_Truck!AU34-Freeway_HOT!AU34</f>
        <v>0</v>
      </c>
      <c r="AV34">
        <f>VISUM_Freeway_OD!AV34-Freeway_Truck!AV34-Freeway_HOT!AV34</f>
        <v>0</v>
      </c>
      <c r="AW34">
        <f>VISUM_Freeway_OD!AW34-Freeway_Truck!AW34-Freeway_HOT!AW34</f>
        <v>0</v>
      </c>
      <c r="AX34">
        <f>VISUM_Freeway_OD!AX34-Freeway_Truck!AX34-Freeway_HOT!AX34</f>
        <v>0</v>
      </c>
      <c r="AY34">
        <f>VISUM_Freeway_OD!AY34-Freeway_Truck!AY34-Freeway_HOT!AY34</f>
        <v>0</v>
      </c>
    </row>
    <row r="35" spans="1:51" x14ac:dyDescent="0.25">
      <c r="A35" s="4">
        <f>IF(VLOOKUP(B35,Freeway_Zone_Link_Mapping!$A:$C,2,FALSE)&lt;&gt;"",VLOOKUP(B35,Freeway_Zone_Link_Mapping!$A:$C,2,FALSE),"")</f>
        <v>304</v>
      </c>
      <c r="B35" s="4">
        <v>55</v>
      </c>
      <c r="C35">
        <f>VISUM_Freeway_OD!C35-Freeway_Truck!C35-Freeway_HOT!C35</f>
        <v>0.43478698000000005</v>
      </c>
      <c r="D35">
        <f>VISUM_Freeway_OD!D35-Freeway_Truck!D35-Freeway_HOT!D35</f>
        <v>0</v>
      </c>
      <c r="E35">
        <f>VISUM_Freeway_OD!E35-Freeway_Truck!E35-Freeway_HOT!E35</f>
        <v>0.20247586000000001</v>
      </c>
      <c r="F35">
        <f>VISUM_Freeway_OD!F35-Freeway_Truck!F35-Freeway_HOT!F35</f>
        <v>8.4146219599999998</v>
      </c>
      <c r="G35">
        <f>VISUM_Freeway_OD!G35-Freeway_Truck!G35-Freeway_HOT!G35</f>
        <v>1.5562100000000001</v>
      </c>
      <c r="H35">
        <f>VISUM_Freeway_OD!H35-Freeway_Truck!H35-Freeway_HOT!H35</f>
        <v>77.374210189999999</v>
      </c>
      <c r="I35">
        <f>VISUM_Freeway_OD!I35-Freeway_Truck!I35-Freeway_HOT!I35</f>
        <v>0</v>
      </c>
      <c r="J35">
        <f>VISUM_Freeway_OD!J35-Freeway_Truck!J35-Freeway_HOT!J35</f>
        <v>0</v>
      </c>
      <c r="K35">
        <f>VISUM_Freeway_OD!K35-Freeway_Truck!K35-Freeway_HOT!K35</f>
        <v>39.170653489999999</v>
      </c>
      <c r="L35">
        <f>VISUM_Freeway_OD!L35-Freeway_Truck!L35-Freeway_HOT!L35</f>
        <v>0</v>
      </c>
      <c r="M35">
        <f>VISUM_Freeway_OD!M35-Freeway_Truck!M35-Freeway_HOT!M35</f>
        <v>0</v>
      </c>
      <c r="N35">
        <f>VISUM_Freeway_OD!N35-Freeway_Truck!N35-Freeway_HOT!N35</f>
        <v>0</v>
      </c>
      <c r="O35">
        <f>VISUM_Freeway_OD!O35-Freeway_Truck!O35-Freeway_HOT!O35</f>
        <v>0</v>
      </c>
      <c r="P35">
        <f>VISUM_Freeway_OD!P35-Freeway_Truck!P35-Freeway_HOT!P35</f>
        <v>0</v>
      </c>
      <c r="Q35">
        <f>VISUM_Freeway_OD!Q35-Freeway_Truck!Q35-Freeway_HOT!Q35</f>
        <v>0</v>
      </c>
      <c r="R35">
        <f>VISUM_Freeway_OD!R35-Freeway_Truck!R35-Freeway_HOT!R35</f>
        <v>0</v>
      </c>
      <c r="S35">
        <f>VISUM_Freeway_OD!S35-Freeway_Truck!S35-Freeway_HOT!S35</f>
        <v>2.2117522900000002</v>
      </c>
      <c r="T35">
        <f>VISUM_Freeway_OD!T35-Freeway_Truck!T35-Freeway_HOT!T35</f>
        <v>27.013555219999997</v>
      </c>
      <c r="U35">
        <f>VISUM_Freeway_OD!U35-Freeway_Truck!U35-Freeway_HOT!U35</f>
        <v>0</v>
      </c>
      <c r="V35">
        <f>VISUM_Freeway_OD!V35-Freeway_Truck!V35-Freeway_HOT!V35</f>
        <v>0</v>
      </c>
      <c r="W35">
        <f>VISUM_Freeway_OD!W35-Freeway_Truck!W35-Freeway_HOT!W35</f>
        <v>0</v>
      </c>
      <c r="X35">
        <f>VISUM_Freeway_OD!X35-Freeway_Truck!X35-Freeway_HOT!X35</f>
        <v>0</v>
      </c>
      <c r="Y35">
        <f>VISUM_Freeway_OD!Y35-Freeway_Truck!Y35-Freeway_HOT!Y35</f>
        <v>0</v>
      </c>
      <c r="Z35">
        <f>VISUM_Freeway_OD!Z35-Freeway_Truck!Z35-Freeway_HOT!Z35</f>
        <v>0</v>
      </c>
      <c r="AA35">
        <f>VISUM_Freeway_OD!AA35-Freeway_Truck!AA35-Freeway_HOT!AA35</f>
        <v>0</v>
      </c>
      <c r="AB35">
        <f>VISUM_Freeway_OD!AB35-Freeway_Truck!AB35-Freeway_HOT!AB35</f>
        <v>0</v>
      </c>
      <c r="AC35">
        <f>VISUM_Freeway_OD!AC35-Freeway_Truck!AC35-Freeway_HOT!AC35</f>
        <v>0</v>
      </c>
      <c r="AD35">
        <f>VISUM_Freeway_OD!AD35-Freeway_Truck!AD35-Freeway_HOT!AD35</f>
        <v>0</v>
      </c>
      <c r="AE35">
        <f>VISUM_Freeway_OD!AE35-Freeway_Truck!AE35-Freeway_HOT!AE35</f>
        <v>114.10441643</v>
      </c>
      <c r="AF35">
        <f>VISUM_Freeway_OD!AF35-Freeway_Truck!AF35-Freeway_HOT!AF35</f>
        <v>0</v>
      </c>
      <c r="AG35">
        <f>VISUM_Freeway_OD!AG35-Freeway_Truck!AG35-Freeway_HOT!AG35</f>
        <v>0</v>
      </c>
      <c r="AH35">
        <f>VISUM_Freeway_OD!AH35-Freeway_Truck!AH35-Freeway_HOT!AH35</f>
        <v>0</v>
      </c>
      <c r="AI35">
        <f>VISUM_Freeway_OD!AI35-Freeway_Truck!AI35-Freeway_HOT!AI35</f>
        <v>0</v>
      </c>
      <c r="AJ35">
        <f>VISUM_Freeway_OD!AJ35-Freeway_Truck!AJ35-Freeway_HOT!AJ35</f>
        <v>0</v>
      </c>
      <c r="AK35">
        <f>VISUM_Freeway_OD!AK35-Freeway_Truck!AK35-Freeway_HOT!AK35</f>
        <v>0</v>
      </c>
      <c r="AL35">
        <f>VISUM_Freeway_OD!AL35-Freeway_Truck!AL35-Freeway_HOT!AL35</f>
        <v>0.25522640000000002</v>
      </c>
      <c r="AM35">
        <f>VISUM_Freeway_OD!AM35-Freeway_Truck!AM35-Freeway_HOT!AM35</f>
        <v>0</v>
      </c>
      <c r="AN35">
        <f>VISUM_Freeway_OD!AN35-Freeway_Truck!AN35-Freeway_HOT!AN35</f>
        <v>0</v>
      </c>
      <c r="AO35">
        <f>VISUM_Freeway_OD!AO35-Freeway_Truck!AO35-Freeway_HOT!AO35</f>
        <v>0</v>
      </c>
      <c r="AP35">
        <f>VISUM_Freeway_OD!AP35-Freeway_Truck!AP35-Freeway_HOT!AP35</f>
        <v>0</v>
      </c>
      <c r="AQ35">
        <f>VISUM_Freeway_OD!AQ35-Freeway_Truck!AQ35-Freeway_HOT!AQ35</f>
        <v>0</v>
      </c>
      <c r="AR35">
        <f>VISUM_Freeway_OD!AR35-Freeway_Truck!AR35-Freeway_HOT!AR35</f>
        <v>0</v>
      </c>
      <c r="AS35">
        <f>VISUM_Freeway_OD!AS35-Freeway_Truck!AS35-Freeway_HOT!AS35</f>
        <v>0</v>
      </c>
      <c r="AT35">
        <f>VISUM_Freeway_OD!AT35-Freeway_Truck!AT35-Freeway_HOT!AT35</f>
        <v>0</v>
      </c>
      <c r="AU35">
        <f>VISUM_Freeway_OD!AU35-Freeway_Truck!AU35-Freeway_HOT!AU35</f>
        <v>0</v>
      </c>
      <c r="AV35">
        <f>VISUM_Freeway_OD!AV35-Freeway_Truck!AV35-Freeway_HOT!AV35</f>
        <v>0</v>
      </c>
      <c r="AW35">
        <f>VISUM_Freeway_OD!AW35-Freeway_Truck!AW35-Freeway_HOT!AW35</f>
        <v>0</v>
      </c>
      <c r="AX35">
        <f>VISUM_Freeway_OD!AX35-Freeway_Truck!AX35-Freeway_HOT!AX35</f>
        <v>0</v>
      </c>
      <c r="AY35">
        <f>VISUM_Freeway_OD!AY35-Freeway_Truck!AY35-Freeway_HOT!AY35</f>
        <v>0</v>
      </c>
    </row>
    <row r="36" spans="1:51" x14ac:dyDescent="0.25">
      <c r="A36" s="4">
        <f>IF(VLOOKUP(B36,Freeway_Zone_Link_Mapping!$A:$C,2,FALSE)&lt;&gt;"",VLOOKUP(B36,Freeway_Zone_Link_Mapping!$A:$C,2,FALSE),"")</f>
        <v>262</v>
      </c>
      <c r="B36" s="4">
        <v>56</v>
      </c>
      <c r="C36">
        <f>VISUM_Freeway_OD!C36-Freeway_Truck!C36-Freeway_HOT!C36</f>
        <v>0</v>
      </c>
      <c r="D36">
        <f>VISUM_Freeway_OD!D36-Freeway_Truck!D36-Freeway_HOT!D36</f>
        <v>0</v>
      </c>
      <c r="E36">
        <f>VISUM_Freeway_OD!E36-Freeway_Truck!E36-Freeway_HOT!E36</f>
        <v>0</v>
      </c>
      <c r="F36">
        <f>VISUM_Freeway_OD!F36-Freeway_Truck!F36-Freeway_HOT!F36</f>
        <v>0</v>
      </c>
      <c r="G36">
        <f>VISUM_Freeway_OD!G36-Freeway_Truck!G36-Freeway_HOT!G36</f>
        <v>0</v>
      </c>
      <c r="H36">
        <f>VISUM_Freeway_OD!H36-Freeway_Truck!H36-Freeway_HOT!H36</f>
        <v>0</v>
      </c>
      <c r="I36">
        <f>VISUM_Freeway_OD!I36-Freeway_Truck!I36-Freeway_HOT!I36</f>
        <v>0</v>
      </c>
      <c r="J36">
        <f>VISUM_Freeway_OD!J36-Freeway_Truck!J36-Freeway_HOT!J36</f>
        <v>0</v>
      </c>
      <c r="K36">
        <f>VISUM_Freeway_OD!K36-Freeway_Truck!K36-Freeway_HOT!K36</f>
        <v>0</v>
      </c>
      <c r="L36">
        <f>VISUM_Freeway_OD!L36-Freeway_Truck!L36-Freeway_HOT!L36</f>
        <v>0</v>
      </c>
      <c r="M36">
        <f>VISUM_Freeway_OD!M36-Freeway_Truck!M36-Freeway_HOT!M36</f>
        <v>0</v>
      </c>
      <c r="N36">
        <f>VISUM_Freeway_OD!N36-Freeway_Truck!N36-Freeway_HOT!N36</f>
        <v>0</v>
      </c>
      <c r="O36">
        <f>VISUM_Freeway_OD!O36-Freeway_Truck!O36-Freeway_HOT!O36</f>
        <v>0</v>
      </c>
      <c r="P36">
        <f>VISUM_Freeway_OD!P36-Freeway_Truck!P36-Freeway_HOT!P36</f>
        <v>0</v>
      </c>
      <c r="Q36">
        <f>VISUM_Freeway_OD!Q36-Freeway_Truck!Q36-Freeway_HOT!Q36</f>
        <v>0</v>
      </c>
      <c r="R36">
        <f>VISUM_Freeway_OD!R36-Freeway_Truck!R36-Freeway_HOT!R36</f>
        <v>0</v>
      </c>
      <c r="S36">
        <f>VISUM_Freeway_OD!S36-Freeway_Truck!S36-Freeway_HOT!S36</f>
        <v>0</v>
      </c>
      <c r="T36">
        <f>VISUM_Freeway_OD!T36-Freeway_Truck!T36-Freeway_HOT!T36</f>
        <v>0</v>
      </c>
      <c r="U36">
        <f>VISUM_Freeway_OD!U36-Freeway_Truck!U36-Freeway_HOT!U36</f>
        <v>0</v>
      </c>
      <c r="V36">
        <f>VISUM_Freeway_OD!V36-Freeway_Truck!V36-Freeway_HOT!V36</f>
        <v>0</v>
      </c>
      <c r="W36">
        <f>VISUM_Freeway_OD!W36-Freeway_Truck!W36-Freeway_HOT!W36</f>
        <v>0</v>
      </c>
      <c r="X36">
        <f>VISUM_Freeway_OD!X36-Freeway_Truck!X36-Freeway_HOT!X36</f>
        <v>0</v>
      </c>
      <c r="Y36">
        <f>VISUM_Freeway_OD!Y36-Freeway_Truck!Y36-Freeway_HOT!Y36</f>
        <v>0</v>
      </c>
      <c r="Z36">
        <f>VISUM_Freeway_OD!Z36-Freeway_Truck!Z36-Freeway_HOT!Z36</f>
        <v>0</v>
      </c>
      <c r="AA36">
        <f>VISUM_Freeway_OD!AA36-Freeway_Truck!AA36-Freeway_HOT!AA36</f>
        <v>0</v>
      </c>
      <c r="AB36">
        <f>VISUM_Freeway_OD!AB36-Freeway_Truck!AB36-Freeway_HOT!AB36</f>
        <v>0</v>
      </c>
      <c r="AC36">
        <f>VISUM_Freeway_OD!AC36-Freeway_Truck!AC36-Freeway_HOT!AC36</f>
        <v>0</v>
      </c>
      <c r="AD36">
        <f>VISUM_Freeway_OD!AD36-Freeway_Truck!AD36-Freeway_HOT!AD36</f>
        <v>0</v>
      </c>
      <c r="AE36">
        <f>VISUM_Freeway_OD!AE36-Freeway_Truck!AE36-Freeway_HOT!AE36</f>
        <v>0</v>
      </c>
      <c r="AF36">
        <f>VISUM_Freeway_OD!AF36-Freeway_Truck!AF36-Freeway_HOT!AF36</f>
        <v>0</v>
      </c>
      <c r="AG36">
        <f>VISUM_Freeway_OD!AG36-Freeway_Truck!AG36-Freeway_HOT!AG36</f>
        <v>0</v>
      </c>
      <c r="AH36">
        <f>VISUM_Freeway_OD!AH36-Freeway_Truck!AH36-Freeway_HOT!AH36</f>
        <v>0</v>
      </c>
      <c r="AI36">
        <f>VISUM_Freeway_OD!AI36-Freeway_Truck!AI36-Freeway_HOT!AI36</f>
        <v>0</v>
      </c>
      <c r="AJ36">
        <f>VISUM_Freeway_OD!AJ36-Freeway_Truck!AJ36-Freeway_HOT!AJ36</f>
        <v>0</v>
      </c>
      <c r="AK36">
        <f>VISUM_Freeway_OD!AK36-Freeway_Truck!AK36-Freeway_HOT!AK36</f>
        <v>0</v>
      </c>
      <c r="AL36">
        <f>VISUM_Freeway_OD!AL36-Freeway_Truck!AL36-Freeway_HOT!AL36</f>
        <v>0</v>
      </c>
      <c r="AM36">
        <f>VISUM_Freeway_OD!AM36-Freeway_Truck!AM36-Freeway_HOT!AM36</f>
        <v>0</v>
      </c>
      <c r="AN36">
        <f>VISUM_Freeway_OD!AN36-Freeway_Truck!AN36-Freeway_HOT!AN36</f>
        <v>0</v>
      </c>
      <c r="AO36">
        <f>VISUM_Freeway_OD!AO36-Freeway_Truck!AO36-Freeway_HOT!AO36</f>
        <v>0</v>
      </c>
      <c r="AP36">
        <f>VISUM_Freeway_OD!AP36-Freeway_Truck!AP36-Freeway_HOT!AP36</f>
        <v>0</v>
      </c>
      <c r="AQ36">
        <f>VISUM_Freeway_OD!AQ36-Freeway_Truck!AQ36-Freeway_HOT!AQ36</f>
        <v>0</v>
      </c>
      <c r="AR36">
        <f>VISUM_Freeway_OD!AR36-Freeway_Truck!AR36-Freeway_HOT!AR36</f>
        <v>0</v>
      </c>
      <c r="AS36">
        <f>VISUM_Freeway_OD!AS36-Freeway_Truck!AS36-Freeway_HOT!AS36</f>
        <v>0</v>
      </c>
      <c r="AT36">
        <f>VISUM_Freeway_OD!AT36-Freeway_Truck!AT36-Freeway_HOT!AT36</f>
        <v>0</v>
      </c>
      <c r="AU36">
        <f>VISUM_Freeway_OD!AU36-Freeway_Truck!AU36-Freeway_HOT!AU36</f>
        <v>0</v>
      </c>
      <c r="AV36">
        <f>VISUM_Freeway_OD!AV36-Freeway_Truck!AV36-Freeway_HOT!AV36</f>
        <v>0</v>
      </c>
      <c r="AW36">
        <f>VISUM_Freeway_OD!AW36-Freeway_Truck!AW36-Freeway_HOT!AW36</f>
        <v>0</v>
      </c>
      <c r="AX36">
        <f>VISUM_Freeway_OD!AX36-Freeway_Truck!AX36-Freeway_HOT!AX36</f>
        <v>0</v>
      </c>
      <c r="AY36">
        <f>VISUM_Freeway_OD!AY36-Freeway_Truck!AY36-Freeway_HOT!AY36</f>
        <v>87.300553869999987</v>
      </c>
    </row>
    <row r="37" spans="1:51" x14ac:dyDescent="0.25">
      <c r="A37" s="4">
        <f>IF(VLOOKUP(B37,Freeway_Zone_Link_Mapping!$A:$C,2,FALSE)&lt;&gt;"",VLOOKUP(B37,Freeway_Zone_Link_Mapping!$A:$C,2,FALSE),"")</f>
        <v>459</v>
      </c>
      <c r="B37" s="4">
        <v>57</v>
      </c>
      <c r="C37">
        <f>VISUM_Freeway_OD!C37-Freeway_Truck!C37-Freeway_HOT!C37</f>
        <v>0</v>
      </c>
      <c r="D37">
        <f>VISUM_Freeway_OD!D37-Freeway_Truck!D37-Freeway_HOT!D37</f>
        <v>0</v>
      </c>
      <c r="E37">
        <f>VISUM_Freeway_OD!E37-Freeway_Truck!E37-Freeway_HOT!E37</f>
        <v>0</v>
      </c>
      <c r="F37">
        <f>VISUM_Freeway_OD!F37-Freeway_Truck!F37-Freeway_HOT!F37</f>
        <v>0</v>
      </c>
      <c r="G37">
        <f>VISUM_Freeway_OD!G37-Freeway_Truck!G37-Freeway_HOT!G37</f>
        <v>0</v>
      </c>
      <c r="H37">
        <f>VISUM_Freeway_OD!H37-Freeway_Truck!H37-Freeway_HOT!H37</f>
        <v>40.166094649999998</v>
      </c>
      <c r="I37">
        <f>VISUM_Freeway_OD!I37-Freeway_Truck!I37-Freeway_HOT!I37</f>
        <v>0</v>
      </c>
      <c r="J37">
        <f>VISUM_Freeway_OD!J37-Freeway_Truck!J37-Freeway_HOT!J37</f>
        <v>0</v>
      </c>
      <c r="K37">
        <f>VISUM_Freeway_OD!K37-Freeway_Truck!K37-Freeway_HOT!K37</f>
        <v>5.5161174300000004</v>
      </c>
      <c r="L37">
        <f>VISUM_Freeway_OD!L37-Freeway_Truck!L37-Freeway_HOT!L37</f>
        <v>0</v>
      </c>
      <c r="M37">
        <f>VISUM_Freeway_OD!M37-Freeway_Truck!M37-Freeway_HOT!M37</f>
        <v>63.797284120000008</v>
      </c>
      <c r="N37">
        <f>VISUM_Freeway_OD!N37-Freeway_Truck!N37-Freeway_HOT!N37</f>
        <v>182.08906251000002</v>
      </c>
      <c r="O37">
        <f>VISUM_Freeway_OD!O37-Freeway_Truck!O37-Freeway_HOT!O37</f>
        <v>0</v>
      </c>
      <c r="P37">
        <f>VISUM_Freeway_OD!P37-Freeway_Truck!P37-Freeway_HOT!P37</f>
        <v>0</v>
      </c>
      <c r="Q37">
        <f>VISUM_Freeway_OD!Q37-Freeway_Truck!Q37-Freeway_HOT!Q37</f>
        <v>0</v>
      </c>
      <c r="R37">
        <f>VISUM_Freeway_OD!R37-Freeway_Truck!R37-Freeway_HOT!R37</f>
        <v>0</v>
      </c>
      <c r="S37">
        <f>VISUM_Freeway_OD!S37-Freeway_Truck!S37-Freeway_HOT!S37</f>
        <v>120.93995987</v>
      </c>
      <c r="T37">
        <f>VISUM_Freeway_OD!T37-Freeway_Truck!T37-Freeway_HOT!T37</f>
        <v>1.6977764500000001</v>
      </c>
      <c r="U37">
        <f>VISUM_Freeway_OD!U37-Freeway_Truck!U37-Freeway_HOT!U37</f>
        <v>0</v>
      </c>
      <c r="V37">
        <f>VISUM_Freeway_OD!V37-Freeway_Truck!V37-Freeway_HOT!V37</f>
        <v>0</v>
      </c>
      <c r="W37">
        <f>VISUM_Freeway_OD!W37-Freeway_Truck!W37-Freeway_HOT!W37</f>
        <v>0</v>
      </c>
      <c r="X37">
        <f>VISUM_Freeway_OD!X37-Freeway_Truck!X37-Freeway_HOT!X37</f>
        <v>0</v>
      </c>
      <c r="Y37">
        <f>VISUM_Freeway_OD!Y37-Freeway_Truck!Y37-Freeway_HOT!Y37</f>
        <v>0</v>
      </c>
      <c r="Z37">
        <f>VISUM_Freeway_OD!Z37-Freeway_Truck!Z37-Freeway_HOT!Z37</f>
        <v>0</v>
      </c>
      <c r="AA37">
        <f>VISUM_Freeway_OD!AA37-Freeway_Truck!AA37-Freeway_HOT!AA37</f>
        <v>0</v>
      </c>
      <c r="AB37">
        <f>VISUM_Freeway_OD!AB37-Freeway_Truck!AB37-Freeway_HOT!AB37</f>
        <v>1.0457705800000001</v>
      </c>
      <c r="AC37">
        <f>VISUM_Freeway_OD!AC37-Freeway_Truck!AC37-Freeway_HOT!AC37</f>
        <v>0</v>
      </c>
      <c r="AD37">
        <f>VISUM_Freeway_OD!AD37-Freeway_Truck!AD37-Freeway_HOT!AD37</f>
        <v>0</v>
      </c>
      <c r="AE37">
        <f>VISUM_Freeway_OD!AE37-Freeway_Truck!AE37-Freeway_HOT!AE37</f>
        <v>1.2793834399999999</v>
      </c>
      <c r="AF37">
        <f>VISUM_Freeway_OD!AF37-Freeway_Truck!AF37-Freeway_HOT!AF37</f>
        <v>0</v>
      </c>
      <c r="AG37">
        <f>VISUM_Freeway_OD!AG37-Freeway_Truck!AG37-Freeway_HOT!AG37</f>
        <v>0</v>
      </c>
      <c r="AH37">
        <f>VISUM_Freeway_OD!AH37-Freeway_Truck!AH37-Freeway_HOT!AH37</f>
        <v>0</v>
      </c>
      <c r="AI37">
        <f>VISUM_Freeway_OD!AI37-Freeway_Truck!AI37-Freeway_HOT!AI37</f>
        <v>0</v>
      </c>
      <c r="AJ37">
        <f>VISUM_Freeway_OD!AJ37-Freeway_Truck!AJ37-Freeway_HOT!AJ37</f>
        <v>0</v>
      </c>
      <c r="AK37">
        <f>VISUM_Freeway_OD!AK37-Freeway_Truck!AK37-Freeway_HOT!AK37</f>
        <v>0</v>
      </c>
      <c r="AL37">
        <f>VISUM_Freeway_OD!AL37-Freeway_Truck!AL37-Freeway_HOT!AL37</f>
        <v>0</v>
      </c>
      <c r="AM37">
        <f>VISUM_Freeway_OD!AM37-Freeway_Truck!AM37-Freeway_HOT!AM37</f>
        <v>0</v>
      </c>
      <c r="AN37">
        <f>VISUM_Freeway_OD!AN37-Freeway_Truck!AN37-Freeway_HOT!AN37</f>
        <v>0</v>
      </c>
      <c r="AO37">
        <f>VISUM_Freeway_OD!AO37-Freeway_Truck!AO37-Freeway_HOT!AO37</f>
        <v>0</v>
      </c>
      <c r="AP37">
        <f>VISUM_Freeway_OD!AP37-Freeway_Truck!AP37-Freeway_HOT!AP37</f>
        <v>0</v>
      </c>
      <c r="AQ37">
        <f>VISUM_Freeway_OD!AQ37-Freeway_Truck!AQ37-Freeway_HOT!AQ37</f>
        <v>0</v>
      </c>
      <c r="AR37">
        <f>VISUM_Freeway_OD!AR37-Freeway_Truck!AR37-Freeway_HOT!AR37</f>
        <v>0</v>
      </c>
      <c r="AS37">
        <f>VISUM_Freeway_OD!AS37-Freeway_Truck!AS37-Freeway_HOT!AS37</f>
        <v>0</v>
      </c>
      <c r="AT37">
        <f>VISUM_Freeway_OD!AT37-Freeway_Truck!AT37-Freeway_HOT!AT37</f>
        <v>0</v>
      </c>
      <c r="AU37">
        <f>VISUM_Freeway_OD!AU37-Freeway_Truck!AU37-Freeway_HOT!AU37</f>
        <v>0</v>
      </c>
      <c r="AV37">
        <f>VISUM_Freeway_OD!AV37-Freeway_Truck!AV37-Freeway_HOT!AV37</f>
        <v>0</v>
      </c>
      <c r="AW37">
        <f>VISUM_Freeway_OD!AW37-Freeway_Truck!AW37-Freeway_HOT!AW37</f>
        <v>0</v>
      </c>
      <c r="AX37">
        <f>VISUM_Freeway_OD!AX37-Freeway_Truck!AX37-Freeway_HOT!AX37</f>
        <v>0</v>
      </c>
      <c r="AY37">
        <f>VISUM_Freeway_OD!AY37-Freeway_Truck!AY37-Freeway_HOT!AY37</f>
        <v>0</v>
      </c>
    </row>
    <row r="38" spans="1:51" x14ac:dyDescent="0.25">
      <c r="A38" s="4">
        <f>IF(VLOOKUP(B38,Freeway_Zone_Link_Mapping!$A:$C,2,FALSE)&lt;&gt;"",VLOOKUP(B38,Freeway_Zone_Link_Mapping!$A:$C,2,FALSE),"")</f>
        <v>28240364</v>
      </c>
      <c r="B38" s="4">
        <v>58</v>
      </c>
      <c r="C38">
        <f>VISUM_Freeway_OD!C38-Freeway_Truck!C38-Freeway_HOT!C38</f>
        <v>52.6518716</v>
      </c>
      <c r="D38">
        <f>VISUM_Freeway_OD!D38-Freeway_Truck!D38-Freeway_HOT!D38</f>
        <v>0</v>
      </c>
      <c r="E38">
        <f>VISUM_Freeway_OD!E38-Freeway_Truck!E38-Freeway_HOT!E38</f>
        <v>30.503557019999999</v>
      </c>
      <c r="F38">
        <f>VISUM_Freeway_OD!F38-Freeway_Truck!F38-Freeway_HOT!F38</f>
        <v>693.31475948000002</v>
      </c>
      <c r="G38">
        <f>VISUM_Freeway_OD!G38-Freeway_Truck!G38-Freeway_HOT!G38</f>
        <v>157.15039400000001</v>
      </c>
      <c r="H38">
        <f>VISUM_Freeway_OD!H38-Freeway_Truck!H38-Freeway_HOT!H38</f>
        <v>0</v>
      </c>
      <c r="I38">
        <f>VISUM_Freeway_OD!I38-Freeway_Truck!I38-Freeway_HOT!I38</f>
        <v>0</v>
      </c>
      <c r="J38">
        <f>VISUM_Freeway_OD!J38-Freeway_Truck!J38-Freeway_HOT!J38</f>
        <v>0</v>
      </c>
      <c r="K38">
        <f>VISUM_Freeway_OD!K38-Freeway_Truck!K38-Freeway_HOT!K38</f>
        <v>0</v>
      </c>
      <c r="L38">
        <f>VISUM_Freeway_OD!L38-Freeway_Truck!L38-Freeway_HOT!L38</f>
        <v>0</v>
      </c>
      <c r="M38">
        <f>VISUM_Freeway_OD!M38-Freeway_Truck!M38-Freeway_HOT!M38</f>
        <v>0</v>
      </c>
      <c r="N38">
        <f>VISUM_Freeway_OD!N38-Freeway_Truck!N38-Freeway_HOT!N38</f>
        <v>0</v>
      </c>
      <c r="O38">
        <f>VISUM_Freeway_OD!O38-Freeway_Truck!O38-Freeway_HOT!O38</f>
        <v>0</v>
      </c>
      <c r="P38">
        <f>VISUM_Freeway_OD!P38-Freeway_Truck!P38-Freeway_HOT!P38</f>
        <v>0</v>
      </c>
      <c r="Q38">
        <f>VISUM_Freeway_OD!Q38-Freeway_Truck!Q38-Freeway_HOT!Q38</f>
        <v>0</v>
      </c>
      <c r="R38">
        <f>VISUM_Freeway_OD!R38-Freeway_Truck!R38-Freeway_HOT!R38</f>
        <v>0</v>
      </c>
      <c r="S38">
        <f>VISUM_Freeway_OD!S38-Freeway_Truck!S38-Freeway_HOT!S38</f>
        <v>0</v>
      </c>
      <c r="T38">
        <f>VISUM_Freeway_OD!T38-Freeway_Truck!T38-Freeway_HOT!T38</f>
        <v>0</v>
      </c>
      <c r="U38">
        <f>VISUM_Freeway_OD!U38-Freeway_Truck!U38-Freeway_HOT!U38</f>
        <v>0</v>
      </c>
      <c r="V38">
        <f>VISUM_Freeway_OD!V38-Freeway_Truck!V38-Freeway_HOT!V38</f>
        <v>0</v>
      </c>
      <c r="W38">
        <f>VISUM_Freeway_OD!W38-Freeway_Truck!W38-Freeway_HOT!W38</f>
        <v>0</v>
      </c>
      <c r="X38">
        <f>VISUM_Freeway_OD!X38-Freeway_Truck!X38-Freeway_HOT!X38</f>
        <v>0</v>
      </c>
      <c r="Y38">
        <f>VISUM_Freeway_OD!Y38-Freeway_Truck!Y38-Freeway_HOT!Y38</f>
        <v>0</v>
      </c>
      <c r="Z38">
        <f>VISUM_Freeway_OD!Z38-Freeway_Truck!Z38-Freeway_HOT!Z38</f>
        <v>0</v>
      </c>
      <c r="AA38">
        <f>VISUM_Freeway_OD!AA38-Freeway_Truck!AA38-Freeway_HOT!AA38</f>
        <v>0</v>
      </c>
      <c r="AB38">
        <f>VISUM_Freeway_OD!AB38-Freeway_Truck!AB38-Freeway_HOT!AB38</f>
        <v>0</v>
      </c>
      <c r="AC38">
        <f>VISUM_Freeway_OD!AC38-Freeway_Truck!AC38-Freeway_HOT!AC38</f>
        <v>0</v>
      </c>
      <c r="AD38">
        <f>VISUM_Freeway_OD!AD38-Freeway_Truck!AD38-Freeway_HOT!AD38</f>
        <v>0</v>
      </c>
      <c r="AE38">
        <f>VISUM_Freeway_OD!AE38-Freeway_Truck!AE38-Freeway_HOT!AE38</f>
        <v>0</v>
      </c>
      <c r="AF38">
        <f>VISUM_Freeway_OD!AF38-Freeway_Truck!AF38-Freeway_HOT!AF38</f>
        <v>0</v>
      </c>
      <c r="AG38">
        <f>VISUM_Freeway_OD!AG38-Freeway_Truck!AG38-Freeway_HOT!AG38</f>
        <v>0</v>
      </c>
      <c r="AH38">
        <f>VISUM_Freeway_OD!AH38-Freeway_Truck!AH38-Freeway_HOT!AH38</f>
        <v>0</v>
      </c>
      <c r="AI38">
        <f>VISUM_Freeway_OD!AI38-Freeway_Truck!AI38-Freeway_HOT!AI38</f>
        <v>0</v>
      </c>
      <c r="AJ38">
        <f>VISUM_Freeway_OD!AJ38-Freeway_Truck!AJ38-Freeway_HOT!AJ38</f>
        <v>0</v>
      </c>
      <c r="AK38">
        <f>VISUM_Freeway_OD!AK38-Freeway_Truck!AK38-Freeway_HOT!AK38</f>
        <v>0</v>
      </c>
      <c r="AL38">
        <f>VISUM_Freeway_OD!AL38-Freeway_Truck!AL38-Freeway_HOT!AL38</f>
        <v>0</v>
      </c>
      <c r="AM38">
        <f>VISUM_Freeway_OD!AM38-Freeway_Truck!AM38-Freeway_HOT!AM38</f>
        <v>0</v>
      </c>
      <c r="AN38">
        <f>VISUM_Freeway_OD!AN38-Freeway_Truck!AN38-Freeway_HOT!AN38</f>
        <v>0</v>
      </c>
      <c r="AO38">
        <f>VISUM_Freeway_OD!AO38-Freeway_Truck!AO38-Freeway_HOT!AO38</f>
        <v>0</v>
      </c>
      <c r="AP38">
        <f>VISUM_Freeway_OD!AP38-Freeway_Truck!AP38-Freeway_HOT!AP38</f>
        <v>0</v>
      </c>
      <c r="AQ38">
        <f>VISUM_Freeway_OD!AQ38-Freeway_Truck!AQ38-Freeway_HOT!AQ38</f>
        <v>0</v>
      </c>
      <c r="AR38">
        <f>VISUM_Freeway_OD!AR38-Freeway_Truck!AR38-Freeway_HOT!AR38</f>
        <v>0</v>
      </c>
      <c r="AS38">
        <f>VISUM_Freeway_OD!AS38-Freeway_Truck!AS38-Freeway_HOT!AS38</f>
        <v>0</v>
      </c>
      <c r="AT38">
        <f>VISUM_Freeway_OD!AT38-Freeway_Truck!AT38-Freeway_HOT!AT38</f>
        <v>0</v>
      </c>
      <c r="AU38">
        <f>VISUM_Freeway_OD!AU38-Freeway_Truck!AU38-Freeway_HOT!AU38</f>
        <v>0</v>
      </c>
      <c r="AV38">
        <f>VISUM_Freeway_OD!AV38-Freeway_Truck!AV38-Freeway_HOT!AV38</f>
        <v>0</v>
      </c>
      <c r="AW38">
        <f>VISUM_Freeway_OD!AW38-Freeway_Truck!AW38-Freeway_HOT!AW38</f>
        <v>0</v>
      </c>
      <c r="AX38">
        <f>VISUM_Freeway_OD!AX38-Freeway_Truck!AX38-Freeway_HOT!AX38</f>
        <v>42.092071359999998</v>
      </c>
      <c r="AY38">
        <f>VISUM_Freeway_OD!AY38-Freeway_Truck!AY38-Freeway_HOT!AY38</f>
        <v>0</v>
      </c>
    </row>
    <row r="39" spans="1:51" x14ac:dyDescent="0.25">
      <c r="A39" s="4">
        <f>IF(VLOOKUP(B39,Freeway_Zone_Link_Mapping!$A:$C,2,FALSE)&lt;&gt;"",VLOOKUP(B39,Freeway_Zone_Link_Mapping!$A:$C,2,FALSE),"")</f>
        <v>28280066</v>
      </c>
      <c r="B39" s="4">
        <v>59</v>
      </c>
      <c r="C39">
        <f>VISUM_Freeway_OD!C39-Freeway_Truck!C39-Freeway_HOT!C39</f>
        <v>0</v>
      </c>
      <c r="D39">
        <f>VISUM_Freeway_OD!D39-Freeway_Truck!D39-Freeway_HOT!D39</f>
        <v>0</v>
      </c>
      <c r="E39">
        <f>VISUM_Freeway_OD!E39-Freeway_Truck!E39-Freeway_HOT!E39</f>
        <v>0</v>
      </c>
      <c r="F39">
        <f>VISUM_Freeway_OD!F39-Freeway_Truck!F39-Freeway_HOT!F39</f>
        <v>0</v>
      </c>
      <c r="G39">
        <f>VISUM_Freeway_OD!G39-Freeway_Truck!G39-Freeway_HOT!G39</f>
        <v>0</v>
      </c>
      <c r="H39">
        <f>VISUM_Freeway_OD!H39-Freeway_Truck!H39-Freeway_HOT!H39</f>
        <v>0</v>
      </c>
      <c r="I39">
        <f>VISUM_Freeway_OD!I39-Freeway_Truck!I39-Freeway_HOT!I39</f>
        <v>0</v>
      </c>
      <c r="J39">
        <f>VISUM_Freeway_OD!J39-Freeway_Truck!J39-Freeway_HOT!J39</f>
        <v>0</v>
      </c>
      <c r="K39">
        <f>VISUM_Freeway_OD!K39-Freeway_Truck!K39-Freeway_HOT!K39</f>
        <v>0</v>
      </c>
      <c r="L39">
        <f>VISUM_Freeway_OD!L39-Freeway_Truck!L39-Freeway_HOT!L39</f>
        <v>0</v>
      </c>
      <c r="M39">
        <f>VISUM_Freeway_OD!M39-Freeway_Truck!M39-Freeway_HOT!M39</f>
        <v>0</v>
      </c>
      <c r="N39">
        <f>VISUM_Freeway_OD!N39-Freeway_Truck!N39-Freeway_HOT!N39</f>
        <v>0</v>
      </c>
      <c r="O39">
        <f>VISUM_Freeway_OD!O39-Freeway_Truck!O39-Freeway_HOT!O39</f>
        <v>0</v>
      </c>
      <c r="P39">
        <f>VISUM_Freeway_OD!P39-Freeway_Truck!P39-Freeway_HOT!P39</f>
        <v>65.443835000000007</v>
      </c>
      <c r="Q39">
        <f>VISUM_Freeway_OD!Q39-Freeway_Truck!Q39-Freeway_HOT!Q39</f>
        <v>0</v>
      </c>
      <c r="R39">
        <f>VISUM_Freeway_OD!R39-Freeway_Truck!R39-Freeway_HOT!R39</f>
        <v>0</v>
      </c>
      <c r="S39">
        <f>VISUM_Freeway_OD!S39-Freeway_Truck!S39-Freeway_HOT!S39</f>
        <v>0</v>
      </c>
      <c r="T39">
        <f>VISUM_Freeway_OD!T39-Freeway_Truck!T39-Freeway_HOT!T39</f>
        <v>0</v>
      </c>
      <c r="U39">
        <f>VISUM_Freeway_OD!U39-Freeway_Truck!U39-Freeway_HOT!U39</f>
        <v>0</v>
      </c>
      <c r="V39">
        <f>VISUM_Freeway_OD!V39-Freeway_Truck!V39-Freeway_HOT!V39</f>
        <v>0</v>
      </c>
      <c r="W39">
        <f>VISUM_Freeway_OD!W39-Freeway_Truck!W39-Freeway_HOT!W39</f>
        <v>0</v>
      </c>
      <c r="X39">
        <f>VISUM_Freeway_OD!X39-Freeway_Truck!X39-Freeway_HOT!X39</f>
        <v>0</v>
      </c>
      <c r="Y39">
        <f>VISUM_Freeway_OD!Y39-Freeway_Truck!Y39-Freeway_HOT!Y39</f>
        <v>0</v>
      </c>
      <c r="Z39">
        <f>VISUM_Freeway_OD!Z39-Freeway_Truck!Z39-Freeway_HOT!Z39</f>
        <v>44.439762999999999</v>
      </c>
      <c r="AA39">
        <f>VISUM_Freeway_OD!AA39-Freeway_Truck!AA39-Freeway_HOT!AA39</f>
        <v>0</v>
      </c>
      <c r="AB39">
        <f>VISUM_Freeway_OD!AB39-Freeway_Truck!AB39-Freeway_HOT!AB39</f>
        <v>0</v>
      </c>
      <c r="AC39">
        <f>VISUM_Freeway_OD!AC39-Freeway_Truck!AC39-Freeway_HOT!AC39</f>
        <v>0</v>
      </c>
      <c r="AD39">
        <f>VISUM_Freeway_OD!AD39-Freeway_Truck!AD39-Freeway_HOT!AD39</f>
        <v>0</v>
      </c>
      <c r="AE39">
        <f>VISUM_Freeway_OD!AE39-Freeway_Truck!AE39-Freeway_HOT!AE39</f>
        <v>0</v>
      </c>
      <c r="AF39">
        <f>VISUM_Freeway_OD!AF39-Freeway_Truck!AF39-Freeway_HOT!AF39</f>
        <v>0</v>
      </c>
      <c r="AG39">
        <f>VISUM_Freeway_OD!AG39-Freeway_Truck!AG39-Freeway_HOT!AG39</f>
        <v>0</v>
      </c>
      <c r="AH39">
        <f>VISUM_Freeway_OD!AH39-Freeway_Truck!AH39-Freeway_HOT!AH39</f>
        <v>0</v>
      </c>
      <c r="AI39">
        <f>VISUM_Freeway_OD!AI39-Freeway_Truck!AI39-Freeway_HOT!AI39</f>
        <v>0</v>
      </c>
      <c r="AJ39">
        <f>VISUM_Freeway_OD!AJ39-Freeway_Truck!AJ39-Freeway_HOT!AJ39</f>
        <v>0</v>
      </c>
      <c r="AK39">
        <f>VISUM_Freeway_OD!AK39-Freeway_Truck!AK39-Freeway_HOT!AK39</f>
        <v>0</v>
      </c>
      <c r="AL39">
        <f>VISUM_Freeway_OD!AL39-Freeway_Truck!AL39-Freeway_HOT!AL39</f>
        <v>0</v>
      </c>
      <c r="AM39">
        <f>VISUM_Freeway_OD!AM39-Freeway_Truck!AM39-Freeway_HOT!AM39</f>
        <v>0</v>
      </c>
      <c r="AN39">
        <f>VISUM_Freeway_OD!AN39-Freeway_Truck!AN39-Freeway_HOT!AN39</f>
        <v>0</v>
      </c>
      <c r="AO39">
        <f>VISUM_Freeway_OD!AO39-Freeway_Truck!AO39-Freeway_HOT!AO39</f>
        <v>0</v>
      </c>
      <c r="AP39">
        <f>VISUM_Freeway_OD!AP39-Freeway_Truck!AP39-Freeway_HOT!AP39</f>
        <v>0</v>
      </c>
      <c r="AQ39">
        <f>VISUM_Freeway_OD!AQ39-Freeway_Truck!AQ39-Freeway_HOT!AQ39</f>
        <v>0</v>
      </c>
      <c r="AR39">
        <f>VISUM_Freeway_OD!AR39-Freeway_Truck!AR39-Freeway_HOT!AR39</f>
        <v>0</v>
      </c>
      <c r="AS39">
        <f>VISUM_Freeway_OD!AS39-Freeway_Truck!AS39-Freeway_HOT!AS39</f>
        <v>0</v>
      </c>
      <c r="AT39">
        <f>VISUM_Freeway_OD!AT39-Freeway_Truck!AT39-Freeway_HOT!AT39</f>
        <v>0</v>
      </c>
      <c r="AU39">
        <f>VISUM_Freeway_OD!AU39-Freeway_Truck!AU39-Freeway_HOT!AU39</f>
        <v>0</v>
      </c>
      <c r="AV39">
        <f>VISUM_Freeway_OD!AV39-Freeway_Truck!AV39-Freeway_HOT!AV39</f>
        <v>0</v>
      </c>
      <c r="AW39">
        <f>VISUM_Freeway_OD!AW39-Freeway_Truck!AW39-Freeway_HOT!AW39</f>
        <v>0</v>
      </c>
      <c r="AX39">
        <f>VISUM_Freeway_OD!AX39-Freeway_Truck!AX39-Freeway_HOT!AX39</f>
        <v>0</v>
      </c>
      <c r="AY39">
        <f>VISUM_Freeway_OD!AY39-Freeway_Truck!AY39-Freeway_HOT!AY39</f>
        <v>0</v>
      </c>
    </row>
    <row r="40" spans="1:51" x14ac:dyDescent="0.25">
      <c r="A40" s="4">
        <f>IF(VLOOKUP(B40,Freeway_Zone_Link_Mapping!$A:$C,2,FALSE)&lt;&gt;"",VLOOKUP(B40,Freeway_Zone_Link_Mapping!$A:$C,2,FALSE),"")</f>
        <v>105920001</v>
      </c>
      <c r="B40" s="4">
        <v>60</v>
      </c>
      <c r="C40">
        <f>VISUM_Freeway_OD!C40-Freeway_Truck!C40-Freeway_HOT!C40</f>
        <v>0</v>
      </c>
      <c r="D40">
        <f>VISUM_Freeway_OD!D40-Freeway_Truck!D40-Freeway_HOT!D40</f>
        <v>0</v>
      </c>
      <c r="E40">
        <f>VISUM_Freeway_OD!E40-Freeway_Truck!E40-Freeway_HOT!E40</f>
        <v>0</v>
      </c>
      <c r="F40">
        <f>VISUM_Freeway_OD!F40-Freeway_Truck!F40-Freeway_HOT!F40</f>
        <v>0</v>
      </c>
      <c r="G40">
        <f>VISUM_Freeway_OD!G40-Freeway_Truck!G40-Freeway_HOT!G40</f>
        <v>0.116981</v>
      </c>
      <c r="H40">
        <f>VISUM_Freeway_OD!H40-Freeway_Truck!H40-Freeway_HOT!H40</f>
        <v>0</v>
      </c>
      <c r="I40">
        <f>VISUM_Freeway_OD!I40-Freeway_Truck!I40-Freeway_HOT!I40</f>
        <v>0</v>
      </c>
      <c r="J40">
        <f>VISUM_Freeway_OD!J40-Freeway_Truck!J40-Freeway_HOT!J40</f>
        <v>0</v>
      </c>
      <c r="K40">
        <f>VISUM_Freeway_OD!K40-Freeway_Truck!K40-Freeway_HOT!K40</f>
        <v>0</v>
      </c>
      <c r="L40">
        <f>VISUM_Freeway_OD!L40-Freeway_Truck!L40-Freeway_HOT!L40</f>
        <v>0</v>
      </c>
      <c r="M40">
        <f>VISUM_Freeway_OD!M40-Freeway_Truck!M40-Freeway_HOT!M40</f>
        <v>0</v>
      </c>
      <c r="N40">
        <f>VISUM_Freeway_OD!N40-Freeway_Truck!N40-Freeway_HOT!N40</f>
        <v>0</v>
      </c>
      <c r="O40">
        <f>VISUM_Freeway_OD!O40-Freeway_Truck!O40-Freeway_HOT!O40</f>
        <v>0</v>
      </c>
      <c r="P40">
        <f>VISUM_Freeway_OD!P40-Freeway_Truck!P40-Freeway_HOT!P40</f>
        <v>0</v>
      </c>
      <c r="Q40">
        <f>VISUM_Freeway_OD!Q40-Freeway_Truck!Q40-Freeway_HOT!Q40</f>
        <v>0</v>
      </c>
      <c r="R40">
        <f>VISUM_Freeway_OD!R40-Freeway_Truck!R40-Freeway_HOT!R40</f>
        <v>0</v>
      </c>
      <c r="S40">
        <f>VISUM_Freeway_OD!S40-Freeway_Truck!S40-Freeway_HOT!S40</f>
        <v>0</v>
      </c>
      <c r="T40">
        <f>VISUM_Freeway_OD!T40-Freeway_Truck!T40-Freeway_HOT!T40</f>
        <v>0</v>
      </c>
      <c r="U40">
        <f>VISUM_Freeway_OD!U40-Freeway_Truck!U40-Freeway_HOT!U40</f>
        <v>0</v>
      </c>
      <c r="V40">
        <f>VISUM_Freeway_OD!V40-Freeway_Truck!V40-Freeway_HOT!V40</f>
        <v>0</v>
      </c>
      <c r="W40">
        <f>VISUM_Freeway_OD!W40-Freeway_Truck!W40-Freeway_HOT!W40</f>
        <v>0</v>
      </c>
      <c r="X40">
        <f>VISUM_Freeway_OD!X40-Freeway_Truck!X40-Freeway_HOT!X40</f>
        <v>0</v>
      </c>
      <c r="Y40">
        <f>VISUM_Freeway_OD!Y40-Freeway_Truck!Y40-Freeway_HOT!Y40</f>
        <v>0</v>
      </c>
      <c r="Z40">
        <f>VISUM_Freeway_OD!Z40-Freeway_Truck!Z40-Freeway_HOT!Z40</f>
        <v>0</v>
      </c>
      <c r="AA40">
        <f>VISUM_Freeway_OD!AA40-Freeway_Truck!AA40-Freeway_HOT!AA40</f>
        <v>0</v>
      </c>
      <c r="AB40">
        <f>VISUM_Freeway_OD!AB40-Freeway_Truck!AB40-Freeway_HOT!AB40</f>
        <v>0</v>
      </c>
      <c r="AC40">
        <f>VISUM_Freeway_OD!AC40-Freeway_Truck!AC40-Freeway_HOT!AC40</f>
        <v>0</v>
      </c>
      <c r="AD40">
        <f>VISUM_Freeway_OD!AD40-Freeway_Truck!AD40-Freeway_HOT!AD40</f>
        <v>0</v>
      </c>
      <c r="AE40">
        <f>VISUM_Freeway_OD!AE40-Freeway_Truck!AE40-Freeway_HOT!AE40</f>
        <v>0</v>
      </c>
      <c r="AF40">
        <f>VISUM_Freeway_OD!AF40-Freeway_Truck!AF40-Freeway_HOT!AF40</f>
        <v>0</v>
      </c>
      <c r="AG40">
        <f>VISUM_Freeway_OD!AG40-Freeway_Truck!AG40-Freeway_HOT!AG40</f>
        <v>0</v>
      </c>
      <c r="AH40">
        <f>VISUM_Freeway_OD!AH40-Freeway_Truck!AH40-Freeway_HOT!AH40</f>
        <v>0</v>
      </c>
      <c r="AI40">
        <f>VISUM_Freeway_OD!AI40-Freeway_Truck!AI40-Freeway_HOT!AI40</f>
        <v>0</v>
      </c>
      <c r="AJ40">
        <f>VISUM_Freeway_OD!AJ40-Freeway_Truck!AJ40-Freeway_HOT!AJ40</f>
        <v>0</v>
      </c>
      <c r="AK40">
        <f>VISUM_Freeway_OD!AK40-Freeway_Truck!AK40-Freeway_HOT!AK40</f>
        <v>0</v>
      </c>
      <c r="AL40">
        <f>VISUM_Freeway_OD!AL40-Freeway_Truck!AL40-Freeway_HOT!AL40</f>
        <v>0</v>
      </c>
      <c r="AM40">
        <f>VISUM_Freeway_OD!AM40-Freeway_Truck!AM40-Freeway_HOT!AM40</f>
        <v>0</v>
      </c>
      <c r="AN40">
        <f>VISUM_Freeway_OD!AN40-Freeway_Truck!AN40-Freeway_HOT!AN40</f>
        <v>0</v>
      </c>
      <c r="AO40">
        <f>VISUM_Freeway_OD!AO40-Freeway_Truck!AO40-Freeway_HOT!AO40</f>
        <v>0</v>
      </c>
      <c r="AP40">
        <f>VISUM_Freeway_OD!AP40-Freeway_Truck!AP40-Freeway_HOT!AP40</f>
        <v>0</v>
      </c>
      <c r="AQ40">
        <f>VISUM_Freeway_OD!AQ40-Freeway_Truck!AQ40-Freeway_HOT!AQ40</f>
        <v>418.99467499999997</v>
      </c>
      <c r="AR40">
        <f>VISUM_Freeway_OD!AR40-Freeway_Truck!AR40-Freeway_HOT!AR40</f>
        <v>0</v>
      </c>
      <c r="AS40">
        <f>VISUM_Freeway_OD!AS40-Freeway_Truck!AS40-Freeway_HOT!AS40</f>
        <v>0</v>
      </c>
      <c r="AT40">
        <f>VISUM_Freeway_OD!AT40-Freeway_Truck!AT40-Freeway_HOT!AT40</f>
        <v>0</v>
      </c>
      <c r="AU40">
        <f>VISUM_Freeway_OD!AU40-Freeway_Truck!AU40-Freeway_HOT!AU40</f>
        <v>0</v>
      </c>
      <c r="AV40">
        <f>VISUM_Freeway_OD!AV40-Freeway_Truck!AV40-Freeway_HOT!AV40</f>
        <v>0</v>
      </c>
      <c r="AW40">
        <f>VISUM_Freeway_OD!AW40-Freeway_Truck!AW40-Freeway_HOT!AW40</f>
        <v>0</v>
      </c>
      <c r="AX40">
        <f>VISUM_Freeway_OD!AX40-Freeway_Truck!AX40-Freeway_HOT!AX40</f>
        <v>0</v>
      </c>
      <c r="AY40">
        <f>VISUM_Freeway_OD!AY40-Freeway_Truck!AY40-Freeway_HOT!AY40</f>
        <v>0</v>
      </c>
    </row>
    <row r="41" spans="1:51" x14ac:dyDescent="0.25">
      <c r="A41" s="4">
        <f>IF(VLOOKUP(B41,Freeway_Zone_Link_Mapping!$A:$C,2,FALSE)&lt;&gt;"",VLOOKUP(B41,Freeway_Zone_Link_Mapping!$A:$C,2,FALSE),"")</f>
        <v>371</v>
      </c>
      <c r="B41" s="4">
        <v>61</v>
      </c>
      <c r="C41">
        <f>VISUM_Freeway_OD!C41-Freeway_Truck!C41-Freeway_HOT!C41</f>
        <v>0.31441385999999999</v>
      </c>
      <c r="D41">
        <f>VISUM_Freeway_OD!D41-Freeway_Truck!D41-Freeway_HOT!D41</f>
        <v>0</v>
      </c>
      <c r="E41">
        <f>VISUM_Freeway_OD!E41-Freeway_Truck!E41-Freeway_HOT!E41</f>
        <v>6.4911430000000006E-2</v>
      </c>
      <c r="F41">
        <f>VISUM_Freeway_OD!F41-Freeway_Truck!F41-Freeway_HOT!F41</f>
        <v>3.3090715800000003</v>
      </c>
      <c r="G41">
        <f>VISUM_Freeway_OD!G41-Freeway_Truck!G41-Freeway_HOT!G41</f>
        <v>1.6541E-2</v>
      </c>
      <c r="H41">
        <f>VISUM_Freeway_OD!H41-Freeway_Truck!H41-Freeway_HOT!H41</f>
        <v>9.7639734399999991</v>
      </c>
      <c r="I41">
        <f>VISUM_Freeway_OD!I41-Freeway_Truck!I41-Freeway_HOT!I41</f>
        <v>0</v>
      </c>
      <c r="J41">
        <f>VISUM_Freeway_OD!J41-Freeway_Truck!J41-Freeway_HOT!J41</f>
        <v>0</v>
      </c>
      <c r="K41">
        <f>VISUM_Freeway_OD!K41-Freeway_Truck!K41-Freeway_HOT!K41</f>
        <v>12.95986154</v>
      </c>
      <c r="L41">
        <f>VISUM_Freeway_OD!L41-Freeway_Truck!L41-Freeway_HOT!L41</f>
        <v>0</v>
      </c>
      <c r="M41">
        <f>VISUM_Freeway_OD!M41-Freeway_Truck!M41-Freeway_HOT!M41</f>
        <v>0</v>
      </c>
      <c r="N41">
        <f>VISUM_Freeway_OD!N41-Freeway_Truck!N41-Freeway_HOT!N41</f>
        <v>0</v>
      </c>
      <c r="O41">
        <f>VISUM_Freeway_OD!O41-Freeway_Truck!O41-Freeway_HOT!O41</f>
        <v>0</v>
      </c>
      <c r="P41">
        <f>VISUM_Freeway_OD!P41-Freeway_Truck!P41-Freeway_HOT!P41</f>
        <v>0</v>
      </c>
      <c r="Q41">
        <f>VISUM_Freeway_OD!Q41-Freeway_Truck!Q41-Freeway_HOT!Q41</f>
        <v>0</v>
      </c>
      <c r="R41">
        <f>VISUM_Freeway_OD!R41-Freeway_Truck!R41-Freeway_HOT!R41</f>
        <v>0</v>
      </c>
      <c r="S41">
        <f>VISUM_Freeway_OD!S41-Freeway_Truck!S41-Freeway_HOT!S41</f>
        <v>0</v>
      </c>
      <c r="T41">
        <f>VISUM_Freeway_OD!T41-Freeway_Truck!T41-Freeway_HOT!T41</f>
        <v>0</v>
      </c>
      <c r="U41">
        <f>VISUM_Freeway_OD!U41-Freeway_Truck!U41-Freeway_HOT!U41</f>
        <v>0</v>
      </c>
      <c r="V41">
        <f>VISUM_Freeway_OD!V41-Freeway_Truck!V41-Freeway_HOT!V41</f>
        <v>0</v>
      </c>
      <c r="W41">
        <f>VISUM_Freeway_OD!W41-Freeway_Truck!W41-Freeway_HOT!W41</f>
        <v>0</v>
      </c>
      <c r="X41">
        <f>VISUM_Freeway_OD!X41-Freeway_Truck!X41-Freeway_HOT!X41</f>
        <v>0</v>
      </c>
      <c r="Y41">
        <f>VISUM_Freeway_OD!Y41-Freeway_Truck!Y41-Freeway_HOT!Y41</f>
        <v>0</v>
      </c>
      <c r="Z41">
        <f>VISUM_Freeway_OD!Z41-Freeway_Truck!Z41-Freeway_HOT!Z41</f>
        <v>0</v>
      </c>
      <c r="AA41">
        <f>VISUM_Freeway_OD!AA41-Freeway_Truck!AA41-Freeway_HOT!AA41</f>
        <v>0</v>
      </c>
      <c r="AB41">
        <f>VISUM_Freeway_OD!AB41-Freeway_Truck!AB41-Freeway_HOT!AB41</f>
        <v>0</v>
      </c>
      <c r="AC41">
        <f>VISUM_Freeway_OD!AC41-Freeway_Truck!AC41-Freeway_HOT!AC41</f>
        <v>0</v>
      </c>
      <c r="AD41">
        <f>VISUM_Freeway_OD!AD41-Freeway_Truck!AD41-Freeway_HOT!AD41</f>
        <v>0</v>
      </c>
      <c r="AE41">
        <f>VISUM_Freeway_OD!AE41-Freeway_Truck!AE41-Freeway_HOT!AE41</f>
        <v>2.2387735800000002</v>
      </c>
      <c r="AF41">
        <f>VISUM_Freeway_OD!AF41-Freeway_Truck!AF41-Freeway_HOT!AF41</f>
        <v>0</v>
      </c>
      <c r="AG41">
        <f>VISUM_Freeway_OD!AG41-Freeway_Truck!AG41-Freeway_HOT!AG41</f>
        <v>0</v>
      </c>
      <c r="AH41">
        <f>VISUM_Freeway_OD!AH41-Freeway_Truck!AH41-Freeway_HOT!AH41</f>
        <v>0</v>
      </c>
      <c r="AI41">
        <f>VISUM_Freeway_OD!AI41-Freeway_Truck!AI41-Freeway_HOT!AI41</f>
        <v>0</v>
      </c>
      <c r="AJ41">
        <f>VISUM_Freeway_OD!AJ41-Freeway_Truck!AJ41-Freeway_HOT!AJ41</f>
        <v>0</v>
      </c>
      <c r="AK41">
        <f>VISUM_Freeway_OD!AK41-Freeway_Truck!AK41-Freeway_HOT!AK41</f>
        <v>0</v>
      </c>
      <c r="AL41">
        <f>VISUM_Freeway_OD!AL41-Freeway_Truck!AL41-Freeway_HOT!AL41</f>
        <v>0.33567722999999999</v>
      </c>
      <c r="AM41">
        <f>VISUM_Freeway_OD!AM41-Freeway_Truck!AM41-Freeway_HOT!AM41</f>
        <v>0</v>
      </c>
      <c r="AN41">
        <f>VISUM_Freeway_OD!AN41-Freeway_Truck!AN41-Freeway_HOT!AN41</f>
        <v>0</v>
      </c>
      <c r="AO41">
        <f>VISUM_Freeway_OD!AO41-Freeway_Truck!AO41-Freeway_HOT!AO41</f>
        <v>0</v>
      </c>
      <c r="AP41">
        <f>VISUM_Freeway_OD!AP41-Freeway_Truck!AP41-Freeway_HOT!AP41</f>
        <v>0</v>
      </c>
      <c r="AQ41">
        <f>VISUM_Freeway_OD!AQ41-Freeway_Truck!AQ41-Freeway_HOT!AQ41</f>
        <v>0</v>
      </c>
      <c r="AR41">
        <f>VISUM_Freeway_OD!AR41-Freeway_Truck!AR41-Freeway_HOT!AR41</f>
        <v>0</v>
      </c>
      <c r="AS41">
        <f>VISUM_Freeway_OD!AS41-Freeway_Truck!AS41-Freeway_HOT!AS41</f>
        <v>0</v>
      </c>
      <c r="AT41">
        <f>VISUM_Freeway_OD!AT41-Freeway_Truck!AT41-Freeway_HOT!AT41</f>
        <v>0</v>
      </c>
      <c r="AU41">
        <f>VISUM_Freeway_OD!AU41-Freeway_Truck!AU41-Freeway_HOT!AU41</f>
        <v>0</v>
      </c>
      <c r="AV41">
        <f>VISUM_Freeway_OD!AV41-Freeway_Truck!AV41-Freeway_HOT!AV41</f>
        <v>0</v>
      </c>
      <c r="AW41">
        <f>VISUM_Freeway_OD!AW41-Freeway_Truck!AW41-Freeway_HOT!AW41</f>
        <v>0</v>
      </c>
      <c r="AX41">
        <f>VISUM_Freeway_OD!AX41-Freeway_Truck!AX41-Freeway_HOT!AX41</f>
        <v>0</v>
      </c>
      <c r="AY41">
        <f>VISUM_Freeway_OD!AY41-Freeway_Truck!AY41-Freeway_HOT!AY41</f>
        <v>0</v>
      </c>
    </row>
    <row r="42" spans="1:51" x14ac:dyDescent="0.25">
      <c r="A42" s="4">
        <f>IF(VLOOKUP(B42,Freeway_Zone_Link_Mapping!$A:$C,2,FALSE)&lt;&gt;"",VLOOKUP(B42,Freeway_Zone_Link_Mapping!$A:$C,2,FALSE),"")</f>
        <v>424</v>
      </c>
      <c r="B42" s="4">
        <v>62</v>
      </c>
      <c r="C42">
        <f>VISUM_Freeway_OD!C42-Freeway_Truck!C42-Freeway_HOT!C42</f>
        <v>0</v>
      </c>
      <c r="D42">
        <f>VISUM_Freeway_OD!D42-Freeway_Truck!D42-Freeway_HOT!D42</f>
        <v>0</v>
      </c>
      <c r="E42">
        <f>VISUM_Freeway_OD!E42-Freeway_Truck!E42-Freeway_HOT!E42</f>
        <v>0</v>
      </c>
      <c r="F42">
        <f>VISUM_Freeway_OD!F42-Freeway_Truck!F42-Freeway_HOT!F42</f>
        <v>0</v>
      </c>
      <c r="G42">
        <f>VISUM_Freeway_OD!G42-Freeway_Truck!G42-Freeway_HOT!G42</f>
        <v>450.021298</v>
      </c>
      <c r="H42">
        <f>VISUM_Freeway_OD!H42-Freeway_Truck!H42-Freeway_HOT!H42</f>
        <v>141.20391655999998</v>
      </c>
      <c r="I42">
        <f>VISUM_Freeway_OD!I42-Freeway_Truck!I42-Freeway_HOT!I42</f>
        <v>0</v>
      </c>
      <c r="J42">
        <f>VISUM_Freeway_OD!J42-Freeway_Truck!J42-Freeway_HOT!J42</f>
        <v>0</v>
      </c>
      <c r="K42">
        <f>VISUM_Freeway_OD!K42-Freeway_Truck!K42-Freeway_HOT!K42</f>
        <v>67.461488220000007</v>
      </c>
      <c r="L42">
        <f>VISUM_Freeway_OD!L42-Freeway_Truck!L42-Freeway_HOT!L42</f>
        <v>0</v>
      </c>
      <c r="M42">
        <f>VISUM_Freeway_OD!M42-Freeway_Truck!M42-Freeway_HOT!M42</f>
        <v>0</v>
      </c>
      <c r="N42">
        <f>VISUM_Freeway_OD!N42-Freeway_Truck!N42-Freeway_HOT!N42</f>
        <v>120.28419331000001</v>
      </c>
      <c r="O42">
        <f>VISUM_Freeway_OD!O42-Freeway_Truck!O42-Freeway_HOT!O42</f>
        <v>0</v>
      </c>
      <c r="P42">
        <f>VISUM_Freeway_OD!P42-Freeway_Truck!P42-Freeway_HOT!P42</f>
        <v>602.95323800000006</v>
      </c>
      <c r="Q42">
        <f>VISUM_Freeway_OD!Q42-Freeway_Truck!Q42-Freeway_HOT!Q42</f>
        <v>0</v>
      </c>
      <c r="R42">
        <f>VISUM_Freeway_OD!R42-Freeway_Truck!R42-Freeway_HOT!R42</f>
        <v>0</v>
      </c>
      <c r="S42">
        <f>VISUM_Freeway_OD!S42-Freeway_Truck!S42-Freeway_HOT!S42</f>
        <v>0</v>
      </c>
      <c r="T42">
        <f>VISUM_Freeway_OD!T42-Freeway_Truck!T42-Freeway_HOT!T42</f>
        <v>0</v>
      </c>
      <c r="U42">
        <f>VISUM_Freeway_OD!U42-Freeway_Truck!U42-Freeway_HOT!U42</f>
        <v>0</v>
      </c>
      <c r="V42">
        <f>VISUM_Freeway_OD!V42-Freeway_Truck!V42-Freeway_HOT!V42</f>
        <v>0</v>
      </c>
      <c r="W42">
        <f>VISUM_Freeway_OD!W42-Freeway_Truck!W42-Freeway_HOT!W42</f>
        <v>0</v>
      </c>
      <c r="X42">
        <f>VISUM_Freeway_OD!X42-Freeway_Truck!X42-Freeway_HOT!X42</f>
        <v>0</v>
      </c>
      <c r="Y42">
        <f>VISUM_Freeway_OD!Y42-Freeway_Truck!Y42-Freeway_HOT!Y42</f>
        <v>0</v>
      </c>
      <c r="Z42">
        <f>VISUM_Freeway_OD!Z42-Freeway_Truck!Z42-Freeway_HOT!Z42</f>
        <v>309.09899200000001</v>
      </c>
      <c r="AA42">
        <f>VISUM_Freeway_OD!AA42-Freeway_Truck!AA42-Freeway_HOT!AA42</f>
        <v>0</v>
      </c>
      <c r="AB42">
        <f>VISUM_Freeway_OD!AB42-Freeway_Truck!AB42-Freeway_HOT!AB42</f>
        <v>0</v>
      </c>
      <c r="AC42">
        <f>VISUM_Freeway_OD!AC42-Freeway_Truck!AC42-Freeway_HOT!AC42</f>
        <v>0</v>
      </c>
      <c r="AD42">
        <f>VISUM_Freeway_OD!AD42-Freeway_Truck!AD42-Freeway_HOT!AD42</f>
        <v>0</v>
      </c>
      <c r="AE42">
        <f>VISUM_Freeway_OD!AE42-Freeway_Truck!AE42-Freeway_HOT!AE42</f>
        <v>8.3637735899999992</v>
      </c>
      <c r="AF42">
        <f>VISUM_Freeway_OD!AF42-Freeway_Truck!AF42-Freeway_HOT!AF42</f>
        <v>0</v>
      </c>
      <c r="AG42">
        <f>VISUM_Freeway_OD!AG42-Freeway_Truck!AG42-Freeway_HOT!AG42</f>
        <v>0</v>
      </c>
      <c r="AH42">
        <f>VISUM_Freeway_OD!AH42-Freeway_Truck!AH42-Freeway_HOT!AH42</f>
        <v>0</v>
      </c>
      <c r="AI42">
        <f>VISUM_Freeway_OD!AI42-Freeway_Truck!AI42-Freeway_HOT!AI42</f>
        <v>0</v>
      </c>
      <c r="AJ42">
        <f>VISUM_Freeway_OD!AJ42-Freeway_Truck!AJ42-Freeway_HOT!AJ42</f>
        <v>0</v>
      </c>
      <c r="AK42">
        <f>VISUM_Freeway_OD!AK42-Freeway_Truck!AK42-Freeway_HOT!AK42</f>
        <v>0</v>
      </c>
      <c r="AL42">
        <f>VISUM_Freeway_OD!AL42-Freeway_Truck!AL42-Freeway_HOT!AL42</f>
        <v>0</v>
      </c>
      <c r="AM42">
        <f>VISUM_Freeway_OD!AM42-Freeway_Truck!AM42-Freeway_HOT!AM42</f>
        <v>476.57666399999999</v>
      </c>
      <c r="AN42">
        <f>VISUM_Freeway_OD!AN42-Freeway_Truck!AN42-Freeway_HOT!AN42</f>
        <v>0</v>
      </c>
      <c r="AO42">
        <f>VISUM_Freeway_OD!AO42-Freeway_Truck!AO42-Freeway_HOT!AO42</f>
        <v>0</v>
      </c>
      <c r="AP42">
        <f>VISUM_Freeway_OD!AP42-Freeway_Truck!AP42-Freeway_HOT!AP42</f>
        <v>0</v>
      </c>
      <c r="AQ42">
        <f>VISUM_Freeway_OD!AQ42-Freeway_Truck!AQ42-Freeway_HOT!AQ42</f>
        <v>0</v>
      </c>
      <c r="AR42">
        <f>VISUM_Freeway_OD!AR42-Freeway_Truck!AR42-Freeway_HOT!AR42</f>
        <v>0</v>
      </c>
      <c r="AS42">
        <f>VISUM_Freeway_OD!AS42-Freeway_Truck!AS42-Freeway_HOT!AS42</f>
        <v>0</v>
      </c>
      <c r="AT42">
        <f>VISUM_Freeway_OD!AT42-Freeway_Truck!AT42-Freeway_HOT!AT42</f>
        <v>81.980253250000004</v>
      </c>
      <c r="AU42">
        <f>VISUM_Freeway_OD!AU42-Freeway_Truck!AU42-Freeway_HOT!AU42</f>
        <v>0</v>
      </c>
      <c r="AV42">
        <f>VISUM_Freeway_OD!AV42-Freeway_Truck!AV42-Freeway_HOT!AV42</f>
        <v>0</v>
      </c>
      <c r="AW42">
        <f>VISUM_Freeway_OD!AW42-Freeway_Truck!AW42-Freeway_HOT!AW42</f>
        <v>969.71263555999997</v>
      </c>
      <c r="AX42">
        <f>VISUM_Freeway_OD!AX42-Freeway_Truck!AX42-Freeway_HOT!AX42</f>
        <v>0</v>
      </c>
      <c r="AY42">
        <f>VISUM_Freeway_OD!AY42-Freeway_Truck!AY42-Freeway_HOT!AY42</f>
        <v>0</v>
      </c>
    </row>
    <row r="43" spans="1:51" x14ac:dyDescent="0.25">
      <c r="A43" s="4" t="str">
        <f>IF(VLOOKUP(B43,Freeway_Zone_Link_Mapping!$A:$C,2,FALSE)&lt;&gt;"",VLOOKUP(B43,Freeway_Zone_Link_Mapping!$A:$C,2,FALSE),"")</f>
        <v/>
      </c>
      <c r="B43" s="4">
        <v>63</v>
      </c>
      <c r="C43">
        <f>VISUM_Freeway_OD!C43-Freeway_Truck!C43-Freeway_HOT!C43</f>
        <v>0</v>
      </c>
      <c r="D43">
        <f>VISUM_Freeway_OD!D43-Freeway_Truck!D43-Freeway_HOT!D43</f>
        <v>0</v>
      </c>
      <c r="E43">
        <f>VISUM_Freeway_OD!E43-Freeway_Truck!E43-Freeway_HOT!E43</f>
        <v>0</v>
      </c>
      <c r="F43">
        <f>VISUM_Freeway_OD!F43-Freeway_Truck!F43-Freeway_HOT!F43</f>
        <v>0</v>
      </c>
      <c r="G43">
        <f>VISUM_Freeway_OD!G43-Freeway_Truck!G43-Freeway_HOT!G43</f>
        <v>0</v>
      </c>
      <c r="H43">
        <f>VISUM_Freeway_OD!H43-Freeway_Truck!H43-Freeway_HOT!H43</f>
        <v>0</v>
      </c>
      <c r="I43">
        <f>VISUM_Freeway_OD!I43-Freeway_Truck!I43-Freeway_HOT!I43</f>
        <v>0</v>
      </c>
      <c r="J43">
        <f>VISUM_Freeway_OD!J43-Freeway_Truck!J43-Freeway_HOT!J43</f>
        <v>0</v>
      </c>
      <c r="K43">
        <f>VISUM_Freeway_OD!K43-Freeway_Truck!K43-Freeway_HOT!K43</f>
        <v>0</v>
      </c>
      <c r="L43">
        <f>VISUM_Freeway_OD!L43-Freeway_Truck!L43-Freeway_HOT!L43</f>
        <v>0</v>
      </c>
      <c r="M43">
        <f>VISUM_Freeway_OD!M43-Freeway_Truck!M43-Freeway_HOT!M43</f>
        <v>0</v>
      </c>
      <c r="N43">
        <f>VISUM_Freeway_OD!N43-Freeway_Truck!N43-Freeway_HOT!N43</f>
        <v>0</v>
      </c>
      <c r="O43">
        <f>VISUM_Freeway_OD!O43-Freeway_Truck!O43-Freeway_HOT!O43</f>
        <v>0</v>
      </c>
      <c r="P43">
        <f>VISUM_Freeway_OD!P43-Freeway_Truck!P43-Freeway_HOT!P43</f>
        <v>0</v>
      </c>
      <c r="Q43">
        <f>VISUM_Freeway_OD!Q43-Freeway_Truck!Q43-Freeway_HOT!Q43</f>
        <v>0</v>
      </c>
      <c r="R43">
        <f>VISUM_Freeway_OD!R43-Freeway_Truck!R43-Freeway_HOT!R43</f>
        <v>0</v>
      </c>
      <c r="S43">
        <f>VISUM_Freeway_OD!S43-Freeway_Truck!S43-Freeway_HOT!S43</f>
        <v>0</v>
      </c>
      <c r="T43">
        <f>VISUM_Freeway_OD!T43-Freeway_Truck!T43-Freeway_HOT!T43</f>
        <v>0</v>
      </c>
      <c r="U43">
        <f>VISUM_Freeway_OD!U43-Freeway_Truck!U43-Freeway_HOT!U43</f>
        <v>0</v>
      </c>
      <c r="V43">
        <f>VISUM_Freeway_OD!V43-Freeway_Truck!V43-Freeway_HOT!V43</f>
        <v>0</v>
      </c>
      <c r="W43">
        <f>VISUM_Freeway_OD!W43-Freeway_Truck!W43-Freeway_HOT!W43</f>
        <v>0</v>
      </c>
      <c r="X43">
        <f>VISUM_Freeway_OD!X43-Freeway_Truck!X43-Freeway_HOT!X43</f>
        <v>0</v>
      </c>
      <c r="Y43">
        <f>VISUM_Freeway_OD!Y43-Freeway_Truck!Y43-Freeway_HOT!Y43</f>
        <v>0</v>
      </c>
      <c r="Z43">
        <f>VISUM_Freeway_OD!Z43-Freeway_Truck!Z43-Freeway_HOT!Z43</f>
        <v>0</v>
      </c>
      <c r="AA43">
        <f>VISUM_Freeway_OD!AA43-Freeway_Truck!AA43-Freeway_HOT!AA43</f>
        <v>0</v>
      </c>
      <c r="AB43">
        <f>VISUM_Freeway_OD!AB43-Freeway_Truck!AB43-Freeway_HOT!AB43</f>
        <v>0</v>
      </c>
      <c r="AC43">
        <f>VISUM_Freeway_OD!AC43-Freeway_Truck!AC43-Freeway_HOT!AC43</f>
        <v>0</v>
      </c>
      <c r="AD43">
        <f>VISUM_Freeway_OD!AD43-Freeway_Truck!AD43-Freeway_HOT!AD43</f>
        <v>0</v>
      </c>
      <c r="AE43">
        <f>VISUM_Freeway_OD!AE43-Freeway_Truck!AE43-Freeway_HOT!AE43</f>
        <v>0</v>
      </c>
      <c r="AF43">
        <f>VISUM_Freeway_OD!AF43-Freeway_Truck!AF43-Freeway_HOT!AF43</f>
        <v>0</v>
      </c>
      <c r="AG43">
        <f>VISUM_Freeway_OD!AG43-Freeway_Truck!AG43-Freeway_HOT!AG43</f>
        <v>0</v>
      </c>
      <c r="AH43">
        <f>VISUM_Freeway_OD!AH43-Freeway_Truck!AH43-Freeway_HOT!AH43</f>
        <v>0</v>
      </c>
      <c r="AI43">
        <f>VISUM_Freeway_OD!AI43-Freeway_Truck!AI43-Freeway_HOT!AI43</f>
        <v>0</v>
      </c>
      <c r="AJ43">
        <f>VISUM_Freeway_OD!AJ43-Freeway_Truck!AJ43-Freeway_HOT!AJ43</f>
        <v>0</v>
      </c>
      <c r="AK43">
        <f>VISUM_Freeway_OD!AK43-Freeway_Truck!AK43-Freeway_HOT!AK43</f>
        <v>0</v>
      </c>
      <c r="AL43">
        <f>VISUM_Freeway_OD!AL43-Freeway_Truck!AL43-Freeway_HOT!AL43</f>
        <v>0</v>
      </c>
      <c r="AM43">
        <f>VISUM_Freeway_OD!AM43-Freeway_Truck!AM43-Freeway_HOT!AM43</f>
        <v>0</v>
      </c>
      <c r="AN43">
        <f>VISUM_Freeway_OD!AN43-Freeway_Truck!AN43-Freeway_HOT!AN43</f>
        <v>0</v>
      </c>
      <c r="AO43">
        <f>VISUM_Freeway_OD!AO43-Freeway_Truck!AO43-Freeway_HOT!AO43</f>
        <v>0</v>
      </c>
      <c r="AP43">
        <f>VISUM_Freeway_OD!AP43-Freeway_Truck!AP43-Freeway_HOT!AP43</f>
        <v>0</v>
      </c>
      <c r="AQ43">
        <f>VISUM_Freeway_OD!AQ43-Freeway_Truck!AQ43-Freeway_HOT!AQ43</f>
        <v>0</v>
      </c>
      <c r="AR43">
        <f>VISUM_Freeway_OD!AR43-Freeway_Truck!AR43-Freeway_HOT!AR43</f>
        <v>0</v>
      </c>
      <c r="AS43">
        <f>VISUM_Freeway_OD!AS43-Freeway_Truck!AS43-Freeway_HOT!AS43</f>
        <v>0</v>
      </c>
      <c r="AT43">
        <f>VISUM_Freeway_OD!AT43-Freeway_Truck!AT43-Freeway_HOT!AT43</f>
        <v>0</v>
      </c>
      <c r="AU43">
        <f>VISUM_Freeway_OD!AU43-Freeway_Truck!AU43-Freeway_HOT!AU43</f>
        <v>0</v>
      </c>
      <c r="AV43">
        <f>VISUM_Freeway_OD!AV43-Freeway_Truck!AV43-Freeway_HOT!AV43</f>
        <v>0</v>
      </c>
      <c r="AW43">
        <f>VISUM_Freeway_OD!AW43-Freeway_Truck!AW43-Freeway_HOT!AW43</f>
        <v>0</v>
      </c>
      <c r="AX43">
        <f>VISUM_Freeway_OD!AX43-Freeway_Truck!AX43-Freeway_HOT!AX43</f>
        <v>0</v>
      </c>
      <c r="AY43">
        <f>VISUM_Freeway_OD!AY43-Freeway_Truck!AY43-Freeway_HOT!AY43</f>
        <v>0</v>
      </c>
    </row>
    <row r="44" spans="1:51" x14ac:dyDescent="0.25">
      <c r="A44" s="4" t="str">
        <f>IF(VLOOKUP(B44,Freeway_Zone_Link_Mapping!$A:$C,2,FALSE)&lt;&gt;"",VLOOKUP(B44,Freeway_Zone_Link_Mapping!$A:$C,2,FALSE),"")</f>
        <v/>
      </c>
      <c r="B44" s="4">
        <v>64</v>
      </c>
      <c r="C44">
        <f>VISUM_Freeway_OD!C44-Freeway_Truck!C44-Freeway_HOT!C44</f>
        <v>0</v>
      </c>
      <c r="D44">
        <f>VISUM_Freeway_OD!D44-Freeway_Truck!D44-Freeway_HOT!D44</f>
        <v>0</v>
      </c>
      <c r="E44">
        <f>VISUM_Freeway_OD!E44-Freeway_Truck!E44-Freeway_HOT!E44</f>
        <v>0</v>
      </c>
      <c r="F44">
        <f>VISUM_Freeway_OD!F44-Freeway_Truck!F44-Freeway_HOT!F44</f>
        <v>0</v>
      </c>
      <c r="G44">
        <f>VISUM_Freeway_OD!G44-Freeway_Truck!G44-Freeway_HOT!G44</f>
        <v>0</v>
      </c>
      <c r="H44">
        <f>VISUM_Freeway_OD!H44-Freeway_Truck!H44-Freeway_HOT!H44</f>
        <v>0</v>
      </c>
      <c r="I44">
        <f>VISUM_Freeway_OD!I44-Freeway_Truck!I44-Freeway_HOT!I44</f>
        <v>0</v>
      </c>
      <c r="J44">
        <f>VISUM_Freeway_OD!J44-Freeway_Truck!J44-Freeway_HOT!J44</f>
        <v>0</v>
      </c>
      <c r="K44">
        <f>VISUM_Freeway_OD!K44-Freeway_Truck!K44-Freeway_HOT!K44</f>
        <v>0</v>
      </c>
      <c r="L44">
        <f>VISUM_Freeway_OD!L44-Freeway_Truck!L44-Freeway_HOT!L44</f>
        <v>0</v>
      </c>
      <c r="M44">
        <f>VISUM_Freeway_OD!M44-Freeway_Truck!M44-Freeway_HOT!M44</f>
        <v>0</v>
      </c>
      <c r="N44">
        <f>VISUM_Freeway_OD!N44-Freeway_Truck!N44-Freeway_HOT!N44</f>
        <v>0</v>
      </c>
      <c r="O44">
        <f>VISUM_Freeway_OD!O44-Freeway_Truck!O44-Freeway_HOT!O44</f>
        <v>0</v>
      </c>
      <c r="P44">
        <f>VISUM_Freeway_OD!P44-Freeway_Truck!P44-Freeway_HOT!P44</f>
        <v>0</v>
      </c>
      <c r="Q44">
        <f>VISUM_Freeway_OD!Q44-Freeway_Truck!Q44-Freeway_HOT!Q44</f>
        <v>0</v>
      </c>
      <c r="R44">
        <f>VISUM_Freeway_OD!R44-Freeway_Truck!R44-Freeway_HOT!R44</f>
        <v>0</v>
      </c>
      <c r="S44">
        <f>VISUM_Freeway_OD!S44-Freeway_Truck!S44-Freeway_HOT!S44</f>
        <v>0</v>
      </c>
      <c r="T44">
        <f>VISUM_Freeway_OD!T44-Freeway_Truck!T44-Freeway_HOT!T44</f>
        <v>0</v>
      </c>
      <c r="U44">
        <f>VISUM_Freeway_OD!U44-Freeway_Truck!U44-Freeway_HOT!U44</f>
        <v>0</v>
      </c>
      <c r="V44">
        <f>VISUM_Freeway_OD!V44-Freeway_Truck!V44-Freeway_HOT!V44</f>
        <v>0</v>
      </c>
      <c r="W44">
        <f>VISUM_Freeway_OD!W44-Freeway_Truck!W44-Freeway_HOT!W44</f>
        <v>0</v>
      </c>
      <c r="X44">
        <f>VISUM_Freeway_OD!X44-Freeway_Truck!X44-Freeway_HOT!X44</f>
        <v>0</v>
      </c>
      <c r="Y44">
        <f>VISUM_Freeway_OD!Y44-Freeway_Truck!Y44-Freeway_HOT!Y44</f>
        <v>0</v>
      </c>
      <c r="Z44">
        <f>VISUM_Freeway_OD!Z44-Freeway_Truck!Z44-Freeway_HOT!Z44</f>
        <v>0</v>
      </c>
      <c r="AA44">
        <f>VISUM_Freeway_OD!AA44-Freeway_Truck!AA44-Freeway_HOT!AA44</f>
        <v>0</v>
      </c>
      <c r="AB44">
        <f>VISUM_Freeway_OD!AB44-Freeway_Truck!AB44-Freeway_HOT!AB44</f>
        <v>0</v>
      </c>
      <c r="AC44">
        <f>VISUM_Freeway_OD!AC44-Freeway_Truck!AC44-Freeway_HOT!AC44</f>
        <v>0</v>
      </c>
      <c r="AD44">
        <f>VISUM_Freeway_OD!AD44-Freeway_Truck!AD44-Freeway_HOT!AD44</f>
        <v>0</v>
      </c>
      <c r="AE44">
        <f>VISUM_Freeway_OD!AE44-Freeway_Truck!AE44-Freeway_HOT!AE44</f>
        <v>0</v>
      </c>
      <c r="AF44">
        <f>VISUM_Freeway_OD!AF44-Freeway_Truck!AF44-Freeway_HOT!AF44</f>
        <v>0</v>
      </c>
      <c r="AG44">
        <f>VISUM_Freeway_OD!AG44-Freeway_Truck!AG44-Freeway_HOT!AG44</f>
        <v>0</v>
      </c>
      <c r="AH44">
        <f>VISUM_Freeway_OD!AH44-Freeway_Truck!AH44-Freeway_HOT!AH44</f>
        <v>0</v>
      </c>
      <c r="AI44">
        <f>VISUM_Freeway_OD!AI44-Freeway_Truck!AI44-Freeway_HOT!AI44</f>
        <v>0</v>
      </c>
      <c r="AJ44">
        <f>VISUM_Freeway_OD!AJ44-Freeway_Truck!AJ44-Freeway_HOT!AJ44</f>
        <v>0</v>
      </c>
      <c r="AK44">
        <f>VISUM_Freeway_OD!AK44-Freeway_Truck!AK44-Freeway_HOT!AK44</f>
        <v>0</v>
      </c>
      <c r="AL44">
        <f>VISUM_Freeway_OD!AL44-Freeway_Truck!AL44-Freeway_HOT!AL44</f>
        <v>0</v>
      </c>
      <c r="AM44">
        <f>VISUM_Freeway_OD!AM44-Freeway_Truck!AM44-Freeway_HOT!AM44</f>
        <v>0</v>
      </c>
      <c r="AN44">
        <f>VISUM_Freeway_OD!AN44-Freeway_Truck!AN44-Freeway_HOT!AN44</f>
        <v>0</v>
      </c>
      <c r="AO44">
        <f>VISUM_Freeway_OD!AO44-Freeway_Truck!AO44-Freeway_HOT!AO44</f>
        <v>0</v>
      </c>
      <c r="AP44">
        <f>VISUM_Freeway_OD!AP44-Freeway_Truck!AP44-Freeway_HOT!AP44</f>
        <v>0</v>
      </c>
      <c r="AQ44">
        <f>VISUM_Freeway_OD!AQ44-Freeway_Truck!AQ44-Freeway_HOT!AQ44</f>
        <v>0</v>
      </c>
      <c r="AR44">
        <f>VISUM_Freeway_OD!AR44-Freeway_Truck!AR44-Freeway_HOT!AR44</f>
        <v>0</v>
      </c>
      <c r="AS44">
        <f>VISUM_Freeway_OD!AS44-Freeway_Truck!AS44-Freeway_HOT!AS44</f>
        <v>0</v>
      </c>
      <c r="AT44">
        <f>VISUM_Freeway_OD!AT44-Freeway_Truck!AT44-Freeway_HOT!AT44</f>
        <v>0</v>
      </c>
      <c r="AU44">
        <f>VISUM_Freeway_OD!AU44-Freeway_Truck!AU44-Freeway_HOT!AU44</f>
        <v>0</v>
      </c>
      <c r="AV44">
        <f>VISUM_Freeway_OD!AV44-Freeway_Truck!AV44-Freeway_HOT!AV44</f>
        <v>0</v>
      </c>
      <c r="AW44">
        <f>VISUM_Freeway_OD!AW44-Freeway_Truck!AW44-Freeway_HOT!AW44</f>
        <v>0</v>
      </c>
      <c r="AX44">
        <f>VISUM_Freeway_OD!AX44-Freeway_Truck!AX44-Freeway_HOT!AX44</f>
        <v>0</v>
      </c>
      <c r="AY44">
        <f>VISUM_Freeway_OD!AY44-Freeway_Truck!AY44-Freeway_HOT!AY44</f>
        <v>0</v>
      </c>
    </row>
    <row r="45" spans="1:51" x14ac:dyDescent="0.25">
      <c r="A45" s="4">
        <f>IF(VLOOKUP(B45,Freeway_Zone_Link_Mapping!$A:$C,2,FALSE)&lt;&gt;"",VLOOKUP(B45,Freeway_Zone_Link_Mapping!$A:$C,2,FALSE),"")</f>
        <v>460</v>
      </c>
      <c r="B45" s="20">
        <v>66</v>
      </c>
      <c r="C45">
        <f>VISUM_Freeway_OD!C45-Freeway_Truck!C45-Freeway_HOT!C45</f>
        <v>148.56276142000002</v>
      </c>
      <c r="D45">
        <f>VISUM_Freeway_OD!D45-Freeway_Truck!D45-Freeway_HOT!D45</f>
        <v>0</v>
      </c>
      <c r="E45">
        <f>VISUM_Freeway_OD!E45-Freeway_Truck!E45-Freeway_HOT!E45</f>
        <v>128.93403444999998</v>
      </c>
      <c r="F45">
        <f>VISUM_Freeway_OD!F45-Freeway_Truck!F45-Freeway_HOT!F45</f>
        <v>172.59617885</v>
      </c>
      <c r="G45">
        <f>VISUM_Freeway_OD!G45-Freeway_Truck!G45-Freeway_HOT!G45</f>
        <v>183.20551900000001</v>
      </c>
      <c r="H45">
        <f>VISUM_Freeway_OD!H45-Freeway_Truck!H45-Freeway_HOT!H45</f>
        <v>0</v>
      </c>
      <c r="I45">
        <f>VISUM_Freeway_OD!I45-Freeway_Truck!I45-Freeway_HOT!I45</f>
        <v>0</v>
      </c>
      <c r="J45">
        <f>VISUM_Freeway_OD!J45-Freeway_Truck!J45-Freeway_HOT!J45</f>
        <v>0</v>
      </c>
      <c r="K45">
        <f>VISUM_Freeway_OD!K45-Freeway_Truck!K45-Freeway_HOT!K45</f>
        <v>0</v>
      </c>
      <c r="L45">
        <f>VISUM_Freeway_OD!L45-Freeway_Truck!L45-Freeway_HOT!L45</f>
        <v>0</v>
      </c>
      <c r="M45">
        <f>VISUM_Freeway_OD!M45-Freeway_Truck!M45-Freeway_HOT!M45</f>
        <v>0</v>
      </c>
      <c r="N45">
        <f>VISUM_Freeway_OD!N45-Freeway_Truck!N45-Freeway_HOT!N45</f>
        <v>0</v>
      </c>
      <c r="O45">
        <f>VISUM_Freeway_OD!O45-Freeway_Truck!O45-Freeway_HOT!O45</f>
        <v>0</v>
      </c>
      <c r="P45">
        <f>VISUM_Freeway_OD!P45-Freeway_Truck!P45-Freeway_HOT!P45</f>
        <v>0</v>
      </c>
      <c r="Q45">
        <f>VISUM_Freeway_OD!Q45-Freeway_Truck!Q45-Freeway_HOT!Q45</f>
        <v>0</v>
      </c>
      <c r="R45">
        <f>VISUM_Freeway_OD!R45-Freeway_Truck!R45-Freeway_HOT!R45</f>
        <v>0</v>
      </c>
      <c r="S45">
        <f>VISUM_Freeway_OD!S45-Freeway_Truck!S45-Freeway_HOT!S45</f>
        <v>0</v>
      </c>
      <c r="T45">
        <f>VISUM_Freeway_OD!T45-Freeway_Truck!T45-Freeway_HOT!T45</f>
        <v>0</v>
      </c>
      <c r="U45">
        <f>VISUM_Freeway_OD!U45-Freeway_Truck!U45-Freeway_HOT!U45</f>
        <v>0</v>
      </c>
      <c r="V45">
        <f>VISUM_Freeway_OD!V45-Freeway_Truck!V45-Freeway_HOT!V45</f>
        <v>0</v>
      </c>
      <c r="W45">
        <f>VISUM_Freeway_OD!W45-Freeway_Truck!W45-Freeway_HOT!W45</f>
        <v>0</v>
      </c>
      <c r="X45">
        <f>VISUM_Freeway_OD!X45-Freeway_Truck!X45-Freeway_HOT!X45</f>
        <v>0</v>
      </c>
      <c r="Y45">
        <f>VISUM_Freeway_OD!Y45-Freeway_Truck!Y45-Freeway_HOT!Y45</f>
        <v>0</v>
      </c>
      <c r="Z45">
        <f>VISUM_Freeway_OD!Z45-Freeway_Truck!Z45-Freeway_HOT!Z45</f>
        <v>0</v>
      </c>
      <c r="AA45">
        <f>VISUM_Freeway_OD!AA45-Freeway_Truck!AA45-Freeway_HOT!AA45</f>
        <v>0</v>
      </c>
      <c r="AB45">
        <f>VISUM_Freeway_OD!AB45-Freeway_Truck!AB45-Freeway_HOT!AB45</f>
        <v>0</v>
      </c>
      <c r="AC45">
        <f>VISUM_Freeway_OD!AC45-Freeway_Truck!AC45-Freeway_HOT!AC45</f>
        <v>0</v>
      </c>
      <c r="AD45">
        <f>VISUM_Freeway_OD!AD45-Freeway_Truck!AD45-Freeway_HOT!AD45</f>
        <v>0</v>
      </c>
      <c r="AE45">
        <f>VISUM_Freeway_OD!AE45-Freeway_Truck!AE45-Freeway_HOT!AE45</f>
        <v>0</v>
      </c>
      <c r="AF45">
        <f>VISUM_Freeway_OD!AF45-Freeway_Truck!AF45-Freeway_HOT!AF45</f>
        <v>0</v>
      </c>
      <c r="AG45">
        <f>VISUM_Freeway_OD!AG45-Freeway_Truck!AG45-Freeway_HOT!AG45</f>
        <v>0</v>
      </c>
      <c r="AH45">
        <f>VISUM_Freeway_OD!AH45-Freeway_Truck!AH45-Freeway_HOT!AH45</f>
        <v>0</v>
      </c>
      <c r="AI45">
        <f>VISUM_Freeway_OD!AI45-Freeway_Truck!AI45-Freeway_HOT!AI45</f>
        <v>0</v>
      </c>
      <c r="AJ45">
        <f>VISUM_Freeway_OD!AJ45-Freeway_Truck!AJ45-Freeway_HOT!AJ45</f>
        <v>0</v>
      </c>
      <c r="AK45">
        <f>VISUM_Freeway_OD!AK45-Freeway_Truck!AK45-Freeway_HOT!AK45</f>
        <v>0</v>
      </c>
      <c r="AL45">
        <f>VISUM_Freeway_OD!AL45-Freeway_Truck!AL45-Freeway_HOT!AL45</f>
        <v>275.04188398000002</v>
      </c>
      <c r="AM45">
        <f>VISUM_Freeway_OD!AM45-Freeway_Truck!AM45-Freeway_HOT!AM45</f>
        <v>0</v>
      </c>
      <c r="AN45">
        <f>VISUM_Freeway_OD!AN45-Freeway_Truck!AN45-Freeway_HOT!AN45</f>
        <v>0</v>
      </c>
      <c r="AO45">
        <f>VISUM_Freeway_OD!AO45-Freeway_Truck!AO45-Freeway_HOT!AO45</f>
        <v>0</v>
      </c>
      <c r="AP45">
        <f>VISUM_Freeway_OD!AP45-Freeway_Truck!AP45-Freeway_HOT!AP45</f>
        <v>0</v>
      </c>
      <c r="AQ45">
        <f>VISUM_Freeway_OD!AQ45-Freeway_Truck!AQ45-Freeway_HOT!AQ45</f>
        <v>0</v>
      </c>
      <c r="AR45">
        <f>VISUM_Freeway_OD!AR45-Freeway_Truck!AR45-Freeway_HOT!AR45</f>
        <v>0</v>
      </c>
      <c r="AS45">
        <f>VISUM_Freeway_OD!AS45-Freeway_Truck!AS45-Freeway_HOT!AS45</f>
        <v>0</v>
      </c>
      <c r="AT45">
        <f>VISUM_Freeway_OD!AT45-Freeway_Truck!AT45-Freeway_HOT!AT45</f>
        <v>0</v>
      </c>
      <c r="AU45">
        <f>VISUM_Freeway_OD!AU45-Freeway_Truck!AU45-Freeway_HOT!AU45</f>
        <v>0</v>
      </c>
      <c r="AV45">
        <f>VISUM_Freeway_OD!AV45-Freeway_Truck!AV45-Freeway_HOT!AV45</f>
        <v>0</v>
      </c>
      <c r="AW45">
        <f>VISUM_Freeway_OD!AW45-Freeway_Truck!AW45-Freeway_HOT!AW45</f>
        <v>0</v>
      </c>
      <c r="AX45">
        <f>VISUM_Freeway_OD!AX45-Freeway_Truck!AX45-Freeway_HOT!AX45</f>
        <v>168.07787423000002</v>
      </c>
      <c r="AY45">
        <f>VISUM_Freeway_OD!AY45-Freeway_Truck!AY45-Freeway_HOT!AY45</f>
        <v>0</v>
      </c>
    </row>
    <row r="46" spans="1:51" x14ac:dyDescent="0.25">
      <c r="A46" s="4">
        <f>IF(VLOOKUP(B46,Freeway_Zone_Link_Mapping!$A:$C,2,FALSE)&lt;&gt;"",VLOOKUP(B46,Freeway_Zone_Link_Mapping!$A:$C,2,FALSE),"")</f>
        <v>31</v>
      </c>
      <c r="B46" s="20">
        <v>67</v>
      </c>
      <c r="C46">
        <f>VISUM_Freeway_OD!C46-Freeway_Truck!C46-Freeway_HOT!C46</f>
        <v>0</v>
      </c>
      <c r="D46">
        <f>VISUM_Freeway_OD!D46-Freeway_Truck!D46-Freeway_HOT!D46</f>
        <v>0</v>
      </c>
      <c r="E46">
        <f>VISUM_Freeway_OD!E46-Freeway_Truck!E46-Freeway_HOT!E46</f>
        <v>0</v>
      </c>
      <c r="F46">
        <f>VISUM_Freeway_OD!F46-Freeway_Truck!F46-Freeway_HOT!F46</f>
        <v>0</v>
      </c>
      <c r="G46">
        <f>VISUM_Freeway_OD!G46-Freeway_Truck!G46-Freeway_HOT!G46</f>
        <v>0</v>
      </c>
      <c r="H46">
        <f>VISUM_Freeway_OD!H46-Freeway_Truck!H46-Freeway_HOT!H46</f>
        <v>0</v>
      </c>
      <c r="I46">
        <f>VISUM_Freeway_OD!I46-Freeway_Truck!I46-Freeway_HOT!I46</f>
        <v>0</v>
      </c>
      <c r="J46">
        <f>VISUM_Freeway_OD!J46-Freeway_Truck!J46-Freeway_HOT!J46</f>
        <v>0</v>
      </c>
      <c r="K46">
        <f>VISUM_Freeway_OD!K46-Freeway_Truck!K46-Freeway_HOT!K46</f>
        <v>0</v>
      </c>
      <c r="L46">
        <f>VISUM_Freeway_OD!L46-Freeway_Truck!L46-Freeway_HOT!L46</f>
        <v>0</v>
      </c>
      <c r="M46">
        <f>VISUM_Freeway_OD!M46-Freeway_Truck!M46-Freeway_HOT!M46</f>
        <v>407.35512876999996</v>
      </c>
      <c r="N46">
        <f>VISUM_Freeway_OD!N46-Freeway_Truck!N46-Freeway_HOT!N46</f>
        <v>0</v>
      </c>
      <c r="O46">
        <f>VISUM_Freeway_OD!O46-Freeway_Truck!O46-Freeway_HOT!O46</f>
        <v>0</v>
      </c>
      <c r="P46">
        <f>VISUM_Freeway_OD!P46-Freeway_Truck!P46-Freeway_HOT!P46</f>
        <v>0</v>
      </c>
      <c r="Q46">
        <f>VISUM_Freeway_OD!Q46-Freeway_Truck!Q46-Freeway_HOT!Q46</f>
        <v>0</v>
      </c>
      <c r="R46">
        <f>VISUM_Freeway_OD!R46-Freeway_Truck!R46-Freeway_HOT!R46</f>
        <v>0</v>
      </c>
      <c r="S46">
        <f>VISUM_Freeway_OD!S46-Freeway_Truck!S46-Freeway_HOT!S46</f>
        <v>0</v>
      </c>
      <c r="T46">
        <f>VISUM_Freeway_OD!T46-Freeway_Truck!T46-Freeway_HOT!T46</f>
        <v>0</v>
      </c>
      <c r="U46">
        <f>VISUM_Freeway_OD!U46-Freeway_Truck!U46-Freeway_HOT!U46</f>
        <v>0</v>
      </c>
      <c r="V46">
        <f>VISUM_Freeway_OD!V46-Freeway_Truck!V46-Freeway_HOT!V46</f>
        <v>0</v>
      </c>
      <c r="W46">
        <f>VISUM_Freeway_OD!W46-Freeway_Truck!W46-Freeway_HOT!W46</f>
        <v>0</v>
      </c>
      <c r="X46">
        <f>VISUM_Freeway_OD!X46-Freeway_Truck!X46-Freeway_HOT!X46</f>
        <v>0</v>
      </c>
      <c r="Y46">
        <f>VISUM_Freeway_OD!Y46-Freeway_Truck!Y46-Freeway_HOT!Y46</f>
        <v>0</v>
      </c>
      <c r="Z46">
        <f>VISUM_Freeway_OD!Z46-Freeway_Truck!Z46-Freeway_HOT!Z46</f>
        <v>0</v>
      </c>
      <c r="AA46">
        <f>VISUM_Freeway_OD!AA46-Freeway_Truck!AA46-Freeway_HOT!AA46</f>
        <v>0</v>
      </c>
      <c r="AB46">
        <f>VISUM_Freeway_OD!AB46-Freeway_Truck!AB46-Freeway_HOT!AB46</f>
        <v>0</v>
      </c>
      <c r="AC46">
        <f>VISUM_Freeway_OD!AC46-Freeway_Truck!AC46-Freeway_HOT!AC46</f>
        <v>0</v>
      </c>
      <c r="AD46">
        <f>VISUM_Freeway_OD!AD46-Freeway_Truck!AD46-Freeway_HOT!AD46</f>
        <v>0</v>
      </c>
      <c r="AE46">
        <f>VISUM_Freeway_OD!AE46-Freeway_Truck!AE46-Freeway_HOT!AE46</f>
        <v>0</v>
      </c>
      <c r="AF46">
        <f>VISUM_Freeway_OD!AF46-Freeway_Truck!AF46-Freeway_HOT!AF46</f>
        <v>0</v>
      </c>
      <c r="AG46">
        <f>VISUM_Freeway_OD!AG46-Freeway_Truck!AG46-Freeway_HOT!AG46</f>
        <v>0</v>
      </c>
      <c r="AH46">
        <f>VISUM_Freeway_OD!AH46-Freeway_Truck!AH46-Freeway_HOT!AH46</f>
        <v>0</v>
      </c>
      <c r="AI46">
        <f>VISUM_Freeway_OD!AI46-Freeway_Truck!AI46-Freeway_HOT!AI46</f>
        <v>0</v>
      </c>
      <c r="AJ46">
        <f>VISUM_Freeway_OD!AJ46-Freeway_Truck!AJ46-Freeway_HOT!AJ46</f>
        <v>0</v>
      </c>
      <c r="AK46">
        <f>VISUM_Freeway_OD!AK46-Freeway_Truck!AK46-Freeway_HOT!AK46</f>
        <v>0</v>
      </c>
      <c r="AL46">
        <f>VISUM_Freeway_OD!AL46-Freeway_Truck!AL46-Freeway_HOT!AL46</f>
        <v>0</v>
      </c>
      <c r="AM46">
        <f>VISUM_Freeway_OD!AM46-Freeway_Truck!AM46-Freeway_HOT!AM46</f>
        <v>0</v>
      </c>
      <c r="AN46">
        <f>VISUM_Freeway_OD!AN46-Freeway_Truck!AN46-Freeway_HOT!AN46</f>
        <v>0</v>
      </c>
      <c r="AO46">
        <f>VISUM_Freeway_OD!AO46-Freeway_Truck!AO46-Freeway_HOT!AO46</f>
        <v>0</v>
      </c>
      <c r="AP46">
        <f>VISUM_Freeway_OD!AP46-Freeway_Truck!AP46-Freeway_HOT!AP46</f>
        <v>0</v>
      </c>
      <c r="AQ46">
        <f>VISUM_Freeway_OD!AQ46-Freeway_Truck!AQ46-Freeway_HOT!AQ46</f>
        <v>0</v>
      </c>
      <c r="AR46">
        <f>VISUM_Freeway_OD!AR46-Freeway_Truck!AR46-Freeway_HOT!AR46</f>
        <v>0</v>
      </c>
      <c r="AS46">
        <f>VISUM_Freeway_OD!AS46-Freeway_Truck!AS46-Freeway_HOT!AS46</f>
        <v>0</v>
      </c>
      <c r="AT46">
        <f>VISUM_Freeway_OD!AT46-Freeway_Truck!AT46-Freeway_HOT!AT46</f>
        <v>0</v>
      </c>
      <c r="AU46">
        <f>VISUM_Freeway_OD!AU46-Freeway_Truck!AU46-Freeway_HOT!AU46</f>
        <v>0</v>
      </c>
      <c r="AV46">
        <f>VISUM_Freeway_OD!AV46-Freeway_Truck!AV46-Freeway_HOT!AV46</f>
        <v>0</v>
      </c>
      <c r="AW46">
        <f>VISUM_Freeway_OD!AW46-Freeway_Truck!AW46-Freeway_HOT!AW46</f>
        <v>0</v>
      </c>
      <c r="AX46">
        <f>VISUM_Freeway_OD!AX46-Freeway_Truck!AX46-Freeway_HOT!AX46</f>
        <v>0</v>
      </c>
      <c r="AY46">
        <f>VISUM_Freeway_OD!AY46-Freeway_Truck!AY46-Freeway_HOT!AY46</f>
        <v>0</v>
      </c>
    </row>
    <row r="47" spans="1:51" x14ac:dyDescent="0.25">
      <c r="A47" s="4">
        <f>IF(VLOOKUP(B47,Freeway_Zone_Link_Mapping!$A:$C,2,FALSE)&lt;&gt;"",VLOOKUP(B47,Freeway_Zone_Link_Mapping!$A:$C,2,FALSE),"")</f>
        <v>28280069</v>
      </c>
      <c r="B47" s="20">
        <v>68</v>
      </c>
      <c r="C47">
        <f>VISUM_Freeway_OD!C47-Freeway_Truck!C47-Freeway_HOT!C47</f>
        <v>0</v>
      </c>
      <c r="D47">
        <f>VISUM_Freeway_OD!D47-Freeway_Truck!D47-Freeway_HOT!D47</f>
        <v>0</v>
      </c>
      <c r="E47">
        <f>VISUM_Freeway_OD!E47-Freeway_Truck!E47-Freeway_HOT!E47</f>
        <v>0</v>
      </c>
      <c r="F47">
        <f>VISUM_Freeway_OD!F47-Freeway_Truck!F47-Freeway_HOT!F47</f>
        <v>0</v>
      </c>
      <c r="G47">
        <f>VISUM_Freeway_OD!G47-Freeway_Truck!G47-Freeway_HOT!G47</f>
        <v>56.581314999999996</v>
      </c>
      <c r="H47">
        <f>VISUM_Freeway_OD!H47-Freeway_Truck!H47-Freeway_HOT!H47</f>
        <v>0</v>
      </c>
      <c r="I47">
        <f>VISUM_Freeway_OD!I47-Freeway_Truck!I47-Freeway_HOT!I47</f>
        <v>0</v>
      </c>
      <c r="J47">
        <f>VISUM_Freeway_OD!J47-Freeway_Truck!J47-Freeway_HOT!J47</f>
        <v>0</v>
      </c>
      <c r="K47">
        <f>VISUM_Freeway_OD!K47-Freeway_Truck!K47-Freeway_HOT!K47</f>
        <v>0</v>
      </c>
      <c r="L47">
        <f>VISUM_Freeway_OD!L47-Freeway_Truck!L47-Freeway_HOT!L47</f>
        <v>0</v>
      </c>
      <c r="M47">
        <f>VISUM_Freeway_OD!M47-Freeway_Truck!M47-Freeway_HOT!M47</f>
        <v>0</v>
      </c>
      <c r="N47">
        <f>VISUM_Freeway_OD!N47-Freeway_Truck!N47-Freeway_HOT!N47</f>
        <v>0</v>
      </c>
      <c r="O47">
        <f>VISUM_Freeway_OD!O47-Freeway_Truck!O47-Freeway_HOT!O47</f>
        <v>0</v>
      </c>
      <c r="P47">
        <f>VISUM_Freeway_OD!P47-Freeway_Truck!P47-Freeway_HOT!P47</f>
        <v>924.31752900000004</v>
      </c>
      <c r="Q47">
        <f>VISUM_Freeway_OD!Q47-Freeway_Truck!Q47-Freeway_HOT!Q47</f>
        <v>0</v>
      </c>
      <c r="R47">
        <f>VISUM_Freeway_OD!R47-Freeway_Truck!R47-Freeway_HOT!R47</f>
        <v>0</v>
      </c>
      <c r="S47">
        <f>VISUM_Freeway_OD!S47-Freeway_Truck!S47-Freeway_HOT!S47</f>
        <v>0</v>
      </c>
      <c r="T47">
        <f>VISUM_Freeway_OD!T47-Freeway_Truck!T47-Freeway_HOT!T47</f>
        <v>0</v>
      </c>
      <c r="U47">
        <f>VISUM_Freeway_OD!U47-Freeway_Truck!U47-Freeway_HOT!U47</f>
        <v>0</v>
      </c>
      <c r="V47">
        <f>VISUM_Freeway_OD!V47-Freeway_Truck!V47-Freeway_HOT!V47</f>
        <v>0</v>
      </c>
      <c r="W47">
        <f>VISUM_Freeway_OD!W47-Freeway_Truck!W47-Freeway_HOT!W47</f>
        <v>0</v>
      </c>
      <c r="X47">
        <f>VISUM_Freeway_OD!X47-Freeway_Truck!X47-Freeway_HOT!X47</f>
        <v>0</v>
      </c>
      <c r="Y47">
        <f>VISUM_Freeway_OD!Y47-Freeway_Truck!Y47-Freeway_HOT!Y47</f>
        <v>0</v>
      </c>
      <c r="Z47">
        <f>VISUM_Freeway_OD!Z47-Freeway_Truck!Z47-Freeway_HOT!Z47</f>
        <v>78.967481000000006</v>
      </c>
      <c r="AA47">
        <f>VISUM_Freeway_OD!AA47-Freeway_Truck!AA47-Freeway_HOT!AA47</f>
        <v>0</v>
      </c>
      <c r="AB47">
        <f>VISUM_Freeway_OD!AB47-Freeway_Truck!AB47-Freeway_HOT!AB47</f>
        <v>0</v>
      </c>
      <c r="AC47">
        <f>VISUM_Freeway_OD!AC47-Freeway_Truck!AC47-Freeway_HOT!AC47</f>
        <v>0</v>
      </c>
      <c r="AD47">
        <f>VISUM_Freeway_OD!AD47-Freeway_Truck!AD47-Freeway_HOT!AD47</f>
        <v>0</v>
      </c>
      <c r="AE47">
        <f>VISUM_Freeway_OD!AE47-Freeway_Truck!AE47-Freeway_HOT!AE47</f>
        <v>0</v>
      </c>
      <c r="AF47">
        <f>VISUM_Freeway_OD!AF47-Freeway_Truck!AF47-Freeway_HOT!AF47</f>
        <v>0</v>
      </c>
      <c r="AG47">
        <f>VISUM_Freeway_OD!AG47-Freeway_Truck!AG47-Freeway_HOT!AG47</f>
        <v>0</v>
      </c>
      <c r="AH47">
        <f>VISUM_Freeway_OD!AH47-Freeway_Truck!AH47-Freeway_HOT!AH47</f>
        <v>0</v>
      </c>
      <c r="AI47">
        <f>VISUM_Freeway_OD!AI47-Freeway_Truck!AI47-Freeway_HOT!AI47</f>
        <v>0</v>
      </c>
      <c r="AJ47">
        <f>VISUM_Freeway_OD!AJ47-Freeway_Truck!AJ47-Freeway_HOT!AJ47</f>
        <v>0</v>
      </c>
      <c r="AK47">
        <f>VISUM_Freeway_OD!AK47-Freeway_Truck!AK47-Freeway_HOT!AK47</f>
        <v>0</v>
      </c>
      <c r="AL47">
        <f>VISUM_Freeway_OD!AL47-Freeway_Truck!AL47-Freeway_HOT!AL47</f>
        <v>0</v>
      </c>
      <c r="AM47">
        <f>VISUM_Freeway_OD!AM47-Freeway_Truck!AM47-Freeway_HOT!AM47</f>
        <v>0</v>
      </c>
      <c r="AN47">
        <f>VISUM_Freeway_OD!AN47-Freeway_Truck!AN47-Freeway_HOT!AN47</f>
        <v>0</v>
      </c>
      <c r="AO47">
        <f>VISUM_Freeway_OD!AO47-Freeway_Truck!AO47-Freeway_HOT!AO47</f>
        <v>0</v>
      </c>
      <c r="AP47">
        <f>VISUM_Freeway_OD!AP47-Freeway_Truck!AP47-Freeway_HOT!AP47</f>
        <v>0</v>
      </c>
      <c r="AQ47">
        <f>VISUM_Freeway_OD!AQ47-Freeway_Truck!AQ47-Freeway_HOT!AQ47</f>
        <v>216.12649248999998</v>
      </c>
      <c r="AR47">
        <f>VISUM_Freeway_OD!AR47-Freeway_Truck!AR47-Freeway_HOT!AR47</f>
        <v>0</v>
      </c>
      <c r="AS47">
        <f>VISUM_Freeway_OD!AS47-Freeway_Truck!AS47-Freeway_HOT!AS47</f>
        <v>0</v>
      </c>
      <c r="AT47">
        <f>VISUM_Freeway_OD!AT47-Freeway_Truck!AT47-Freeway_HOT!AT47</f>
        <v>0</v>
      </c>
      <c r="AU47">
        <f>VISUM_Freeway_OD!AU47-Freeway_Truck!AU47-Freeway_HOT!AU47</f>
        <v>0</v>
      </c>
      <c r="AV47">
        <f>VISUM_Freeway_OD!AV47-Freeway_Truck!AV47-Freeway_HOT!AV47</f>
        <v>0</v>
      </c>
      <c r="AW47">
        <f>VISUM_Freeway_OD!AW47-Freeway_Truck!AW47-Freeway_HOT!AW47</f>
        <v>0</v>
      </c>
      <c r="AX47">
        <f>VISUM_Freeway_OD!AX47-Freeway_Truck!AX47-Freeway_HOT!AX47</f>
        <v>0</v>
      </c>
      <c r="AY47">
        <f>VISUM_Freeway_OD!AY47-Freeway_Truck!AY47-Freeway_HOT!AY47</f>
        <v>0</v>
      </c>
    </row>
    <row r="48" spans="1:51" x14ac:dyDescent="0.25">
      <c r="A48" s="4">
        <f>IF(VLOOKUP(B48,Freeway_Zone_Link_Mapping!$A:$C,2,FALSE)&lt;&gt;"",VLOOKUP(B48,Freeway_Zone_Link_Mapping!$A:$C,2,FALSE),"")</f>
        <v>447</v>
      </c>
      <c r="B48" s="20">
        <v>69</v>
      </c>
      <c r="C48">
        <f>VISUM_Freeway_OD!C48-Freeway_Truck!C48-Freeway_HOT!C48</f>
        <v>0</v>
      </c>
      <c r="D48">
        <f>VISUM_Freeway_OD!D48-Freeway_Truck!D48-Freeway_HOT!D48</f>
        <v>0</v>
      </c>
      <c r="E48">
        <f>VISUM_Freeway_OD!E48-Freeway_Truck!E48-Freeway_HOT!E48</f>
        <v>0</v>
      </c>
      <c r="F48">
        <f>VISUM_Freeway_OD!F48-Freeway_Truck!F48-Freeway_HOT!F48</f>
        <v>0</v>
      </c>
      <c r="G48">
        <f>VISUM_Freeway_OD!G48-Freeway_Truck!G48-Freeway_HOT!G48</f>
        <v>38.047161000000003</v>
      </c>
      <c r="H48">
        <f>VISUM_Freeway_OD!H48-Freeway_Truck!H48-Freeway_HOT!H48</f>
        <v>0</v>
      </c>
      <c r="I48">
        <f>VISUM_Freeway_OD!I48-Freeway_Truck!I48-Freeway_HOT!I48</f>
        <v>0</v>
      </c>
      <c r="J48">
        <f>VISUM_Freeway_OD!J48-Freeway_Truck!J48-Freeway_HOT!J48</f>
        <v>0</v>
      </c>
      <c r="K48">
        <f>VISUM_Freeway_OD!K48-Freeway_Truck!K48-Freeway_HOT!K48</f>
        <v>0</v>
      </c>
      <c r="L48">
        <f>VISUM_Freeway_OD!L48-Freeway_Truck!L48-Freeway_HOT!L48</f>
        <v>0</v>
      </c>
      <c r="M48">
        <f>VISUM_Freeway_OD!M48-Freeway_Truck!M48-Freeway_HOT!M48</f>
        <v>5.0519540000000002E-2</v>
      </c>
      <c r="N48">
        <f>VISUM_Freeway_OD!N48-Freeway_Truck!N48-Freeway_HOT!N48</f>
        <v>0.13470001999999998</v>
      </c>
      <c r="O48">
        <f>VISUM_Freeway_OD!O48-Freeway_Truck!O48-Freeway_HOT!O48</f>
        <v>0</v>
      </c>
      <c r="P48">
        <f>VISUM_Freeway_OD!P48-Freeway_Truck!P48-Freeway_HOT!P48</f>
        <v>0</v>
      </c>
      <c r="Q48">
        <f>VISUM_Freeway_OD!Q48-Freeway_Truck!Q48-Freeway_HOT!Q48</f>
        <v>0</v>
      </c>
      <c r="R48">
        <f>VISUM_Freeway_OD!R48-Freeway_Truck!R48-Freeway_HOT!R48</f>
        <v>0</v>
      </c>
      <c r="S48">
        <f>VISUM_Freeway_OD!S48-Freeway_Truck!S48-Freeway_HOT!S48</f>
        <v>0</v>
      </c>
      <c r="T48">
        <f>VISUM_Freeway_OD!T48-Freeway_Truck!T48-Freeway_HOT!T48</f>
        <v>0</v>
      </c>
      <c r="U48">
        <f>VISUM_Freeway_OD!U48-Freeway_Truck!U48-Freeway_HOT!U48</f>
        <v>0</v>
      </c>
      <c r="V48">
        <f>VISUM_Freeway_OD!V48-Freeway_Truck!V48-Freeway_HOT!V48</f>
        <v>0</v>
      </c>
      <c r="W48">
        <f>VISUM_Freeway_OD!W48-Freeway_Truck!W48-Freeway_HOT!W48</f>
        <v>0</v>
      </c>
      <c r="X48">
        <f>VISUM_Freeway_OD!X48-Freeway_Truck!X48-Freeway_HOT!X48</f>
        <v>0</v>
      </c>
      <c r="Y48">
        <f>VISUM_Freeway_OD!Y48-Freeway_Truck!Y48-Freeway_HOT!Y48</f>
        <v>0</v>
      </c>
      <c r="Z48">
        <f>VISUM_Freeway_OD!Z48-Freeway_Truck!Z48-Freeway_HOT!Z48</f>
        <v>0</v>
      </c>
      <c r="AA48">
        <f>VISUM_Freeway_OD!AA48-Freeway_Truck!AA48-Freeway_HOT!AA48</f>
        <v>0</v>
      </c>
      <c r="AB48">
        <f>VISUM_Freeway_OD!AB48-Freeway_Truck!AB48-Freeway_HOT!AB48</f>
        <v>0</v>
      </c>
      <c r="AC48">
        <f>VISUM_Freeway_OD!AC48-Freeway_Truck!AC48-Freeway_HOT!AC48</f>
        <v>0</v>
      </c>
      <c r="AD48">
        <f>VISUM_Freeway_OD!AD48-Freeway_Truck!AD48-Freeway_HOT!AD48</f>
        <v>0</v>
      </c>
      <c r="AE48">
        <f>VISUM_Freeway_OD!AE48-Freeway_Truck!AE48-Freeway_HOT!AE48</f>
        <v>0</v>
      </c>
      <c r="AF48">
        <f>VISUM_Freeway_OD!AF48-Freeway_Truck!AF48-Freeway_HOT!AF48</f>
        <v>0</v>
      </c>
      <c r="AG48">
        <f>VISUM_Freeway_OD!AG48-Freeway_Truck!AG48-Freeway_HOT!AG48</f>
        <v>0</v>
      </c>
      <c r="AH48">
        <f>VISUM_Freeway_OD!AH48-Freeway_Truck!AH48-Freeway_HOT!AH48</f>
        <v>0</v>
      </c>
      <c r="AI48">
        <f>VISUM_Freeway_OD!AI48-Freeway_Truck!AI48-Freeway_HOT!AI48</f>
        <v>0</v>
      </c>
      <c r="AJ48">
        <f>VISUM_Freeway_OD!AJ48-Freeway_Truck!AJ48-Freeway_HOT!AJ48</f>
        <v>0.1614177</v>
      </c>
      <c r="AK48">
        <f>VISUM_Freeway_OD!AK48-Freeway_Truck!AK48-Freeway_HOT!AK48</f>
        <v>0</v>
      </c>
      <c r="AL48">
        <f>VISUM_Freeway_OD!AL48-Freeway_Truck!AL48-Freeway_HOT!AL48</f>
        <v>0</v>
      </c>
      <c r="AM48">
        <f>VISUM_Freeway_OD!AM48-Freeway_Truck!AM48-Freeway_HOT!AM48</f>
        <v>0</v>
      </c>
      <c r="AN48">
        <f>VISUM_Freeway_OD!AN48-Freeway_Truck!AN48-Freeway_HOT!AN48</f>
        <v>0</v>
      </c>
      <c r="AO48">
        <f>VISUM_Freeway_OD!AO48-Freeway_Truck!AO48-Freeway_HOT!AO48</f>
        <v>0</v>
      </c>
      <c r="AP48">
        <f>VISUM_Freeway_OD!AP48-Freeway_Truck!AP48-Freeway_HOT!AP48</f>
        <v>0</v>
      </c>
      <c r="AQ48">
        <f>VISUM_Freeway_OD!AQ48-Freeway_Truck!AQ48-Freeway_HOT!AQ48</f>
        <v>145.33065157999999</v>
      </c>
      <c r="AR48">
        <f>VISUM_Freeway_OD!AR48-Freeway_Truck!AR48-Freeway_HOT!AR48</f>
        <v>0</v>
      </c>
      <c r="AS48">
        <f>VISUM_Freeway_OD!AS48-Freeway_Truck!AS48-Freeway_HOT!AS48</f>
        <v>5.6208619100000003</v>
      </c>
      <c r="AT48">
        <f>VISUM_Freeway_OD!AT48-Freeway_Truck!AT48-Freeway_HOT!AT48</f>
        <v>0</v>
      </c>
      <c r="AU48">
        <f>VISUM_Freeway_OD!AU48-Freeway_Truck!AU48-Freeway_HOT!AU48</f>
        <v>0</v>
      </c>
      <c r="AV48">
        <f>VISUM_Freeway_OD!AV48-Freeway_Truck!AV48-Freeway_HOT!AV48</f>
        <v>0</v>
      </c>
      <c r="AW48">
        <f>VISUM_Freeway_OD!AW48-Freeway_Truck!AW48-Freeway_HOT!AW48</f>
        <v>0</v>
      </c>
      <c r="AX48">
        <f>VISUM_Freeway_OD!AX48-Freeway_Truck!AX48-Freeway_HOT!AX48</f>
        <v>0</v>
      </c>
      <c r="AY48">
        <f>VISUM_Freeway_OD!AY48-Freeway_Truck!AY48-Freeway_HOT!AY48</f>
        <v>0</v>
      </c>
    </row>
    <row r="49" spans="1:51" x14ac:dyDescent="0.25">
      <c r="A49" s="4">
        <f>IF(VLOOKUP(B49,Freeway_Zone_Link_Mapping!$A:$C,2,FALSE)&lt;&gt;"",VLOOKUP(B49,Freeway_Zone_Link_Mapping!$A:$C,2,FALSE),"")</f>
        <v>523</v>
      </c>
      <c r="B49" s="20">
        <v>70</v>
      </c>
      <c r="C49">
        <f>VISUM_Freeway_OD!C49-Freeway_Truck!C49-Freeway_HOT!C49</f>
        <v>0</v>
      </c>
      <c r="D49">
        <f>VISUM_Freeway_OD!D49-Freeway_Truck!D49-Freeway_HOT!D49</f>
        <v>0</v>
      </c>
      <c r="E49">
        <f>VISUM_Freeway_OD!E49-Freeway_Truck!E49-Freeway_HOT!E49</f>
        <v>0</v>
      </c>
      <c r="F49">
        <f>VISUM_Freeway_OD!F49-Freeway_Truck!F49-Freeway_HOT!F49</f>
        <v>0</v>
      </c>
      <c r="G49">
        <f>VISUM_Freeway_OD!G49-Freeway_Truck!G49-Freeway_HOT!G49</f>
        <v>0</v>
      </c>
      <c r="H49">
        <f>VISUM_Freeway_OD!H49-Freeway_Truck!H49-Freeway_HOT!H49</f>
        <v>76.204776250000009</v>
      </c>
      <c r="I49">
        <f>VISUM_Freeway_OD!I49-Freeway_Truck!I49-Freeway_HOT!I49</f>
        <v>0</v>
      </c>
      <c r="J49">
        <f>VISUM_Freeway_OD!J49-Freeway_Truck!J49-Freeway_HOT!J49</f>
        <v>0</v>
      </c>
      <c r="K49">
        <f>VISUM_Freeway_OD!K49-Freeway_Truck!K49-Freeway_HOT!K49</f>
        <v>10.46540566</v>
      </c>
      <c r="L49">
        <f>VISUM_Freeway_OD!L49-Freeway_Truck!L49-Freeway_HOT!L49</f>
        <v>0</v>
      </c>
      <c r="M49">
        <f>VISUM_Freeway_OD!M49-Freeway_Truck!M49-Freeway_HOT!M49</f>
        <v>121.03884458</v>
      </c>
      <c r="N49">
        <f>VISUM_Freeway_OD!N49-Freeway_Truck!N49-Freeway_HOT!N49</f>
        <v>345.46689873999998</v>
      </c>
      <c r="O49">
        <f>VISUM_Freeway_OD!O49-Freeway_Truck!O49-Freeway_HOT!O49</f>
        <v>0</v>
      </c>
      <c r="P49">
        <f>VISUM_Freeway_OD!P49-Freeway_Truck!P49-Freeway_HOT!P49</f>
        <v>0</v>
      </c>
      <c r="Q49">
        <f>VISUM_Freeway_OD!Q49-Freeway_Truck!Q49-Freeway_HOT!Q49</f>
        <v>0</v>
      </c>
      <c r="R49">
        <f>VISUM_Freeway_OD!R49-Freeway_Truck!R49-Freeway_HOT!R49</f>
        <v>0</v>
      </c>
      <c r="S49">
        <f>VISUM_Freeway_OD!S49-Freeway_Truck!S49-Freeway_HOT!S49</f>
        <v>229.45229234999999</v>
      </c>
      <c r="T49">
        <f>VISUM_Freeway_OD!T49-Freeway_Truck!T49-Freeway_HOT!T49</f>
        <v>3.2210906399999999</v>
      </c>
      <c r="U49">
        <f>VISUM_Freeway_OD!U49-Freeway_Truck!U49-Freeway_HOT!U49</f>
        <v>0</v>
      </c>
      <c r="V49">
        <f>VISUM_Freeway_OD!V49-Freeway_Truck!V49-Freeway_HOT!V49</f>
        <v>0</v>
      </c>
      <c r="W49">
        <f>VISUM_Freeway_OD!W49-Freeway_Truck!W49-Freeway_HOT!W49</f>
        <v>0</v>
      </c>
      <c r="X49">
        <f>VISUM_Freeway_OD!X49-Freeway_Truck!X49-Freeway_HOT!X49</f>
        <v>0</v>
      </c>
      <c r="Y49">
        <f>VISUM_Freeway_OD!Y49-Freeway_Truck!Y49-Freeway_HOT!Y49</f>
        <v>0</v>
      </c>
      <c r="Z49">
        <f>VISUM_Freeway_OD!Z49-Freeway_Truck!Z49-Freeway_HOT!Z49</f>
        <v>0</v>
      </c>
      <c r="AA49">
        <f>VISUM_Freeway_OD!AA49-Freeway_Truck!AA49-Freeway_HOT!AA49</f>
        <v>0</v>
      </c>
      <c r="AB49">
        <f>VISUM_Freeway_OD!AB49-Freeway_Truck!AB49-Freeway_HOT!AB49</f>
        <v>1.98407874</v>
      </c>
      <c r="AC49">
        <f>VISUM_Freeway_OD!AC49-Freeway_Truck!AC49-Freeway_HOT!AC49</f>
        <v>0</v>
      </c>
      <c r="AD49">
        <f>VISUM_Freeway_OD!AD49-Freeway_Truck!AD49-Freeway_HOT!AD49</f>
        <v>0</v>
      </c>
      <c r="AE49">
        <f>VISUM_Freeway_OD!AE49-Freeway_Truck!AE49-Freeway_HOT!AE49</f>
        <v>2.42730084</v>
      </c>
      <c r="AF49">
        <f>VISUM_Freeway_OD!AF49-Freeway_Truck!AF49-Freeway_HOT!AF49</f>
        <v>0</v>
      </c>
      <c r="AG49">
        <f>VISUM_Freeway_OD!AG49-Freeway_Truck!AG49-Freeway_HOT!AG49</f>
        <v>0</v>
      </c>
      <c r="AH49">
        <f>VISUM_Freeway_OD!AH49-Freeway_Truck!AH49-Freeway_HOT!AH49</f>
        <v>0</v>
      </c>
      <c r="AI49">
        <f>VISUM_Freeway_OD!AI49-Freeway_Truck!AI49-Freeway_HOT!AI49</f>
        <v>0</v>
      </c>
      <c r="AJ49">
        <f>VISUM_Freeway_OD!AJ49-Freeway_Truck!AJ49-Freeway_HOT!AJ49</f>
        <v>0</v>
      </c>
      <c r="AK49">
        <f>VISUM_Freeway_OD!AK49-Freeway_Truck!AK49-Freeway_HOT!AK49</f>
        <v>169.49365422</v>
      </c>
      <c r="AL49">
        <f>VISUM_Freeway_OD!AL49-Freeway_Truck!AL49-Freeway_HOT!AL49</f>
        <v>0</v>
      </c>
      <c r="AM49">
        <f>VISUM_Freeway_OD!AM49-Freeway_Truck!AM49-Freeway_HOT!AM49</f>
        <v>0</v>
      </c>
      <c r="AN49">
        <f>VISUM_Freeway_OD!AN49-Freeway_Truck!AN49-Freeway_HOT!AN49</f>
        <v>0</v>
      </c>
      <c r="AO49">
        <f>VISUM_Freeway_OD!AO49-Freeway_Truck!AO49-Freeway_HOT!AO49</f>
        <v>0</v>
      </c>
      <c r="AP49">
        <f>VISUM_Freeway_OD!AP49-Freeway_Truck!AP49-Freeway_HOT!AP49</f>
        <v>0</v>
      </c>
      <c r="AQ49">
        <f>VISUM_Freeway_OD!AQ49-Freeway_Truck!AQ49-Freeway_HOT!AQ49</f>
        <v>0</v>
      </c>
      <c r="AR49">
        <f>VISUM_Freeway_OD!AR49-Freeway_Truck!AR49-Freeway_HOT!AR49</f>
        <v>0</v>
      </c>
      <c r="AS49">
        <f>VISUM_Freeway_OD!AS49-Freeway_Truck!AS49-Freeway_HOT!AS49</f>
        <v>0</v>
      </c>
      <c r="AT49">
        <f>VISUM_Freeway_OD!AT49-Freeway_Truck!AT49-Freeway_HOT!AT49</f>
        <v>0</v>
      </c>
      <c r="AU49">
        <f>VISUM_Freeway_OD!AU49-Freeway_Truck!AU49-Freeway_HOT!AU49</f>
        <v>0</v>
      </c>
      <c r="AV49">
        <f>VISUM_Freeway_OD!AV49-Freeway_Truck!AV49-Freeway_HOT!AV49</f>
        <v>0</v>
      </c>
      <c r="AW49">
        <f>VISUM_Freeway_OD!AW49-Freeway_Truck!AW49-Freeway_HOT!AW49</f>
        <v>0</v>
      </c>
      <c r="AX49">
        <f>VISUM_Freeway_OD!AX49-Freeway_Truck!AX49-Freeway_HOT!AX49</f>
        <v>0</v>
      </c>
      <c r="AY49">
        <f>VISUM_Freeway_OD!AY49-Freeway_Truck!AY49-Freeway_HOT!AY49</f>
        <v>0</v>
      </c>
    </row>
    <row r="50" spans="1:51" x14ac:dyDescent="0.25">
      <c r="A50" s="4">
        <f>IF(VLOOKUP(B50,Freeway_Zone_Link_Mapping!$A:$C,2,FALSE)&lt;&gt;"",VLOOKUP(B50,Freeway_Zone_Link_Mapping!$A:$C,2,FALSE),"")</f>
        <v>522</v>
      </c>
      <c r="B50" s="20">
        <v>71</v>
      </c>
      <c r="C50">
        <f>VISUM_Freeway_OD!C50-Freeway_Truck!C50-Freeway_HOT!C50</f>
        <v>0</v>
      </c>
      <c r="D50">
        <f>VISUM_Freeway_OD!D50-Freeway_Truck!D50-Freeway_HOT!D50</f>
        <v>0</v>
      </c>
      <c r="E50">
        <f>VISUM_Freeway_OD!E50-Freeway_Truck!E50-Freeway_HOT!E50</f>
        <v>0</v>
      </c>
      <c r="F50">
        <f>VISUM_Freeway_OD!F50-Freeway_Truck!F50-Freeway_HOT!F50</f>
        <v>0</v>
      </c>
      <c r="G50">
        <f>VISUM_Freeway_OD!G50-Freeway_Truck!G50-Freeway_HOT!G50</f>
        <v>0</v>
      </c>
      <c r="H50">
        <f>VISUM_Freeway_OD!H50-Freeway_Truck!H50-Freeway_HOT!H50</f>
        <v>0</v>
      </c>
      <c r="I50">
        <f>VISUM_Freeway_OD!I50-Freeway_Truck!I50-Freeway_HOT!I50</f>
        <v>0</v>
      </c>
      <c r="J50">
        <f>VISUM_Freeway_OD!J50-Freeway_Truck!J50-Freeway_HOT!J50</f>
        <v>0</v>
      </c>
      <c r="K50">
        <f>VISUM_Freeway_OD!K50-Freeway_Truck!K50-Freeway_HOT!K50</f>
        <v>0</v>
      </c>
      <c r="L50">
        <f>VISUM_Freeway_OD!L50-Freeway_Truck!L50-Freeway_HOT!L50</f>
        <v>0</v>
      </c>
      <c r="M50">
        <f>VISUM_Freeway_OD!M50-Freeway_Truck!M50-Freeway_HOT!M50</f>
        <v>0</v>
      </c>
      <c r="N50">
        <f>VISUM_Freeway_OD!N50-Freeway_Truck!N50-Freeway_HOT!N50</f>
        <v>0</v>
      </c>
      <c r="O50">
        <f>VISUM_Freeway_OD!O50-Freeway_Truck!O50-Freeway_HOT!O50</f>
        <v>0</v>
      </c>
      <c r="P50">
        <f>VISUM_Freeway_OD!P50-Freeway_Truck!P50-Freeway_HOT!P50</f>
        <v>0</v>
      </c>
      <c r="Q50">
        <f>VISUM_Freeway_OD!Q50-Freeway_Truck!Q50-Freeway_HOT!Q50</f>
        <v>0</v>
      </c>
      <c r="R50">
        <f>VISUM_Freeway_OD!R50-Freeway_Truck!R50-Freeway_HOT!R50</f>
        <v>0</v>
      </c>
      <c r="S50">
        <f>VISUM_Freeway_OD!S50-Freeway_Truck!S50-Freeway_HOT!S50</f>
        <v>0</v>
      </c>
      <c r="T50">
        <f>VISUM_Freeway_OD!T50-Freeway_Truck!T50-Freeway_HOT!T50</f>
        <v>0</v>
      </c>
      <c r="U50">
        <f>VISUM_Freeway_OD!U50-Freeway_Truck!U50-Freeway_HOT!U50</f>
        <v>0</v>
      </c>
      <c r="V50">
        <f>VISUM_Freeway_OD!V50-Freeway_Truck!V50-Freeway_HOT!V50</f>
        <v>0</v>
      </c>
      <c r="W50">
        <f>VISUM_Freeway_OD!W50-Freeway_Truck!W50-Freeway_HOT!W50</f>
        <v>0</v>
      </c>
      <c r="X50">
        <f>VISUM_Freeway_OD!X50-Freeway_Truck!X50-Freeway_HOT!X50</f>
        <v>0</v>
      </c>
      <c r="Y50">
        <f>VISUM_Freeway_OD!Y50-Freeway_Truck!Y50-Freeway_HOT!Y50</f>
        <v>0</v>
      </c>
      <c r="Z50">
        <f>VISUM_Freeway_OD!Z50-Freeway_Truck!Z50-Freeway_HOT!Z50</f>
        <v>0</v>
      </c>
      <c r="AA50">
        <f>VISUM_Freeway_OD!AA50-Freeway_Truck!AA50-Freeway_HOT!AA50</f>
        <v>0</v>
      </c>
      <c r="AB50">
        <f>VISUM_Freeway_OD!AB50-Freeway_Truck!AB50-Freeway_HOT!AB50</f>
        <v>0</v>
      </c>
      <c r="AC50">
        <f>VISUM_Freeway_OD!AC50-Freeway_Truck!AC50-Freeway_HOT!AC50</f>
        <v>0</v>
      </c>
      <c r="AD50">
        <f>VISUM_Freeway_OD!AD50-Freeway_Truck!AD50-Freeway_HOT!AD50</f>
        <v>0</v>
      </c>
      <c r="AE50">
        <f>VISUM_Freeway_OD!AE50-Freeway_Truck!AE50-Freeway_HOT!AE50</f>
        <v>0</v>
      </c>
      <c r="AF50">
        <f>VISUM_Freeway_OD!AF50-Freeway_Truck!AF50-Freeway_HOT!AF50</f>
        <v>0</v>
      </c>
      <c r="AG50">
        <f>VISUM_Freeway_OD!AG50-Freeway_Truck!AG50-Freeway_HOT!AG50</f>
        <v>0</v>
      </c>
      <c r="AH50">
        <f>VISUM_Freeway_OD!AH50-Freeway_Truck!AH50-Freeway_HOT!AH50</f>
        <v>0</v>
      </c>
      <c r="AI50">
        <f>VISUM_Freeway_OD!AI50-Freeway_Truck!AI50-Freeway_HOT!AI50</f>
        <v>0</v>
      </c>
      <c r="AJ50">
        <f>VISUM_Freeway_OD!AJ50-Freeway_Truck!AJ50-Freeway_HOT!AJ50</f>
        <v>0</v>
      </c>
      <c r="AK50">
        <f>VISUM_Freeway_OD!AK50-Freeway_Truck!AK50-Freeway_HOT!AK50</f>
        <v>0</v>
      </c>
      <c r="AL50">
        <f>VISUM_Freeway_OD!AL50-Freeway_Truck!AL50-Freeway_HOT!AL50</f>
        <v>0</v>
      </c>
      <c r="AM50">
        <f>VISUM_Freeway_OD!AM50-Freeway_Truck!AM50-Freeway_HOT!AM50</f>
        <v>0</v>
      </c>
      <c r="AN50">
        <f>VISUM_Freeway_OD!AN50-Freeway_Truck!AN50-Freeway_HOT!AN50</f>
        <v>0</v>
      </c>
      <c r="AO50">
        <f>VISUM_Freeway_OD!AO50-Freeway_Truck!AO50-Freeway_HOT!AO50</f>
        <v>0</v>
      </c>
      <c r="AP50">
        <f>VISUM_Freeway_OD!AP50-Freeway_Truck!AP50-Freeway_HOT!AP50</f>
        <v>0</v>
      </c>
      <c r="AQ50">
        <f>VISUM_Freeway_OD!AQ50-Freeway_Truck!AQ50-Freeway_HOT!AQ50</f>
        <v>1134.90720128</v>
      </c>
      <c r="AR50">
        <f>VISUM_Freeway_OD!AR50-Freeway_Truck!AR50-Freeway_HOT!AR50</f>
        <v>0</v>
      </c>
      <c r="AS50">
        <f>VISUM_Freeway_OD!AS50-Freeway_Truck!AS50-Freeway_HOT!AS50</f>
        <v>0</v>
      </c>
      <c r="AT50">
        <f>VISUM_Freeway_OD!AT50-Freeway_Truck!AT50-Freeway_HOT!AT50</f>
        <v>0</v>
      </c>
      <c r="AU50">
        <f>VISUM_Freeway_OD!AU50-Freeway_Truck!AU50-Freeway_HOT!AU50</f>
        <v>0</v>
      </c>
      <c r="AV50">
        <f>VISUM_Freeway_OD!AV50-Freeway_Truck!AV50-Freeway_HOT!AV50</f>
        <v>0</v>
      </c>
      <c r="AW50">
        <f>VISUM_Freeway_OD!AW50-Freeway_Truck!AW50-Freeway_HOT!AW50</f>
        <v>0</v>
      </c>
      <c r="AX50">
        <f>VISUM_Freeway_OD!AX50-Freeway_Truck!AX50-Freeway_HOT!AX50</f>
        <v>0</v>
      </c>
      <c r="AY50">
        <f>VISUM_Freeway_OD!AY50-Freeway_Truck!AY50-Freeway_HOT!AY50</f>
        <v>0</v>
      </c>
    </row>
    <row r="51" spans="1:51" x14ac:dyDescent="0.25">
      <c r="A51" s="4" t="str">
        <f>IF(VLOOKUP(B51,Freeway_Zone_Link_Mapping!$A:$C,2,FALSE)&lt;&gt;"",VLOOKUP(B51,Freeway_Zone_Link_Mapping!$A:$C,2,FALSE),"")</f>
        <v/>
      </c>
      <c r="B51" s="20">
        <v>72</v>
      </c>
      <c r="D51">
        <f>VISUM_Freeway_OD!D51-Freeway_Truck!D51-Freeway_HOT!D51</f>
        <v>0</v>
      </c>
      <c r="E51">
        <f>VISUM_Freeway_OD!E51-Freeway_Truck!E51-Freeway_HOT!E51</f>
        <v>0</v>
      </c>
      <c r="F51">
        <f>VISUM_Freeway_OD!F51-Freeway_Truck!F51-Freeway_HOT!F51</f>
        <v>0</v>
      </c>
      <c r="G51">
        <f>VISUM_Freeway_OD!G51-Freeway_Truck!G51-Freeway_HOT!G51</f>
        <v>0</v>
      </c>
      <c r="H51">
        <f>VISUM_Freeway_OD!H51-Freeway_Truck!H51-Freeway_HOT!H51</f>
        <v>0</v>
      </c>
      <c r="I51">
        <f>VISUM_Freeway_OD!I51-Freeway_Truck!I51-Freeway_HOT!I51</f>
        <v>0</v>
      </c>
      <c r="J51">
        <f>VISUM_Freeway_OD!J51-Freeway_Truck!J51-Freeway_HOT!J51</f>
        <v>0</v>
      </c>
      <c r="K51">
        <f>VISUM_Freeway_OD!K51-Freeway_Truck!K51-Freeway_HOT!K51</f>
        <v>0</v>
      </c>
      <c r="L51">
        <f>VISUM_Freeway_OD!L51-Freeway_Truck!L51-Freeway_HOT!L51</f>
        <v>0</v>
      </c>
      <c r="M51">
        <f>VISUM_Freeway_OD!M51-Freeway_Truck!M51-Freeway_HOT!M51</f>
        <v>0</v>
      </c>
      <c r="N51">
        <f>VISUM_Freeway_OD!N51-Freeway_Truck!N51-Freeway_HOT!N51</f>
        <v>0</v>
      </c>
      <c r="O51">
        <f>VISUM_Freeway_OD!O51-Freeway_Truck!O51-Freeway_HOT!O51</f>
        <v>0</v>
      </c>
      <c r="P51">
        <f>VISUM_Freeway_OD!P51-Freeway_Truck!P51-Freeway_HOT!P51</f>
        <v>0</v>
      </c>
      <c r="Q51">
        <f>VISUM_Freeway_OD!Q51-Freeway_Truck!Q51-Freeway_HOT!Q51</f>
        <v>0</v>
      </c>
      <c r="R51">
        <f>VISUM_Freeway_OD!R51-Freeway_Truck!R51-Freeway_HOT!R51</f>
        <v>0</v>
      </c>
      <c r="S51">
        <f>VISUM_Freeway_OD!S51-Freeway_Truck!S51-Freeway_HOT!S51</f>
        <v>0</v>
      </c>
      <c r="T51">
        <f>VISUM_Freeway_OD!T51-Freeway_Truck!T51-Freeway_HOT!T51</f>
        <v>0</v>
      </c>
      <c r="U51">
        <f>VISUM_Freeway_OD!U51-Freeway_Truck!U51-Freeway_HOT!U51</f>
        <v>0</v>
      </c>
      <c r="V51">
        <f>VISUM_Freeway_OD!V51-Freeway_Truck!V51-Freeway_HOT!V51</f>
        <v>0</v>
      </c>
      <c r="W51">
        <f>VISUM_Freeway_OD!W51-Freeway_Truck!W51-Freeway_HOT!W51</f>
        <v>0</v>
      </c>
      <c r="X51">
        <f>VISUM_Freeway_OD!X51-Freeway_Truck!X51-Freeway_HOT!X51</f>
        <v>0</v>
      </c>
      <c r="Y51">
        <f>VISUM_Freeway_OD!Y51-Freeway_Truck!Y51-Freeway_HOT!Y51</f>
        <v>0</v>
      </c>
      <c r="Z51">
        <f>VISUM_Freeway_OD!Z51-Freeway_Truck!Z51-Freeway_HOT!Z51</f>
        <v>0</v>
      </c>
      <c r="AA51">
        <f>VISUM_Freeway_OD!AA51-Freeway_Truck!AA51-Freeway_HOT!AA51</f>
        <v>0</v>
      </c>
      <c r="AB51">
        <f>VISUM_Freeway_OD!AB51-Freeway_Truck!AB51-Freeway_HOT!AB51</f>
        <v>0</v>
      </c>
      <c r="AC51">
        <f>VISUM_Freeway_OD!AC51-Freeway_Truck!AC51-Freeway_HOT!AC51</f>
        <v>0</v>
      </c>
      <c r="AD51">
        <f>VISUM_Freeway_OD!AD51-Freeway_Truck!AD51-Freeway_HOT!AD51</f>
        <v>0</v>
      </c>
      <c r="AE51">
        <f>VISUM_Freeway_OD!AE51-Freeway_Truck!AE51-Freeway_HOT!AE51</f>
        <v>0</v>
      </c>
      <c r="AF51">
        <f>VISUM_Freeway_OD!AF51-Freeway_Truck!AF51-Freeway_HOT!AF51</f>
        <v>0</v>
      </c>
      <c r="AG51">
        <f>VISUM_Freeway_OD!AG51-Freeway_Truck!AG51-Freeway_HOT!AG51</f>
        <v>0</v>
      </c>
      <c r="AH51">
        <f>VISUM_Freeway_OD!AH51-Freeway_Truck!AH51-Freeway_HOT!AH51</f>
        <v>0</v>
      </c>
      <c r="AI51">
        <f>VISUM_Freeway_OD!AI51-Freeway_Truck!AI51-Freeway_HOT!AI51</f>
        <v>0</v>
      </c>
      <c r="AJ51">
        <f>VISUM_Freeway_OD!AJ51-Freeway_Truck!AJ51-Freeway_HOT!AJ51</f>
        <v>0</v>
      </c>
      <c r="AK51">
        <f>VISUM_Freeway_OD!AK51-Freeway_Truck!AK51-Freeway_HOT!AK51</f>
        <v>0</v>
      </c>
      <c r="AL51">
        <f>VISUM_Freeway_OD!AL51-Freeway_Truck!AL51-Freeway_HOT!AL51</f>
        <v>0</v>
      </c>
      <c r="AM51">
        <f>VISUM_Freeway_OD!AM51-Freeway_Truck!AM51-Freeway_HOT!AM51</f>
        <v>0</v>
      </c>
      <c r="AN51">
        <f>VISUM_Freeway_OD!AN51-Freeway_Truck!AN51-Freeway_HOT!AN51</f>
        <v>0</v>
      </c>
      <c r="AO51">
        <f>VISUM_Freeway_OD!AO51-Freeway_Truck!AO51-Freeway_HOT!AO51</f>
        <v>0</v>
      </c>
      <c r="AP51">
        <f>VISUM_Freeway_OD!AP51-Freeway_Truck!AP51-Freeway_HOT!AP51</f>
        <v>0</v>
      </c>
      <c r="AQ51">
        <f>VISUM_Freeway_OD!AQ51-Freeway_Truck!AQ51-Freeway_HOT!AQ51</f>
        <v>0</v>
      </c>
      <c r="AR51">
        <f>VISUM_Freeway_OD!AR51-Freeway_Truck!AR51-Freeway_HOT!AR51</f>
        <v>0</v>
      </c>
      <c r="AS51">
        <f>VISUM_Freeway_OD!AS51-Freeway_Truck!AS51-Freeway_HOT!AS51</f>
        <v>0</v>
      </c>
      <c r="AT51">
        <f>VISUM_Freeway_OD!AT51-Freeway_Truck!AT51-Freeway_HOT!AT51</f>
        <v>0</v>
      </c>
      <c r="AU51">
        <f>VISUM_Freeway_OD!AU51-Freeway_Truck!AU51-Freeway_HOT!AU51</f>
        <v>0</v>
      </c>
      <c r="AV51">
        <f>VISUM_Freeway_OD!AV51-Freeway_Truck!AV51-Freeway_HOT!AV51</f>
        <v>0</v>
      </c>
      <c r="AW51">
        <f>VISUM_Freeway_OD!AW51-Freeway_Truck!AW51-Freeway_HOT!AW51</f>
        <v>0</v>
      </c>
      <c r="AX51">
        <f>VISUM_Freeway_OD!AX51-Freeway_Truck!AX51-Freeway_HOT!AX51</f>
        <v>0</v>
      </c>
      <c r="AY51">
        <f>VISUM_Freeway_OD!AY51-Freeway_Truck!AY51-Freeway_HOT!AY51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92D050"/>
  </sheetPr>
  <dimension ref="A1:BQ69"/>
  <sheetViews>
    <sheetView workbookViewId="0">
      <selection activeCell="H15" sqref="H15"/>
    </sheetView>
  </sheetViews>
  <sheetFormatPr defaultRowHeight="15" x14ac:dyDescent="0.25"/>
  <sheetData>
    <row r="1" spans="1:6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 x14ac:dyDescent="0.25">
      <c r="A2" s="1"/>
      <c r="B2" s="1"/>
      <c r="C2" s="1">
        <v>2</v>
      </c>
      <c r="D2" s="1">
        <v>8</v>
      </c>
      <c r="E2" s="1">
        <v>10</v>
      </c>
      <c r="F2" s="1">
        <v>11</v>
      </c>
      <c r="G2" s="1">
        <v>16</v>
      </c>
      <c r="H2" s="1">
        <v>17</v>
      </c>
      <c r="I2" s="1">
        <v>18</v>
      </c>
      <c r="J2" s="1">
        <v>20</v>
      </c>
      <c r="K2" s="1">
        <v>21</v>
      </c>
      <c r="L2" s="1">
        <v>22</v>
      </c>
      <c r="M2" s="1">
        <v>23</v>
      </c>
      <c r="N2" s="1">
        <v>25</v>
      </c>
      <c r="O2" s="1">
        <v>26</v>
      </c>
      <c r="P2" s="1">
        <v>27</v>
      </c>
      <c r="Q2" s="1">
        <v>34</v>
      </c>
      <c r="R2" s="1">
        <v>38</v>
      </c>
      <c r="S2" s="1">
        <v>39</v>
      </c>
      <c r="T2" s="1">
        <v>40</v>
      </c>
      <c r="U2" s="1">
        <v>41</v>
      </c>
      <c r="V2" s="1">
        <v>42</v>
      </c>
      <c r="W2" s="1">
        <v>43</v>
      </c>
      <c r="X2" s="1">
        <v>44</v>
      </c>
      <c r="Y2" s="1">
        <v>46</v>
      </c>
      <c r="Z2" s="1">
        <v>47</v>
      </c>
      <c r="AA2" s="1">
        <v>49</v>
      </c>
      <c r="AB2" s="1">
        <v>50</v>
      </c>
      <c r="AC2" s="1">
        <v>51</v>
      </c>
      <c r="AD2" s="1">
        <v>52</v>
      </c>
      <c r="AE2" s="1">
        <v>53</v>
      </c>
      <c r="AF2" s="1">
        <v>54</v>
      </c>
      <c r="AG2" s="1">
        <v>55</v>
      </c>
      <c r="AH2" s="1">
        <v>56</v>
      </c>
      <c r="AI2" s="1">
        <v>57</v>
      </c>
      <c r="AJ2" s="1">
        <v>58</v>
      </c>
      <c r="AK2" s="1">
        <v>59</v>
      </c>
      <c r="AL2" s="1">
        <v>60</v>
      </c>
      <c r="AM2" s="1">
        <v>61</v>
      </c>
      <c r="AN2" s="1">
        <v>62</v>
      </c>
      <c r="AO2" s="1">
        <v>63</v>
      </c>
      <c r="AP2" s="1">
        <v>64</v>
      </c>
      <c r="AQ2" s="1">
        <v>65</v>
      </c>
      <c r="AR2" s="1">
        <v>66</v>
      </c>
      <c r="AS2" s="1">
        <v>67</v>
      </c>
      <c r="AT2" s="1">
        <v>68</v>
      </c>
      <c r="AU2" s="1">
        <v>69</v>
      </c>
      <c r="AV2" s="1">
        <v>70</v>
      </c>
      <c r="AW2" s="1">
        <v>71</v>
      </c>
      <c r="AX2" s="1">
        <v>72</v>
      </c>
      <c r="AY2" s="1">
        <v>73</v>
      </c>
      <c r="AZ2" s="1">
        <v>74</v>
      </c>
      <c r="BA2" s="1">
        <v>75</v>
      </c>
      <c r="BB2" s="1">
        <v>76</v>
      </c>
      <c r="BC2" s="1">
        <v>77</v>
      </c>
      <c r="BD2" s="1">
        <v>78</v>
      </c>
      <c r="BE2" s="1">
        <v>79</v>
      </c>
      <c r="BF2" s="1">
        <v>80</v>
      </c>
      <c r="BG2" s="1">
        <v>81</v>
      </c>
      <c r="BH2" s="1">
        <v>82</v>
      </c>
      <c r="BI2" s="1">
        <v>83</v>
      </c>
      <c r="BJ2" s="1">
        <v>84</v>
      </c>
      <c r="BK2" s="1">
        <v>85</v>
      </c>
      <c r="BL2" s="1">
        <v>86</v>
      </c>
      <c r="BM2" s="1">
        <v>87</v>
      </c>
      <c r="BN2" s="1">
        <v>88</v>
      </c>
      <c r="BO2" s="1">
        <v>89</v>
      </c>
      <c r="BP2" s="1">
        <v>90</v>
      </c>
      <c r="BQ2" s="1">
        <v>91</v>
      </c>
    </row>
    <row r="3" spans="1:69" x14ac:dyDescent="0.25">
      <c r="A3" s="1"/>
      <c r="B3" s="1">
        <v>2</v>
      </c>
      <c r="C3">
        <v>0</v>
      </c>
      <c r="D3">
        <v>8.8429169999999999</v>
      </c>
      <c r="E3">
        <v>0</v>
      </c>
      <c r="F3">
        <v>0</v>
      </c>
      <c r="G3">
        <v>0</v>
      </c>
      <c r="H3">
        <v>0</v>
      </c>
      <c r="I3">
        <v>0</v>
      </c>
      <c r="J3">
        <v>47.375971999999997</v>
      </c>
      <c r="K3">
        <v>7.310848</v>
      </c>
      <c r="L3">
        <v>39.030555999999997</v>
      </c>
      <c r="M3">
        <v>0</v>
      </c>
      <c r="N3">
        <v>0</v>
      </c>
      <c r="O3">
        <v>96.631793000000002</v>
      </c>
      <c r="P3">
        <v>9.0277740000000009</v>
      </c>
      <c r="Q3">
        <v>0</v>
      </c>
      <c r="R3">
        <v>0</v>
      </c>
      <c r="S3">
        <v>18.581042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9.3686249999999998</v>
      </c>
      <c r="AA3">
        <v>0</v>
      </c>
      <c r="AB3">
        <v>54.743659000000001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62.289273000000001</v>
      </c>
      <c r="AM3">
        <v>0</v>
      </c>
      <c r="AN3">
        <v>125.848321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26.048331999999998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139.991737</v>
      </c>
      <c r="BP3">
        <v>0</v>
      </c>
      <c r="BQ3">
        <v>0</v>
      </c>
    </row>
    <row r="4" spans="1:69" x14ac:dyDescent="0.25">
      <c r="A4" s="1"/>
      <c r="B4" s="1">
        <v>8</v>
      </c>
      <c r="C4">
        <v>19.960595999999999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7.9958349999999996</v>
      </c>
      <c r="L4">
        <v>32.230086999999997</v>
      </c>
      <c r="M4">
        <v>0</v>
      </c>
      <c r="N4">
        <v>0</v>
      </c>
      <c r="O4">
        <v>114.99899600000001</v>
      </c>
      <c r="P4">
        <v>8.2610720000000004</v>
      </c>
      <c r="Q4">
        <v>0</v>
      </c>
      <c r="R4">
        <v>0</v>
      </c>
      <c r="S4">
        <v>14.2499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28.435714999999998</v>
      </c>
      <c r="AA4">
        <v>0</v>
      </c>
      <c r="AB4">
        <v>73.554615999999996</v>
      </c>
      <c r="AC4">
        <v>5.3432950000000003</v>
      </c>
      <c r="AD4">
        <v>0</v>
      </c>
      <c r="AE4">
        <v>0</v>
      </c>
      <c r="AF4">
        <v>43.803271000000002</v>
      </c>
      <c r="AG4">
        <v>0</v>
      </c>
      <c r="AH4">
        <v>0</v>
      </c>
      <c r="AI4">
        <v>0</v>
      </c>
      <c r="AJ4">
        <v>66.503122000000005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26.712900000000001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12.798888</v>
      </c>
      <c r="BP4">
        <v>10.150027</v>
      </c>
      <c r="BQ4">
        <v>0</v>
      </c>
    </row>
    <row r="5" spans="1:69" x14ac:dyDescent="0.25">
      <c r="A5" s="1"/>
      <c r="B5" s="1">
        <v>10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20.002269999999999</v>
      </c>
      <c r="N5">
        <v>15.923204999999999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19.999825000000001</v>
      </c>
      <c r="Z5">
        <v>0</v>
      </c>
      <c r="AA5">
        <v>0</v>
      </c>
      <c r="AB5">
        <v>0</v>
      </c>
      <c r="AC5">
        <v>0</v>
      </c>
      <c r="AD5">
        <v>0.14821300000000001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29.008127000000002</v>
      </c>
      <c r="BH5">
        <v>19.90889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</row>
    <row r="6" spans="1:69" x14ac:dyDescent="0.25">
      <c r="A6" s="1"/>
      <c r="B6" s="1">
        <v>11</v>
      </c>
      <c r="C6">
        <v>0</v>
      </c>
      <c r="D6">
        <v>0</v>
      </c>
      <c r="E6">
        <v>9.3636979999999994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24.999782</v>
      </c>
      <c r="N6">
        <v>5.3385670000000003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2.2707799999999998</v>
      </c>
      <c r="Z6">
        <v>0</v>
      </c>
      <c r="AA6">
        <v>0</v>
      </c>
      <c r="AB6">
        <v>0</v>
      </c>
      <c r="AC6">
        <v>0</v>
      </c>
      <c r="AD6">
        <v>0</v>
      </c>
      <c r="AE6">
        <v>0.46062799999999998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30.972791000000001</v>
      </c>
      <c r="BH6">
        <v>41.532376999999997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</row>
    <row r="7" spans="1:69" x14ac:dyDescent="0.25">
      <c r="A7" s="1"/>
      <c r="B7" s="1">
        <v>16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16.523209999999999</v>
      </c>
      <c r="R7">
        <v>0</v>
      </c>
      <c r="S7">
        <v>0</v>
      </c>
      <c r="T7">
        <v>0</v>
      </c>
      <c r="U7">
        <v>64.999432999999996</v>
      </c>
      <c r="V7">
        <v>91.591050999999993</v>
      </c>
      <c r="W7">
        <v>53.633417999999999</v>
      </c>
      <c r="X7">
        <v>96.935955000000007</v>
      </c>
      <c r="Y7">
        <v>0</v>
      </c>
      <c r="Z7">
        <v>0</v>
      </c>
      <c r="AA7">
        <v>194.99829800000001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46.290807000000001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</row>
    <row r="8" spans="1:69" x14ac:dyDescent="0.25">
      <c r="A8" s="1"/>
      <c r="B8" s="1">
        <v>17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324.997164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74.844830999999999</v>
      </c>
      <c r="BA8">
        <v>0</v>
      </c>
      <c r="BB8">
        <v>24.433205999999998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256.55256500000002</v>
      </c>
      <c r="BK8">
        <v>61.137509000000001</v>
      </c>
      <c r="BL8">
        <v>16.523651000000001</v>
      </c>
      <c r="BM8">
        <v>0</v>
      </c>
      <c r="BN8">
        <v>211.50499199999999</v>
      </c>
      <c r="BO8">
        <v>0</v>
      </c>
      <c r="BP8">
        <v>0</v>
      </c>
      <c r="BQ8">
        <v>0</v>
      </c>
    </row>
    <row r="9" spans="1:69" x14ac:dyDescent="0.25">
      <c r="A9" s="1"/>
      <c r="B9" s="1">
        <v>18</v>
      </c>
      <c r="C9">
        <v>0</v>
      </c>
      <c r="D9">
        <v>0</v>
      </c>
      <c r="E9">
        <v>0</v>
      </c>
      <c r="F9">
        <v>0</v>
      </c>
      <c r="G9">
        <v>0</v>
      </c>
      <c r="H9">
        <v>399.996509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35.144365999999998</v>
      </c>
      <c r="BA9">
        <v>0</v>
      </c>
      <c r="BB9">
        <v>5.5674159999999997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168.908748</v>
      </c>
      <c r="BK9">
        <v>40.251635</v>
      </c>
      <c r="BL9">
        <v>10.878819999999999</v>
      </c>
      <c r="BM9">
        <v>0</v>
      </c>
      <c r="BN9">
        <v>139.250384</v>
      </c>
      <c r="BO9">
        <v>0</v>
      </c>
      <c r="BP9">
        <v>0</v>
      </c>
      <c r="BQ9">
        <v>0</v>
      </c>
    </row>
    <row r="10" spans="1:69" x14ac:dyDescent="0.25">
      <c r="A10" s="1"/>
      <c r="B10" s="1">
        <v>20</v>
      </c>
      <c r="C10">
        <v>28.064692000000001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10.394309</v>
      </c>
      <c r="L10">
        <v>30.887174999999999</v>
      </c>
      <c r="M10">
        <v>0</v>
      </c>
      <c r="N10">
        <v>0</v>
      </c>
      <c r="O10">
        <v>114.99899600000001</v>
      </c>
      <c r="P10">
        <v>6.468642</v>
      </c>
      <c r="Q10">
        <v>0</v>
      </c>
      <c r="R10">
        <v>0</v>
      </c>
      <c r="S10">
        <v>26.524235000000001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18.643277000000001</v>
      </c>
      <c r="AA10">
        <v>0</v>
      </c>
      <c r="AB10">
        <v>49.526935000000002</v>
      </c>
      <c r="AC10">
        <v>1.0819719999999999</v>
      </c>
      <c r="AD10">
        <v>0</v>
      </c>
      <c r="AE10">
        <v>0</v>
      </c>
      <c r="AF10">
        <v>218.910483</v>
      </c>
      <c r="AG10">
        <v>0</v>
      </c>
      <c r="AH10">
        <v>0</v>
      </c>
      <c r="AI10">
        <v>0</v>
      </c>
      <c r="AJ10">
        <v>106.941453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65.291899999999998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17.995297000000001</v>
      </c>
      <c r="BP10">
        <v>14.270985</v>
      </c>
      <c r="BQ10">
        <v>0</v>
      </c>
    </row>
    <row r="11" spans="1:69" x14ac:dyDescent="0.25">
      <c r="A11" s="1"/>
      <c r="B11" s="1">
        <v>21</v>
      </c>
      <c r="C11">
        <v>4.9442349999999999</v>
      </c>
      <c r="D11">
        <v>3.185022</v>
      </c>
      <c r="E11">
        <v>0</v>
      </c>
      <c r="F11">
        <v>0</v>
      </c>
      <c r="G11">
        <v>0</v>
      </c>
      <c r="H11">
        <v>0</v>
      </c>
      <c r="I11">
        <v>0</v>
      </c>
      <c r="J11">
        <v>33.839455000000001</v>
      </c>
      <c r="K11">
        <v>0</v>
      </c>
      <c r="L11">
        <v>74.999345000000005</v>
      </c>
      <c r="M11">
        <v>0</v>
      </c>
      <c r="N11">
        <v>0</v>
      </c>
      <c r="O11">
        <v>37.229104</v>
      </c>
      <c r="P11">
        <v>265.274833</v>
      </c>
      <c r="Q11">
        <v>0</v>
      </c>
      <c r="R11">
        <v>0</v>
      </c>
      <c r="S11">
        <v>14.166722999999999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9.7572890000000001</v>
      </c>
      <c r="AA11">
        <v>0</v>
      </c>
      <c r="AB11">
        <v>13.051767</v>
      </c>
      <c r="AC11">
        <v>109.723828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16.314553</v>
      </c>
      <c r="AM11">
        <v>0</v>
      </c>
      <c r="AN11">
        <v>2.367543</v>
      </c>
      <c r="AO11">
        <v>0</v>
      </c>
      <c r="AP11">
        <v>0</v>
      </c>
      <c r="AQ11">
        <v>0</v>
      </c>
      <c r="AR11">
        <v>0</v>
      </c>
      <c r="AS11">
        <v>6.3555609999999998</v>
      </c>
      <c r="AT11">
        <v>0</v>
      </c>
      <c r="AU11">
        <v>328.50007599999998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10.363479</v>
      </c>
      <c r="BP11">
        <v>0</v>
      </c>
      <c r="BQ11">
        <v>4.9410660000000002</v>
      </c>
    </row>
    <row r="12" spans="1:69" x14ac:dyDescent="0.25">
      <c r="A12" s="1"/>
      <c r="B12" s="1">
        <v>22</v>
      </c>
      <c r="C12">
        <v>95.528727000000003</v>
      </c>
      <c r="D12">
        <v>10.990097</v>
      </c>
      <c r="E12">
        <v>0</v>
      </c>
      <c r="F12">
        <v>0</v>
      </c>
      <c r="G12">
        <v>0</v>
      </c>
      <c r="H12">
        <v>0</v>
      </c>
      <c r="I12">
        <v>0</v>
      </c>
      <c r="J12">
        <v>107.113657</v>
      </c>
      <c r="K12">
        <v>79.999302</v>
      </c>
      <c r="L12">
        <v>0</v>
      </c>
      <c r="M12">
        <v>0</v>
      </c>
      <c r="N12">
        <v>0</v>
      </c>
      <c r="O12">
        <v>199.65769800000001</v>
      </c>
      <c r="P12">
        <v>397.98639800000001</v>
      </c>
      <c r="Q12">
        <v>0</v>
      </c>
      <c r="R12">
        <v>0</v>
      </c>
      <c r="S12">
        <v>103.77955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54.058888000000003</v>
      </c>
      <c r="AA12">
        <v>0</v>
      </c>
      <c r="AB12">
        <v>61.270248000000002</v>
      </c>
      <c r="AC12">
        <v>77.012693999999996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87.168621999999999</v>
      </c>
      <c r="AM12">
        <v>0</v>
      </c>
      <c r="AN12">
        <v>6.2210890000000001</v>
      </c>
      <c r="AO12">
        <v>0</v>
      </c>
      <c r="AP12">
        <v>0</v>
      </c>
      <c r="AQ12">
        <v>0</v>
      </c>
      <c r="AR12">
        <v>0</v>
      </c>
      <c r="AS12">
        <v>22.503133999999999</v>
      </c>
      <c r="AT12">
        <v>0</v>
      </c>
      <c r="AU12">
        <v>300.98774900000001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200.23521</v>
      </c>
      <c r="BP12">
        <v>0</v>
      </c>
      <c r="BQ12">
        <v>95.467495</v>
      </c>
    </row>
    <row r="13" spans="1:69" x14ac:dyDescent="0.25">
      <c r="A13" s="1"/>
      <c r="B13" s="1">
        <v>23</v>
      </c>
      <c r="C13">
        <v>0</v>
      </c>
      <c r="D13">
        <v>0</v>
      </c>
      <c r="E13">
        <v>20.638375</v>
      </c>
      <c r="F13">
        <v>69.999388999999994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181.402501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47.714235000000002</v>
      </c>
      <c r="Z13">
        <v>0</v>
      </c>
      <c r="AA13">
        <v>0</v>
      </c>
      <c r="AB13">
        <v>0</v>
      </c>
      <c r="AC13">
        <v>0</v>
      </c>
      <c r="AD13">
        <v>1.618519</v>
      </c>
      <c r="AE13">
        <v>1.0152639999999999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106.745059</v>
      </c>
      <c r="BH13">
        <v>205.96688800000001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</row>
    <row r="14" spans="1:69" x14ac:dyDescent="0.25">
      <c r="A14" s="1"/>
      <c r="B14" s="1">
        <v>25</v>
      </c>
      <c r="C14">
        <v>0</v>
      </c>
      <c r="D14">
        <v>0</v>
      </c>
      <c r="E14">
        <v>20.162016000000001</v>
      </c>
      <c r="F14">
        <v>26.144611000000001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297.99144100000001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50.252398999999997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0.48922500000000002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610.52810999999997</v>
      </c>
      <c r="BH14">
        <v>25.001376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</row>
    <row r="15" spans="1:69" x14ac:dyDescent="0.25">
      <c r="A15" s="1"/>
      <c r="B15" s="1">
        <v>26</v>
      </c>
      <c r="C15">
        <v>125.685874</v>
      </c>
      <c r="D15">
        <v>229.99799300000001</v>
      </c>
      <c r="E15">
        <v>0</v>
      </c>
      <c r="F15">
        <v>0</v>
      </c>
      <c r="G15">
        <v>0</v>
      </c>
      <c r="H15">
        <v>0</v>
      </c>
      <c r="I15">
        <v>0</v>
      </c>
      <c r="J15">
        <v>224.99803600000001</v>
      </c>
      <c r="K15">
        <v>30.059463999999998</v>
      </c>
      <c r="L15">
        <v>159.92726200000001</v>
      </c>
      <c r="M15">
        <v>0</v>
      </c>
      <c r="N15">
        <v>0</v>
      </c>
      <c r="O15">
        <v>0</v>
      </c>
      <c r="P15">
        <v>24.064368999999999</v>
      </c>
      <c r="Q15">
        <v>0</v>
      </c>
      <c r="R15">
        <v>0</v>
      </c>
      <c r="S15">
        <v>60.884448999999996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176.09256199999999</v>
      </c>
      <c r="AA15">
        <v>0</v>
      </c>
      <c r="AB15">
        <v>205.69302999999999</v>
      </c>
      <c r="AC15">
        <v>17.203719</v>
      </c>
      <c r="AD15">
        <v>0</v>
      </c>
      <c r="AE15">
        <v>0</v>
      </c>
      <c r="AF15">
        <v>357.28388200000001</v>
      </c>
      <c r="AG15">
        <v>0</v>
      </c>
      <c r="AH15">
        <v>0</v>
      </c>
      <c r="AI15">
        <v>0</v>
      </c>
      <c r="AJ15">
        <v>496.55886700000002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112.040351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80.590748000000005</v>
      </c>
      <c r="BP15">
        <v>63.911664000000002</v>
      </c>
      <c r="BQ15">
        <v>0</v>
      </c>
    </row>
    <row r="16" spans="1:69" x14ac:dyDescent="0.25">
      <c r="A16" s="1"/>
      <c r="B16" s="1">
        <v>27</v>
      </c>
      <c r="C16">
        <v>9.962453</v>
      </c>
      <c r="D16">
        <v>0.61215200000000003</v>
      </c>
      <c r="E16">
        <v>0</v>
      </c>
      <c r="F16">
        <v>0</v>
      </c>
      <c r="G16">
        <v>0</v>
      </c>
      <c r="H16">
        <v>0</v>
      </c>
      <c r="I16">
        <v>0</v>
      </c>
      <c r="J16">
        <v>3.9109080000000001</v>
      </c>
      <c r="K16">
        <v>230.156026</v>
      </c>
      <c r="L16">
        <v>288.73312900000002</v>
      </c>
      <c r="M16">
        <v>0</v>
      </c>
      <c r="N16">
        <v>0</v>
      </c>
      <c r="O16">
        <v>4.1076480000000002</v>
      </c>
      <c r="P16">
        <v>0</v>
      </c>
      <c r="Q16">
        <v>0</v>
      </c>
      <c r="R16">
        <v>0</v>
      </c>
      <c r="S16">
        <v>11.771311000000001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5.3345700000000003</v>
      </c>
      <c r="AA16">
        <v>0</v>
      </c>
      <c r="AB16">
        <v>2.1003370000000001</v>
      </c>
      <c r="AC16">
        <v>49.999563999999999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9.337631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21.321701000000001</v>
      </c>
      <c r="AT16">
        <v>0</v>
      </c>
      <c r="AU16">
        <v>11.812322999999999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20.882031999999999</v>
      </c>
      <c r="BP16">
        <v>0</v>
      </c>
      <c r="BQ16">
        <v>9.9560680000000001</v>
      </c>
    </row>
    <row r="17" spans="1:69" x14ac:dyDescent="0.25">
      <c r="A17" s="1"/>
      <c r="B17" s="1">
        <v>34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</row>
    <row r="18" spans="1:69" x14ac:dyDescent="0.25">
      <c r="A18" s="1"/>
      <c r="B18" s="1">
        <v>38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204.998211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200.04176000000001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</row>
    <row r="19" spans="1:69" x14ac:dyDescent="0.25">
      <c r="A19" s="1"/>
      <c r="B19" s="1">
        <v>39</v>
      </c>
      <c r="C19">
        <v>67.960502000000005</v>
      </c>
      <c r="D19">
        <v>5.9133110000000002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147.83036000000001</v>
      </c>
      <c r="K19">
        <v>3.8763779999999999</v>
      </c>
      <c r="L19">
        <v>14.554646</v>
      </c>
      <c r="M19">
        <v>0</v>
      </c>
      <c r="N19">
        <v>0</v>
      </c>
      <c r="O19">
        <v>136.568366</v>
      </c>
      <c r="P19">
        <v>6.1431279999999999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64.562163999999996</v>
      </c>
      <c r="AA19">
        <v>0</v>
      </c>
      <c r="AB19">
        <v>38.936965999999998</v>
      </c>
      <c r="AC19">
        <v>4.7035489999999998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93.457973999999993</v>
      </c>
      <c r="AM19">
        <v>0</v>
      </c>
      <c r="AN19">
        <v>44.430103000000003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155.72341800000001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142.45019099999999</v>
      </c>
      <c r="BP19">
        <v>0</v>
      </c>
      <c r="BQ19">
        <v>67.916940999999994</v>
      </c>
    </row>
    <row r="20" spans="1:69" x14ac:dyDescent="0.25">
      <c r="A20" s="1"/>
      <c r="B20" s="1">
        <v>40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474.99585500000001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160.02913100000001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149.93721199999999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</row>
    <row r="21" spans="1:69" x14ac:dyDescent="0.25">
      <c r="A21" s="1"/>
      <c r="B21" s="1">
        <v>41</v>
      </c>
      <c r="C21">
        <v>0</v>
      </c>
      <c r="D21">
        <v>0</v>
      </c>
      <c r="E21">
        <v>0</v>
      </c>
      <c r="F21">
        <v>0</v>
      </c>
      <c r="G21">
        <v>29.999738000000001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17.620363999999999</v>
      </c>
      <c r="R21">
        <v>0</v>
      </c>
      <c r="S21">
        <v>0</v>
      </c>
      <c r="T21">
        <v>0</v>
      </c>
      <c r="U21">
        <v>0</v>
      </c>
      <c r="V21">
        <v>98.531394000000006</v>
      </c>
      <c r="W21">
        <v>14.316288</v>
      </c>
      <c r="X21">
        <v>33.120398000000002</v>
      </c>
      <c r="Y21">
        <v>0</v>
      </c>
      <c r="Z21">
        <v>0</v>
      </c>
      <c r="AA21">
        <v>174.99847299999999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66.432835999999995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</row>
    <row r="22" spans="1:69" x14ac:dyDescent="0.25">
      <c r="A22" s="1"/>
      <c r="B22" s="1">
        <v>42</v>
      </c>
      <c r="C22">
        <v>0</v>
      </c>
      <c r="D22">
        <v>0</v>
      </c>
      <c r="E22">
        <v>0</v>
      </c>
      <c r="F22">
        <v>0</v>
      </c>
      <c r="G22">
        <v>67.501908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21.464932999999998</v>
      </c>
      <c r="R22">
        <v>0</v>
      </c>
      <c r="S22">
        <v>0</v>
      </c>
      <c r="T22">
        <v>0</v>
      </c>
      <c r="U22">
        <v>44.940886999999996</v>
      </c>
      <c r="V22">
        <v>0</v>
      </c>
      <c r="W22">
        <v>304.99733800000001</v>
      </c>
      <c r="X22">
        <v>9.9999129999999994</v>
      </c>
      <c r="Y22">
        <v>0</v>
      </c>
      <c r="Z22">
        <v>0</v>
      </c>
      <c r="AA22">
        <v>80.072221999999996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6.0199499999999997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</row>
    <row r="23" spans="1:69" x14ac:dyDescent="0.25">
      <c r="A23" s="1"/>
      <c r="B23" s="1">
        <v>43</v>
      </c>
      <c r="C23">
        <v>0</v>
      </c>
      <c r="D23">
        <v>0</v>
      </c>
      <c r="E23">
        <v>0</v>
      </c>
      <c r="F23">
        <v>0</v>
      </c>
      <c r="G23">
        <v>83.763468000000003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2.8955890000000002</v>
      </c>
      <c r="R23">
        <v>0</v>
      </c>
      <c r="S23">
        <v>0</v>
      </c>
      <c r="T23">
        <v>0</v>
      </c>
      <c r="U23">
        <v>96.773972999999998</v>
      </c>
      <c r="V23">
        <v>349.99694599999998</v>
      </c>
      <c r="W23">
        <v>0</v>
      </c>
      <c r="X23">
        <v>9.9999129999999994</v>
      </c>
      <c r="Y23">
        <v>0</v>
      </c>
      <c r="Z23">
        <v>0</v>
      </c>
      <c r="AA23">
        <v>32.381858000000001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54.199243000000003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</row>
    <row r="24" spans="1:69" x14ac:dyDescent="0.25">
      <c r="A24" s="1"/>
      <c r="B24" s="1">
        <v>44</v>
      </c>
      <c r="C24">
        <v>0</v>
      </c>
      <c r="D24">
        <v>0</v>
      </c>
      <c r="E24">
        <v>0</v>
      </c>
      <c r="F24">
        <v>0</v>
      </c>
      <c r="G24">
        <v>119.109894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20.618019</v>
      </c>
      <c r="R24">
        <v>0</v>
      </c>
      <c r="S24">
        <v>0</v>
      </c>
      <c r="T24">
        <v>0</v>
      </c>
      <c r="U24">
        <v>48.102848000000002</v>
      </c>
      <c r="V24">
        <v>14.999869</v>
      </c>
      <c r="W24">
        <v>4.9999560000000001</v>
      </c>
      <c r="X24">
        <v>0</v>
      </c>
      <c r="Y24">
        <v>0</v>
      </c>
      <c r="Z24">
        <v>0</v>
      </c>
      <c r="AA24">
        <v>67.455207000000001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74.741470000000007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</row>
    <row r="25" spans="1:69" x14ac:dyDescent="0.25">
      <c r="A25" s="1"/>
      <c r="B25" s="1">
        <v>46</v>
      </c>
      <c r="C25">
        <v>0</v>
      </c>
      <c r="D25">
        <v>0</v>
      </c>
      <c r="E25">
        <v>34.999695000000003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65.007378000000003</v>
      </c>
      <c r="N25">
        <v>36.741641000000001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0.52904700000000005</v>
      </c>
      <c r="AE25">
        <v>1.261069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128.421224</v>
      </c>
      <c r="BH25">
        <v>127.91665500000001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</row>
    <row r="26" spans="1:69" x14ac:dyDescent="0.25">
      <c r="A26" s="1"/>
      <c r="B26" s="1">
        <v>47</v>
      </c>
      <c r="C26">
        <v>9.7419349999999998</v>
      </c>
      <c r="D26">
        <v>16.732453</v>
      </c>
      <c r="E26">
        <v>0</v>
      </c>
      <c r="F26">
        <v>0</v>
      </c>
      <c r="G26">
        <v>0</v>
      </c>
      <c r="H26">
        <v>0</v>
      </c>
      <c r="I26">
        <v>0</v>
      </c>
      <c r="J26">
        <v>125.866022</v>
      </c>
      <c r="K26">
        <v>28.072679000000001</v>
      </c>
      <c r="L26">
        <v>70.904522</v>
      </c>
      <c r="M26">
        <v>0</v>
      </c>
      <c r="N26">
        <v>0</v>
      </c>
      <c r="O26">
        <v>354.76867399999998</v>
      </c>
      <c r="P26">
        <v>11.327033999999999</v>
      </c>
      <c r="Q26">
        <v>0</v>
      </c>
      <c r="R26">
        <v>0</v>
      </c>
      <c r="S26">
        <v>44.938588000000003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79.999302</v>
      </c>
      <c r="AC26">
        <v>2.090004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204.74086700000001</v>
      </c>
      <c r="AM26">
        <v>0</v>
      </c>
      <c r="AN26">
        <v>172.87468000000001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11.720625999999999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6.2466030000000003</v>
      </c>
      <c r="BP26">
        <v>4.953805</v>
      </c>
      <c r="BQ26">
        <v>0</v>
      </c>
    </row>
    <row r="27" spans="1:69" x14ac:dyDescent="0.25">
      <c r="A27" s="1"/>
      <c r="B27" s="1">
        <v>49</v>
      </c>
      <c r="C27">
        <v>0</v>
      </c>
      <c r="D27">
        <v>0</v>
      </c>
      <c r="E27">
        <v>0</v>
      </c>
      <c r="F27">
        <v>0</v>
      </c>
      <c r="G27">
        <v>94.999171000000004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0.84061399999999997</v>
      </c>
      <c r="R27">
        <v>0</v>
      </c>
      <c r="S27">
        <v>0</v>
      </c>
      <c r="T27">
        <v>0</v>
      </c>
      <c r="U27">
        <v>259.99773099999999</v>
      </c>
      <c r="V27">
        <v>100.84078599999999</v>
      </c>
      <c r="W27">
        <v>13.802453</v>
      </c>
      <c r="X27">
        <v>32.242448000000003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42.274096999999998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</row>
    <row r="28" spans="1:69" x14ac:dyDescent="0.25">
      <c r="A28" s="1"/>
      <c r="B28" s="1">
        <v>50</v>
      </c>
      <c r="C28">
        <v>11.632307000000001</v>
      </c>
      <c r="D28">
        <v>11.918453</v>
      </c>
      <c r="E28">
        <v>0</v>
      </c>
      <c r="F28">
        <v>0</v>
      </c>
      <c r="G28">
        <v>0</v>
      </c>
      <c r="H28">
        <v>0</v>
      </c>
      <c r="I28">
        <v>0</v>
      </c>
      <c r="J28">
        <v>68.922016999999997</v>
      </c>
      <c r="K28">
        <v>11.568863</v>
      </c>
      <c r="L28">
        <v>13.071512999999999</v>
      </c>
      <c r="M28">
        <v>0</v>
      </c>
      <c r="N28">
        <v>0</v>
      </c>
      <c r="O28">
        <v>63.748125999999999</v>
      </c>
      <c r="P28">
        <v>5.8608269999999996</v>
      </c>
      <c r="Q28">
        <v>0</v>
      </c>
      <c r="R28">
        <v>0</v>
      </c>
      <c r="S28">
        <v>27.037324999999999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39.999651</v>
      </c>
      <c r="AA28">
        <v>0</v>
      </c>
      <c r="AB28">
        <v>0</v>
      </c>
      <c r="AC28">
        <v>6.0829240000000002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56.523519</v>
      </c>
      <c r="AM28">
        <v>0</v>
      </c>
      <c r="AN28">
        <v>103.934916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11.370899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7.4587240000000001</v>
      </c>
      <c r="BP28">
        <v>5.9150650000000002</v>
      </c>
      <c r="BQ28">
        <v>0</v>
      </c>
    </row>
    <row r="29" spans="1:69" x14ac:dyDescent="0.25">
      <c r="A29" s="1"/>
      <c r="B29" s="1">
        <v>51</v>
      </c>
      <c r="C29">
        <v>5.1654</v>
      </c>
      <c r="D29">
        <v>0.103341</v>
      </c>
      <c r="E29">
        <v>0</v>
      </c>
      <c r="F29">
        <v>0</v>
      </c>
      <c r="G29">
        <v>0</v>
      </c>
      <c r="H29">
        <v>0</v>
      </c>
      <c r="I29">
        <v>0</v>
      </c>
      <c r="J29">
        <v>8.9929649999999999</v>
      </c>
      <c r="K29">
        <v>94.843716999999998</v>
      </c>
      <c r="L29">
        <v>21.266214000000002</v>
      </c>
      <c r="M29">
        <v>0</v>
      </c>
      <c r="N29">
        <v>0</v>
      </c>
      <c r="O29">
        <v>13.839717</v>
      </c>
      <c r="P29">
        <v>54.999519999999997</v>
      </c>
      <c r="Q29">
        <v>0</v>
      </c>
      <c r="R29">
        <v>0</v>
      </c>
      <c r="S29">
        <v>7.6506809999999996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9.9631220000000003</v>
      </c>
      <c r="AA29">
        <v>0</v>
      </c>
      <c r="AB29">
        <v>3.250238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10.251725</v>
      </c>
      <c r="AM29">
        <v>0</v>
      </c>
      <c r="AN29">
        <v>0.17868300000000001</v>
      </c>
      <c r="AO29">
        <v>0</v>
      </c>
      <c r="AP29">
        <v>0</v>
      </c>
      <c r="AQ29">
        <v>0</v>
      </c>
      <c r="AR29">
        <v>0</v>
      </c>
      <c r="AS29">
        <v>19.817418</v>
      </c>
      <c r="AT29">
        <v>0</v>
      </c>
      <c r="AU29">
        <v>8.6874629999999993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10.827056000000001</v>
      </c>
      <c r="BP29">
        <v>0</v>
      </c>
      <c r="BQ29">
        <v>5.1620879999999998</v>
      </c>
    </row>
    <row r="30" spans="1:69" x14ac:dyDescent="0.25">
      <c r="A30" s="1"/>
      <c r="B30" s="1">
        <v>52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1.284389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16.641480999999999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2.0521180000000001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</row>
    <row r="31" spans="1:69" x14ac:dyDescent="0.25">
      <c r="A31" s="1"/>
      <c r="B31" s="1">
        <v>53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6.4185590000000001</v>
      </c>
      <c r="N31">
        <v>0.48922500000000002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1.155049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2.428858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</row>
    <row r="32" spans="1:69" x14ac:dyDescent="0.25">
      <c r="A32" s="1"/>
      <c r="B32" s="1">
        <v>54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</row>
    <row r="33" spans="1:69" x14ac:dyDescent="0.25">
      <c r="A33" s="1"/>
      <c r="B33" s="1">
        <v>55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</row>
    <row r="34" spans="1:69" x14ac:dyDescent="0.25">
      <c r="A34" s="1"/>
      <c r="B34" s="1">
        <v>56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817.17339000000004</v>
      </c>
      <c r="S34">
        <v>0</v>
      </c>
      <c r="T34">
        <v>172.74121299999999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</row>
    <row r="35" spans="1:69" x14ac:dyDescent="0.25">
      <c r="A35" s="1"/>
      <c r="B35" s="1">
        <v>57</v>
      </c>
      <c r="C35">
        <v>287.846675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76.217485999999994</v>
      </c>
      <c r="L35">
        <v>196.68252699999999</v>
      </c>
      <c r="M35">
        <v>0</v>
      </c>
      <c r="N35">
        <v>0</v>
      </c>
      <c r="O35">
        <v>0</v>
      </c>
      <c r="P35">
        <v>95.091063000000005</v>
      </c>
      <c r="Q35">
        <v>0</v>
      </c>
      <c r="R35">
        <v>0</v>
      </c>
      <c r="S35">
        <v>41.074199999999998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248.32492400000001</v>
      </c>
      <c r="AA35">
        <v>0</v>
      </c>
      <c r="AB35">
        <v>122.968487</v>
      </c>
      <c r="AC35">
        <v>8.5349050000000002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2.3206440000000002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184.569501</v>
      </c>
      <c r="BP35">
        <v>146.37094400000001</v>
      </c>
      <c r="BQ35">
        <v>0</v>
      </c>
    </row>
    <row r="36" spans="1:69" x14ac:dyDescent="0.25">
      <c r="A36" s="1"/>
      <c r="B36" s="1">
        <v>58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</row>
    <row r="37" spans="1:69" x14ac:dyDescent="0.25">
      <c r="A37" s="1"/>
      <c r="B37" s="1">
        <v>59</v>
      </c>
      <c r="C37">
        <v>172.06693200000001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40.055340999999999</v>
      </c>
      <c r="L37">
        <v>106.197003</v>
      </c>
      <c r="M37">
        <v>0</v>
      </c>
      <c r="N37">
        <v>0</v>
      </c>
      <c r="O37">
        <v>0</v>
      </c>
      <c r="P37">
        <v>28.199463000000002</v>
      </c>
      <c r="Q37">
        <v>0</v>
      </c>
      <c r="R37">
        <v>0</v>
      </c>
      <c r="S37">
        <v>72.252968999999993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228.50028900000001</v>
      </c>
      <c r="AA37">
        <v>0</v>
      </c>
      <c r="AB37">
        <v>88.259786000000005</v>
      </c>
      <c r="AC37">
        <v>8.8990779999999994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17.744191000000001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110.33064</v>
      </c>
      <c r="BP37">
        <v>87.496578999999997</v>
      </c>
      <c r="BQ37">
        <v>0</v>
      </c>
    </row>
    <row r="38" spans="1:69" x14ac:dyDescent="0.25">
      <c r="A38" s="1"/>
      <c r="B38" s="1">
        <v>60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</row>
    <row r="39" spans="1:69" x14ac:dyDescent="0.25">
      <c r="A39" s="1"/>
      <c r="B39" s="1">
        <v>61</v>
      </c>
      <c r="C39">
        <v>0</v>
      </c>
      <c r="D39">
        <v>45.920949</v>
      </c>
      <c r="E39">
        <v>0</v>
      </c>
      <c r="F39">
        <v>0</v>
      </c>
      <c r="G39">
        <v>0</v>
      </c>
      <c r="H39">
        <v>0</v>
      </c>
      <c r="I39">
        <v>0</v>
      </c>
      <c r="J39">
        <v>904.58473900000001</v>
      </c>
      <c r="K39">
        <v>0</v>
      </c>
      <c r="L39">
        <v>0</v>
      </c>
      <c r="M39">
        <v>0</v>
      </c>
      <c r="N39">
        <v>0</v>
      </c>
      <c r="O39">
        <v>639.39172399999995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</row>
    <row r="40" spans="1:69" x14ac:dyDescent="0.25">
      <c r="A40" s="1"/>
      <c r="B40" s="1">
        <v>62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</row>
    <row r="41" spans="1:69" x14ac:dyDescent="0.25">
      <c r="A41" s="1"/>
      <c r="B41" s="1">
        <v>63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</row>
    <row r="42" spans="1:69" x14ac:dyDescent="0.25">
      <c r="A42" s="1"/>
      <c r="B42" s="1">
        <v>64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168.06906799999999</v>
      </c>
      <c r="S42">
        <v>0</v>
      </c>
      <c r="T42">
        <v>282.01632699999999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</row>
    <row r="43" spans="1:69" x14ac:dyDescent="0.25">
      <c r="A43" s="1"/>
      <c r="B43" s="1">
        <v>65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535.97456899999997</v>
      </c>
      <c r="K43">
        <v>0</v>
      </c>
      <c r="L43">
        <v>0</v>
      </c>
      <c r="M43">
        <v>0</v>
      </c>
      <c r="N43">
        <v>0</v>
      </c>
      <c r="O43">
        <v>584.00052500000004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</row>
    <row r="44" spans="1:69" x14ac:dyDescent="0.25">
      <c r="A44" s="1"/>
      <c r="B44" s="1">
        <v>66</v>
      </c>
      <c r="C44">
        <v>85.435350999999997</v>
      </c>
      <c r="D44">
        <v>0.89924999999999999</v>
      </c>
      <c r="E44">
        <v>0</v>
      </c>
      <c r="F44">
        <v>0</v>
      </c>
      <c r="G44">
        <v>0</v>
      </c>
      <c r="H44">
        <v>0</v>
      </c>
      <c r="I44">
        <v>0</v>
      </c>
      <c r="J44">
        <v>4.3707669999999998</v>
      </c>
      <c r="K44">
        <v>19.121694000000002</v>
      </c>
      <c r="L44">
        <v>28.872620999999999</v>
      </c>
      <c r="M44">
        <v>0</v>
      </c>
      <c r="N44">
        <v>0</v>
      </c>
      <c r="O44">
        <v>6.0222110000000004</v>
      </c>
      <c r="P44">
        <v>3.4899719999999999</v>
      </c>
      <c r="Q44">
        <v>0</v>
      </c>
      <c r="R44">
        <v>0</v>
      </c>
      <c r="S44">
        <v>379.96074399999998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17.792869</v>
      </c>
      <c r="AA44">
        <v>0</v>
      </c>
      <c r="AB44">
        <v>59.435980000000001</v>
      </c>
      <c r="AC44">
        <v>3.8253409999999999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5.7307790000000001</v>
      </c>
      <c r="AM44">
        <v>0</v>
      </c>
      <c r="AN44">
        <v>35.783737000000002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4.6828019999999997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179.078755</v>
      </c>
      <c r="BP44">
        <v>0</v>
      </c>
      <c r="BQ44">
        <v>85.380588000000003</v>
      </c>
    </row>
    <row r="45" spans="1:69" x14ac:dyDescent="0.25">
      <c r="A45" s="1"/>
      <c r="B45" s="1">
        <v>67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</row>
    <row r="46" spans="1:69" x14ac:dyDescent="0.25">
      <c r="A46" s="1"/>
      <c r="B46" s="1">
        <v>68</v>
      </c>
      <c r="C46">
        <v>91.269976</v>
      </c>
      <c r="D46">
        <v>30.042539999999999</v>
      </c>
      <c r="E46">
        <v>0</v>
      </c>
      <c r="F46">
        <v>0</v>
      </c>
      <c r="G46">
        <v>0</v>
      </c>
      <c r="H46">
        <v>0</v>
      </c>
      <c r="I46">
        <v>0</v>
      </c>
      <c r="J46">
        <v>283.675184</v>
      </c>
      <c r="K46">
        <v>0</v>
      </c>
      <c r="L46">
        <v>0</v>
      </c>
      <c r="M46">
        <v>0</v>
      </c>
      <c r="N46">
        <v>0</v>
      </c>
      <c r="O46">
        <v>226.54828499999999</v>
      </c>
      <c r="P46">
        <v>0</v>
      </c>
      <c r="Q46">
        <v>0</v>
      </c>
      <c r="R46">
        <v>0</v>
      </c>
      <c r="S46">
        <v>142.64506900000001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18.794536000000001</v>
      </c>
      <c r="AA46">
        <v>0</v>
      </c>
      <c r="AB46">
        <v>111.407313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4.8433890000000002</v>
      </c>
      <c r="AM46">
        <v>0</v>
      </c>
      <c r="AN46">
        <v>8.2308039999999991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191.30855700000001</v>
      </c>
      <c r="BP46">
        <v>0</v>
      </c>
      <c r="BQ46">
        <v>91.211473999999995</v>
      </c>
    </row>
    <row r="47" spans="1:69" x14ac:dyDescent="0.25">
      <c r="A47" s="1"/>
      <c r="B47" s="1">
        <v>69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</row>
    <row r="48" spans="1:69" x14ac:dyDescent="0.25">
      <c r="A48" s="1"/>
      <c r="B48" s="1">
        <v>70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193.899113</v>
      </c>
      <c r="L48">
        <v>658.61352199999999</v>
      </c>
      <c r="M48">
        <v>0</v>
      </c>
      <c r="N48">
        <v>0</v>
      </c>
      <c r="O48">
        <v>0</v>
      </c>
      <c r="P48">
        <v>57.463276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40.024461000000002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</row>
    <row r="49" spans="1:69" x14ac:dyDescent="0.25">
      <c r="A49" s="1"/>
      <c r="B49" s="1">
        <v>71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100.007103</v>
      </c>
      <c r="L49">
        <v>129.63305199999999</v>
      </c>
      <c r="M49">
        <v>0</v>
      </c>
      <c r="N49">
        <v>0</v>
      </c>
      <c r="O49">
        <v>0</v>
      </c>
      <c r="P49">
        <v>64.882079000000004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25.475248000000001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</row>
    <row r="50" spans="1:69" x14ac:dyDescent="0.25">
      <c r="A50" s="1"/>
      <c r="B50" s="1">
        <v>72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</row>
    <row r="51" spans="1:69" x14ac:dyDescent="0.25">
      <c r="A51" s="1"/>
      <c r="B51" s="1">
        <v>73</v>
      </c>
      <c r="C51">
        <v>0</v>
      </c>
      <c r="D51">
        <v>0</v>
      </c>
      <c r="E51">
        <v>0</v>
      </c>
      <c r="F51">
        <v>0</v>
      </c>
      <c r="G51">
        <v>0</v>
      </c>
      <c r="H51">
        <v>100.31300299999999</v>
      </c>
      <c r="I51">
        <v>214.723837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77.573511999999994</v>
      </c>
      <c r="BK51">
        <v>18.486080000000001</v>
      </c>
      <c r="BL51">
        <v>4.996238</v>
      </c>
      <c r="BM51">
        <v>0</v>
      </c>
      <c r="BN51">
        <v>63.952527000000003</v>
      </c>
      <c r="BO51">
        <v>0</v>
      </c>
      <c r="BP51">
        <v>0</v>
      </c>
      <c r="BQ51">
        <v>0</v>
      </c>
    </row>
    <row r="52" spans="1:69" x14ac:dyDescent="0.25">
      <c r="A52" s="1"/>
      <c r="B52" s="1">
        <v>74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</row>
    <row r="53" spans="1:69" x14ac:dyDescent="0.25">
      <c r="A53" s="1"/>
      <c r="B53" s="1">
        <v>75</v>
      </c>
      <c r="C53">
        <v>0</v>
      </c>
      <c r="D53">
        <v>0</v>
      </c>
      <c r="E53">
        <v>0</v>
      </c>
      <c r="F53">
        <v>0</v>
      </c>
      <c r="G53">
        <v>0</v>
      </c>
      <c r="H53">
        <v>250.309372</v>
      </c>
      <c r="I53">
        <v>114.629103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86.966089999999994</v>
      </c>
      <c r="BK53">
        <v>20.724368999999999</v>
      </c>
      <c r="BL53">
        <v>5.6011800000000003</v>
      </c>
      <c r="BM53">
        <v>0</v>
      </c>
      <c r="BN53">
        <v>71.695881</v>
      </c>
      <c r="BO53">
        <v>0</v>
      </c>
      <c r="BP53">
        <v>0</v>
      </c>
      <c r="BQ53">
        <v>0</v>
      </c>
    </row>
    <row r="54" spans="1:69" x14ac:dyDescent="0.25">
      <c r="A54" s="1"/>
      <c r="B54" s="1">
        <v>76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</row>
    <row r="55" spans="1:69" x14ac:dyDescent="0.25">
      <c r="A55" s="1"/>
      <c r="B55" s="1">
        <v>77</v>
      </c>
      <c r="C55">
        <v>0</v>
      </c>
      <c r="D55">
        <v>0</v>
      </c>
      <c r="E55">
        <v>0</v>
      </c>
      <c r="F55">
        <v>0</v>
      </c>
      <c r="G55">
        <v>486.895129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541.66225099999997</v>
      </c>
      <c r="V55">
        <v>151.27620200000001</v>
      </c>
      <c r="W55">
        <v>5.1347959999999997</v>
      </c>
      <c r="X55">
        <v>23.612116</v>
      </c>
      <c r="Y55">
        <v>0</v>
      </c>
      <c r="Z55">
        <v>0</v>
      </c>
      <c r="AA55">
        <v>221.54757499999999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</row>
    <row r="56" spans="1:69" x14ac:dyDescent="0.25">
      <c r="A56" s="1"/>
      <c r="B56" s="1">
        <v>78</v>
      </c>
      <c r="C56">
        <v>0</v>
      </c>
      <c r="D56">
        <v>0</v>
      </c>
      <c r="E56">
        <v>0</v>
      </c>
      <c r="F56">
        <v>0</v>
      </c>
      <c r="G56">
        <v>82.637833000000001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9.9257310000000007</v>
      </c>
      <c r="R56">
        <v>0</v>
      </c>
      <c r="S56">
        <v>0</v>
      </c>
      <c r="T56">
        <v>0</v>
      </c>
      <c r="U56">
        <v>123.463965</v>
      </c>
      <c r="V56">
        <v>27.691395</v>
      </c>
      <c r="W56">
        <v>53.164512999999999</v>
      </c>
      <c r="X56">
        <v>24.096952000000002</v>
      </c>
      <c r="Y56">
        <v>0</v>
      </c>
      <c r="Z56">
        <v>0</v>
      </c>
      <c r="AA56">
        <v>328.74491499999999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</row>
    <row r="57" spans="1:69" x14ac:dyDescent="0.25">
      <c r="A57" s="1"/>
      <c r="B57" s="1">
        <v>79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</row>
    <row r="58" spans="1:69" x14ac:dyDescent="0.25">
      <c r="A58" s="1"/>
      <c r="B58" s="1">
        <v>80</v>
      </c>
      <c r="C58">
        <v>0</v>
      </c>
      <c r="D58">
        <v>0</v>
      </c>
      <c r="E58">
        <v>21.424299999999999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54.791325000000001</v>
      </c>
      <c r="N58">
        <v>443.18802899999997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188.571575</v>
      </c>
      <c r="Z58">
        <v>0</v>
      </c>
      <c r="AA58">
        <v>0</v>
      </c>
      <c r="AB58">
        <v>0</v>
      </c>
      <c r="AC58">
        <v>0</v>
      </c>
      <c r="AD58">
        <v>0.106195</v>
      </c>
      <c r="AE58">
        <v>1.828192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9.9999129999999994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</row>
    <row r="59" spans="1:69" x14ac:dyDescent="0.25">
      <c r="A59" s="1"/>
      <c r="B59" s="1">
        <v>81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</row>
    <row r="60" spans="1:69" x14ac:dyDescent="0.25">
      <c r="A60" s="1"/>
      <c r="B60" s="1">
        <v>82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</row>
    <row r="61" spans="1:69" x14ac:dyDescent="0.25">
      <c r="A61" s="1"/>
      <c r="B61" s="1">
        <v>83</v>
      </c>
      <c r="C61">
        <v>0</v>
      </c>
      <c r="D61">
        <v>0</v>
      </c>
      <c r="E61">
        <v>83.344988000000001</v>
      </c>
      <c r="F61">
        <v>58.799759000000002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339.44626799999998</v>
      </c>
      <c r="N61">
        <v>147.26506900000001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43.753135</v>
      </c>
      <c r="Z61">
        <v>0</v>
      </c>
      <c r="AA61">
        <v>0</v>
      </c>
      <c r="AB61">
        <v>0</v>
      </c>
      <c r="AC61">
        <v>0</v>
      </c>
      <c r="AD61">
        <v>2.5951420000000001</v>
      </c>
      <c r="AE61">
        <v>5.4262649999999999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19.851464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</row>
    <row r="62" spans="1:69" x14ac:dyDescent="0.25">
      <c r="A62" s="1"/>
      <c r="B62" s="1">
        <v>84</v>
      </c>
      <c r="C62">
        <v>0</v>
      </c>
      <c r="D62">
        <v>0</v>
      </c>
      <c r="E62">
        <v>0</v>
      </c>
      <c r="F62">
        <v>0</v>
      </c>
      <c r="G62">
        <v>0</v>
      </c>
      <c r="H62">
        <v>56.285345</v>
      </c>
      <c r="I62">
        <v>57.548541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64.759254999999996</v>
      </c>
      <c r="BA62">
        <v>0</v>
      </c>
      <c r="BB62">
        <v>16.406648000000001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29.599305999999999</v>
      </c>
      <c r="BL62">
        <v>7.9998120000000004</v>
      </c>
      <c r="BM62">
        <v>1.0119819999999999</v>
      </c>
      <c r="BN62">
        <v>102.398692</v>
      </c>
      <c r="BO62">
        <v>0</v>
      </c>
      <c r="BP62">
        <v>0</v>
      </c>
      <c r="BQ62">
        <v>0</v>
      </c>
    </row>
    <row r="63" spans="1:69" x14ac:dyDescent="0.25">
      <c r="A63" s="1"/>
      <c r="B63" s="1">
        <v>85</v>
      </c>
      <c r="C63">
        <v>0</v>
      </c>
      <c r="D63">
        <v>0</v>
      </c>
      <c r="E63">
        <v>0</v>
      </c>
      <c r="F63">
        <v>0</v>
      </c>
      <c r="G63">
        <v>0</v>
      </c>
      <c r="H63">
        <v>1.842651</v>
      </c>
      <c r="I63">
        <v>1.8840060000000001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1.42056</v>
      </c>
      <c r="BA63">
        <v>0</v>
      </c>
      <c r="BB63">
        <v>0.53711600000000004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4.0618299999999996</v>
      </c>
      <c r="BK63">
        <v>0</v>
      </c>
      <c r="BL63">
        <v>4.9999560000000001</v>
      </c>
      <c r="BM63">
        <v>0.25386500000000001</v>
      </c>
      <c r="BN63">
        <v>104.999084</v>
      </c>
      <c r="BO63">
        <v>0</v>
      </c>
      <c r="BP63">
        <v>0</v>
      </c>
      <c r="BQ63">
        <v>0</v>
      </c>
    </row>
    <row r="64" spans="1:69" x14ac:dyDescent="0.25">
      <c r="A64" s="1"/>
      <c r="B64" s="1">
        <v>86</v>
      </c>
      <c r="C64">
        <v>0</v>
      </c>
      <c r="D64">
        <v>0</v>
      </c>
      <c r="E64">
        <v>0</v>
      </c>
      <c r="F64">
        <v>0</v>
      </c>
      <c r="G64">
        <v>0</v>
      </c>
      <c r="H64">
        <v>19.039016</v>
      </c>
      <c r="I64">
        <v>19.466304000000001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21.349518</v>
      </c>
      <c r="BA64">
        <v>0</v>
      </c>
      <c r="BB64">
        <v>5.5496939999999997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41.968462000000002</v>
      </c>
      <c r="BK64">
        <v>14.999869</v>
      </c>
      <c r="BL64">
        <v>0</v>
      </c>
      <c r="BM64">
        <v>2.6230289999999998</v>
      </c>
      <c r="BN64">
        <v>19.999825000000001</v>
      </c>
      <c r="BO64">
        <v>0</v>
      </c>
      <c r="BP64">
        <v>0</v>
      </c>
      <c r="BQ64">
        <v>0</v>
      </c>
    </row>
    <row r="65" spans="1:69" x14ac:dyDescent="0.25">
      <c r="A65" s="1"/>
      <c r="B65" s="1">
        <v>87</v>
      </c>
      <c r="C65">
        <v>0</v>
      </c>
      <c r="D65">
        <v>0</v>
      </c>
      <c r="E65">
        <v>0</v>
      </c>
      <c r="F65">
        <v>0</v>
      </c>
      <c r="G65">
        <v>0</v>
      </c>
      <c r="H65">
        <v>36.688608000000002</v>
      </c>
      <c r="I65">
        <v>37.511999000000003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40.101568</v>
      </c>
      <c r="BA65">
        <v>0</v>
      </c>
      <c r="BB65">
        <v>10.694383999999999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59.999476000000001</v>
      </c>
      <c r="BK65">
        <v>14.799652999999999</v>
      </c>
      <c r="BL65">
        <v>3.9999069999999999</v>
      </c>
      <c r="BM65">
        <v>0</v>
      </c>
      <c r="BN65">
        <v>51.199345999999998</v>
      </c>
      <c r="BO65">
        <v>0</v>
      </c>
      <c r="BP65">
        <v>0</v>
      </c>
      <c r="BQ65">
        <v>0</v>
      </c>
    </row>
    <row r="66" spans="1:69" x14ac:dyDescent="0.25">
      <c r="A66" s="1"/>
      <c r="B66" s="1">
        <v>88</v>
      </c>
      <c r="C66">
        <v>0</v>
      </c>
      <c r="D66">
        <v>0</v>
      </c>
      <c r="E66">
        <v>0</v>
      </c>
      <c r="F66">
        <v>0</v>
      </c>
      <c r="G66">
        <v>0</v>
      </c>
      <c r="H66">
        <v>160.579297</v>
      </c>
      <c r="I66">
        <v>164.183132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182.34178700000001</v>
      </c>
      <c r="BA66">
        <v>0</v>
      </c>
      <c r="BB66">
        <v>46.807352999999999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353.97134499999999</v>
      </c>
      <c r="BK66">
        <v>384.994573</v>
      </c>
      <c r="BL66">
        <v>68.984983</v>
      </c>
      <c r="BM66">
        <v>22.123208999999999</v>
      </c>
      <c r="BN66">
        <v>0</v>
      </c>
      <c r="BO66">
        <v>0</v>
      </c>
      <c r="BP66">
        <v>0</v>
      </c>
      <c r="BQ66">
        <v>0</v>
      </c>
    </row>
    <row r="67" spans="1:69" x14ac:dyDescent="0.25">
      <c r="A67" s="1"/>
      <c r="B67" s="1">
        <v>89</v>
      </c>
      <c r="C67">
        <v>230.00477100000001</v>
      </c>
      <c r="D67">
        <v>5.0219040000000001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26.904872999999998</v>
      </c>
      <c r="K67">
        <v>15.942945</v>
      </c>
      <c r="L67">
        <v>85.114885999999998</v>
      </c>
      <c r="M67">
        <v>0</v>
      </c>
      <c r="N67">
        <v>0</v>
      </c>
      <c r="O67">
        <v>54.877315000000003</v>
      </c>
      <c r="P67">
        <v>19.687086000000001</v>
      </c>
      <c r="Q67">
        <v>0</v>
      </c>
      <c r="R67">
        <v>0</v>
      </c>
      <c r="S67">
        <v>40.520131999999997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5.3204539999999998</v>
      </c>
      <c r="AA67">
        <v>0</v>
      </c>
      <c r="AB67">
        <v>31.088991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35.374153999999997</v>
      </c>
      <c r="AM67">
        <v>0</v>
      </c>
      <c r="AN67">
        <v>71.469415999999995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56.804234000000001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86.928408000000005</v>
      </c>
      <c r="BQ67">
        <v>0</v>
      </c>
    </row>
    <row r="68" spans="1:69" x14ac:dyDescent="0.25">
      <c r="A68" s="1"/>
      <c r="B68" s="1">
        <v>90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5.4831830000000004</v>
      </c>
      <c r="L68">
        <v>29.27317</v>
      </c>
      <c r="M68">
        <v>0</v>
      </c>
      <c r="N68">
        <v>0</v>
      </c>
      <c r="O68">
        <v>0</v>
      </c>
      <c r="P68">
        <v>6.7708890000000004</v>
      </c>
      <c r="Q68">
        <v>0</v>
      </c>
      <c r="R68">
        <v>0</v>
      </c>
      <c r="S68">
        <v>13.935902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19.536418000000001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</row>
    <row r="69" spans="1:69" x14ac:dyDescent="0.25">
      <c r="A69" s="1"/>
      <c r="B69" s="1">
        <v>91</v>
      </c>
      <c r="C69">
        <v>49.767024999999997</v>
      </c>
      <c r="D69">
        <v>4.8093859999999999</v>
      </c>
      <c r="E69">
        <v>0</v>
      </c>
      <c r="F69">
        <v>0</v>
      </c>
      <c r="G69">
        <v>0</v>
      </c>
      <c r="H69">
        <v>0</v>
      </c>
      <c r="I69">
        <v>0</v>
      </c>
      <c r="J69">
        <v>25.766307000000001</v>
      </c>
      <c r="K69">
        <v>0</v>
      </c>
      <c r="L69">
        <v>0</v>
      </c>
      <c r="M69">
        <v>0</v>
      </c>
      <c r="N69">
        <v>0</v>
      </c>
      <c r="O69">
        <v>52.555005999999999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5.0953020000000002</v>
      </c>
      <c r="AA69">
        <v>0</v>
      </c>
      <c r="AB69">
        <v>29.773361000000001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33.877184</v>
      </c>
      <c r="AM69">
        <v>0</v>
      </c>
      <c r="AN69">
        <v>68.444958999999997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00B050"/>
  </sheetPr>
  <dimension ref="A1:BQ6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O3" sqref="BO3:BQ69"/>
    </sheetView>
  </sheetViews>
  <sheetFormatPr defaultRowHeight="15" x14ac:dyDescent="0.25"/>
  <cols>
    <col min="1" max="1" width="9.7109375" style="6" customWidth="1"/>
    <col min="2" max="2" width="8.7109375" style="6"/>
    <col min="3" max="62" width="9.5703125" customWidth="1"/>
  </cols>
  <sheetData>
    <row r="1" spans="1:69" x14ac:dyDescent="0.25">
      <c r="A1" s="5">
        <v>3</v>
      </c>
      <c r="B1" s="5"/>
      <c r="C1" s="5">
        <f>IF(VLOOKUP(C2,Arterial_Zone_Link_Mapping!$A:$C,3,FALSE)&lt;&gt;"",VLOOKUP(C2,Arterial_Zone_Link_Mapping!$A:$C,3,FALSE),"")</f>
        <v>236</v>
      </c>
      <c r="D1" s="5">
        <f>IF(VLOOKUP(D2,Arterial_Zone_Link_Mapping!$A:$C,3,FALSE)&lt;&gt;"",VLOOKUP(D2,Arterial_Zone_Link_Mapping!$A:$C,3,FALSE),"")</f>
        <v>168</v>
      </c>
      <c r="E1" s="5">
        <f>IF(VLOOKUP(E2,Arterial_Zone_Link_Mapping!$A:$C,3,FALSE)&lt;&gt;"",VLOOKUP(E2,Arterial_Zone_Link_Mapping!$A:$C,3,FALSE),"")</f>
        <v>492</v>
      </c>
      <c r="F1" s="5">
        <f>IF(VLOOKUP(F2,Arterial_Zone_Link_Mapping!$A:$C,3,FALSE)&lt;&gt;"",VLOOKUP(F2,Arterial_Zone_Link_Mapping!$A:$C,3,FALSE),"")</f>
        <v>85</v>
      </c>
      <c r="G1" s="5">
        <f>IF(VLOOKUP(G2,Arterial_Zone_Link_Mapping!$A:$C,3,FALSE)&lt;&gt;"",VLOOKUP(G2,Arterial_Zone_Link_Mapping!$A:$C,3,FALSE),"")</f>
        <v>287</v>
      </c>
      <c r="H1" s="5">
        <f>IF(VLOOKUP(H2,Arterial_Zone_Link_Mapping!$A:$C,3,FALSE)&lt;&gt;"",VLOOKUP(H2,Arterial_Zone_Link_Mapping!$A:$C,3,FALSE),"")</f>
        <v>28280129</v>
      </c>
      <c r="I1" s="5">
        <f>IF(VLOOKUP(I2,Arterial_Zone_Link_Mapping!$A:$C,3,FALSE)&lt;&gt;"",VLOOKUP(I2,Arterial_Zone_Link_Mapping!$A:$C,3,FALSE),"")</f>
        <v>28280096</v>
      </c>
      <c r="J1" s="5">
        <f>IF(VLOOKUP(J2,Arterial_Zone_Link_Mapping!$A:$C,3,FALSE)&lt;&gt;"",VLOOKUP(J2,Arterial_Zone_Link_Mapping!$A:$C,3,FALSE),"")</f>
        <v>145</v>
      </c>
      <c r="K1" s="5">
        <f>IF(VLOOKUP(K2,Arterial_Zone_Link_Mapping!$A:$C,3,FALSE)&lt;&gt;"",VLOOKUP(K2,Arterial_Zone_Link_Mapping!$A:$C,3,FALSE),"")</f>
        <v>1</v>
      </c>
      <c r="L1" s="5">
        <f>IF(VLOOKUP(L2,Arterial_Zone_Link_Mapping!$A:$C,3,FALSE)&lt;&gt;"",VLOOKUP(L2,Arterial_Zone_Link_Mapping!$A:$C,3,FALSE),"")</f>
        <v>7</v>
      </c>
      <c r="M1" s="5">
        <f>IF(VLOOKUP(M2,Arterial_Zone_Link_Mapping!$A:$C,3,FALSE)&lt;&gt;"",VLOOKUP(M2,Arterial_Zone_Link_Mapping!$A:$C,3,FALSE),"")</f>
        <v>87</v>
      </c>
      <c r="N1" s="5">
        <f>IF(VLOOKUP(N2,Arterial_Zone_Link_Mapping!$A:$C,3,FALSE)&lt;&gt;"",VLOOKUP(N2,Arterial_Zone_Link_Mapping!$A:$C,3,FALSE),"")</f>
        <v>478</v>
      </c>
      <c r="O1" s="5">
        <f>IF(VLOOKUP(O2,Arterial_Zone_Link_Mapping!$A:$C,3,FALSE)&lt;&gt;"",VLOOKUP(O2,Arterial_Zone_Link_Mapping!$A:$C,3,FALSE),"")</f>
        <v>162</v>
      </c>
      <c r="P1" s="5">
        <f>IF(VLOOKUP(P2,Arterial_Zone_Link_Mapping!$A:$C,3,FALSE)&lt;&gt;"",VLOOKUP(P2,Arterial_Zone_Link_Mapping!$A:$C,3,FALSE),"")</f>
        <v>27</v>
      </c>
      <c r="Q1" s="5">
        <f>IF(VLOOKUP(Q2,Arterial_Zone_Link_Mapping!$A:$C,3,FALSE)&lt;&gt;"",VLOOKUP(Q2,Arterial_Zone_Link_Mapping!$A:$C,3,FALSE),"")</f>
        <v>262</v>
      </c>
      <c r="R1" s="5">
        <f>IF(VLOOKUP(R2,Arterial_Zone_Link_Mapping!$A:$C,3,FALSE)&lt;&gt;"",VLOOKUP(R2,Arterial_Zone_Link_Mapping!$A:$C,3,FALSE),"")</f>
        <v>206</v>
      </c>
      <c r="S1" s="5">
        <f>IF(VLOOKUP(S2,Arterial_Zone_Link_Mapping!$A:$C,3,FALSE)&lt;&gt;"",VLOOKUP(S2,Arterial_Zone_Link_Mapping!$A:$C,3,FALSE),"")</f>
        <v>21070001</v>
      </c>
      <c r="T1" s="5">
        <f>IF(VLOOKUP(T2,Arterial_Zone_Link_Mapping!$A:$C,3,FALSE)&lt;&gt;"",VLOOKUP(T2,Arterial_Zone_Link_Mapping!$A:$C,3,FALSE),"")</f>
        <v>207</v>
      </c>
      <c r="U1" s="5">
        <f>IF(VLOOKUP(U2,Arterial_Zone_Link_Mapping!$A:$C,3,FALSE)&lt;&gt;"",VLOOKUP(U2,Arterial_Zone_Link_Mapping!$A:$C,3,FALSE),"")</f>
        <v>290</v>
      </c>
      <c r="V1" s="5">
        <f>IF(VLOOKUP(V2,Arterial_Zone_Link_Mapping!$A:$C,3,FALSE)&lt;&gt;"",VLOOKUP(V2,Arterial_Zone_Link_Mapping!$A:$C,3,FALSE),"")</f>
        <v>20015</v>
      </c>
      <c r="W1" s="5">
        <f>IF(VLOOKUP(W2,Arterial_Zone_Link_Mapping!$A:$C,3,FALSE)&lt;&gt;"",VLOOKUP(W2,Arterial_Zone_Link_Mapping!$A:$C,3,FALSE),"")</f>
        <v>513</v>
      </c>
      <c r="X1" s="5">
        <f>IF(VLOOKUP(X2,Arterial_Zone_Link_Mapping!$A:$C,3,FALSE)&lt;&gt;"",VLOOKUP(X2,Arterial_Zone_Link_Mapping!$A:$C,3,FALSE),"")</f>
        <v>20019</v>
      </c>
      <c r="Y1" s="5">
        <f>IF(VLOOKUP(Y2,Arterial_Zone_Link_Mapping!$A:$C,3,FALSE)&lt;&gt;"",VLOOKUP(Y2,Arterial_Zone_Link_Mapping!$A:$C,3,FALSE),"")</f>
        <v>487</v>
      </c>
      <c r="Z1" s="5">
        <f>IF(VLOOKUP(Z2,Arterial_Zone_Link_Mapping!$A:$C,3,FALSE)&lt;&gt;"",VLOOKUP(Z2,Arterial_Zone_Link_Mapping!$A:$C,3,FALSE),"")</f>
        <v>221</v>
      </c>
      <c r="AA1" s="5">
        <f>IF(VLOOKUP(AA2,Arterial_Zone_Link_Mapping!$A:$C,3,FALSE)&lt;&gt;"",VLOOKUP(AA2,Arterial_Zone_Link_Mapping!$A:$C,3,FALSE),"")</f>
        <v>295</v>
      </c>
      <c r="AB1" s="5">
        <f>IF(VLOOKUP(AB2,Arterial_Zone_Link_Mapping!$A:$C,3,FALSE)&lt;&gt;"",VLOOKUP(AB2,Arterial_Zone_Link_Mapping!$A:$C,3,FALSE),"")</f>
        <v>226</v>
      </c>
      <c r="AC1" s="5">
        <f>IF(VLOOKUP(AC2,Arterial_Zone_Link_Mapping!$A:$C,3,FALSE)&lt;&gt;"",VLOOKUP(AC2,Arterial_Zone_Link_Mapping!$A:$C,3,FALSE),"")</f>
        <v>83</v>
      </c>
      <c r="AD1" s="5">
        <f>IF(VLOOKUP(AD2,Arterial_Zone_Link_Mapping!$A:$C,3,FALSE)&lt;&gt;"",VLOOKUP(AD2,Arterial_Zone_Link_Mapping!$A:$C,3,FALSE),"")</f>
        <v>475</v>
      </c>
      <c r="AE1" s="5">
        <f>IF(VLOOKUP(AE2,Arterial_Zone_Link_Mapping!$A:$C,3,FALSE)&lt;&gt;"",VLOOKUP(AE2,Arterial_Zone_Link_Mapping!$A:$C,3,FALSE),"")</f>
        <v>105920472</v>
      </c>
      <c r="AF1" s="5">
        <f>IF(VLOOKUP(AF2,Arterial_Zone_Link_Mapping!$A:$C,3,FALSE)&lt;&gt;"",VLOOKUP(AF2,Arterial_Zone_Link_Mapping!$A:$C,3,FALSE),"")</f>
        <v>183</v>
      </c>
      <c r="AG1" s="5">
        <f>IF(VLOOKUP(AG2,Arterial_Zone_Link_Mapping!$A:$C,3,FALSE)&lt;&gt;"",VLOOKUP(AG2,Arterial_Zone_Link_Mapping!$A:$C,3,FALSE),"")</f>
        <v>191</v>
      </c>
      <c r="AH1" s="5" t="str">
        <f>IF(VLOOKUP(AH2,Arterial_Zone_Link_Mapping!$A:$C,3,FALSE)&lt;&gt;"",VLOOKUP(AH2,Arterial_Zone_Link_Mapping!$A:$C,3,FALSE),"")</f>
        <v/>
      </c>
      <c r="AI1" s="5" t="str">
        <f>IF(VLOOKUP(AI2,Arterial_Zone_Link_Mapping!$A:$C,3,FALSE)&lt;&gt;"",VLOOKUP(AI2,Arterial_Zone_Link_Mapping!$A:$C,3,FALSE),"")</f>
        <v/>
      </c>
      <c r="AJ1" s="5">
        <f>IF(VLOOKUP(AJ2,Arterial_Zone_Link_Mapping!$A:$C,3,FALSE)&lt;&gt;"",VLOOKUP(AJ2,Arterial_Zone_Link_Mapping!$A:$C,3,FALSE),"")</f>
        <v>214</v>
      </c>
      <c r="AK1" s="5" t="str">
        <f>IF(VLOOKUP(AK2,Arterial_Zone_Link_Mapping!$A:$C,3,FALSE)&lt;&gt;"",VLOOKUP(AK2,Arterial_Zone_Link_Mapping!$A:$C,3,FALSE),"")</f>
        <v/>
      </c>
      <c r="AL1" s="5">
        <f>IF(VLOOKUP(AL2,Arterial_Zone_Link_Mapping!$A:$C,3,FALSE)&lt;&gt;"",VLOOKUP(AL2,Arterial_Zone_Link_Mapping!$A:$C,3,FALSE),"")</f>
        <v>179</v>
      </c>
      <c r="AM1" s="5" t="str">
        <f>IF(VLOOKUP(AM2,Arterial_Zone_Link_Mapping!$A:$C,3,FALSE)&lt;&gt;"",VLOOKUP(AM2,Arterial_Zone_Link_Mapping!$A:$C,3,FALSE),"")</f>
        <v/>
      </c>
      <c r="AN1" s="5">
        <f>IF(VLOOKUP(AN2,Arterial_Zone_Link_Mapping!$A:$C,3,FALSE)&lt;&gt;"",VLOOKUP(AN2,Arterial_Zone_Link_Mapping!$A:$C,3,FALSE),"")</f>
        <v>105920110</v>
      </c>
      <c r="AO1" s="5">
        <f>IF(VLOOKUP(AO2,Arterial_Zone_Link_Mapping!$A:$C,3,FALSE)&lt;&gt;"",VLOOKUP(AO2,Arterial_Zone_Link_Mapping!$A:$C,3,FALSE),"")</f>
        <v>196</v>
      </c>
      <c r="AP1" s="5" t="str">
        <f>IF(VLOOKUP(AP2,Arterial_Zone_Link_Mapping!$A:$C,3,FALSE)&lt;&gt;"",VLOOKUP(AP2,Arterial_Zone_Link_Mapping!$A:$C,3,FALSE),"")</f>
        <v/>
      </c>
      <c r="AQ1" s="5" t="str">
        <f>IF(VLOOKUP(AQ2,Arterial_Zone_Link_Mapping!$A:$C,3,FALSE)&lt;&gt;"",VLOOKUP(AQ2,Arterial_Zone_Link_Mapping!$A:$C,3,FALSE),"")</f>
        <v/>
      </c>
      <c r="AR1" s="5" t="str">
        <f>IF(VLOOKUP(AR2,Arterial_Zone_Link_Mapping!$A:$C,3,FALSE)&lt;&gt;"",VLOOKUP(AR2,Arterial_Zone_Link_Mapping!$A:$C,3,FALSE),"")</f>
        <v/>
      </c>
      <c r="AS1" s="5">
        <f>IF(VLOOKUP(AS2,Arterial_Zone_Link_Mapping!$A:$C,3,FALSE)&lt;&gt;"",VLOOKUP(AS2,Arterial_Zone_Link_Mapping!$A:$C,3,FALSE),"")</f>
        <v>500</v>
      </c>
      <c r="AT1" s="5" t="str">
        <f>IF(VLOOKUP(AT2,Arterial_Zone_Link_Mapping!$A:$C,3,FALSE)&lt;&gt;"",VLOOKUP(AT2,Arterial_Zone_Link_Mapping!$A:$C,3,FALSE),"")</f>
        <v/>
      </c>
      <c r="AU1" s="5">
        <f>IF(VLOOKUP(AU2,Arterial_Zone_Link_Mapping!$A:$C,3,FALSE)&lt;&gt;"",VLOOKUP(AU2,Arterial_Zone_Link_Mapping!$A:$C,3,FALSE),"")</f>
        <v>398</v>
      </c>
      <c r="AV1" s="5" t="str">
        <f>IF(VLOOKUP(AV2,Arterial_Zone_Link_Mapping!$A:$C,3,FALSE)&lt;&gt;"",VLOOKUP(AV2,Arterial_Zone_Link_Mapping!$A:$C,3,FALSE),"")</f>
        <v/>
      </c>
      <c r="AW1" s="5" t="str">
        <f>IF(VLOOKUP(AW2,Arterial_Zone_Link_Mapping!$A:$C,3,FALSE)&lt;&gt;"",VLOOKUP(AW2,Arterial_Zone_Link_Mapping!$A:$C,3,FALSE),"")</f>
        <v/>
      </c>
      <c r="AX1" s="5">
        <f>IF(VLOOKUP(AX2,Arterial_Zone_Link_Mapping!$A:$C,3,FALSE)&lt;&gt;"",VLOOKUP(AX2,Arterial_Zone_Link_Mapping!$A:$C,3,FALSE),"")</f>
        <v>384</v>
      </c>
      <c r="AY1" s="5" t="str">
        <f>IF(VLOOKUP(AY2,Arterial_Zone_Link_Mapping!$A:$C,3,FALSE)&lt;&gt;"",VLOOKUP(AY2,Arterial_Zone_Link_Mapping!$A:$C,3,FALSE),"")</f>
        <v/>
      </c>
      <c r="AZ1" s="5">
        <f>IF(VLOOKUP(AZ2,Arterial_Zone_Link_Mapping!$A:$C,3,FALSE)&lt;&gt;"",VLOOKUP(AZ2,Arterial_Zone_Link_Mapping!$A:$C,3,FALSE),"")</f>
        <v>105920001</v>
      </c>
      <c r="BA1" s="5" t="str">
        <f>IF(VLOOKUP(BA2,Arterial_Zone_Link_Mapping!$A:$C,3,FALSE)&lt;&gt;"",VLOOKUP(BA2,Arterial_Zone_Link_Mapping!$A:$C,3,FALSE),"")</f>
        <v/>
      </c>
      <c r="BB1" s="5">
        <f>IF(VLOOKUP(BB2,Arterial_Zone_Link_Mapping!$A:$C,3,FALSE)&lt;&gt;"",VLOOKUP(BB2,Arterial_Zone_Link_Mapping!$A:$C,3,FALSE),"")</f>
        <v>28280066</v>
      </c>
      <c r="BC1" s="5" t="str">
        <f>IF(VLOOKUP(BC2,Arterial_Zone_Link_Mapping!$A:$C,3,FALSE)&lt;&gt;"",VLOOKUP(BC2,Arterial_Zone_Link_Mapping!$A:$C,3,FALSE),"")</f>
        <v/>
      </c>
      <c r="BD1" s="5" t="str">
        <f>IF(VLOOKUP(BD2,Arterial_Zone_Link_Mapping!$A:$C,3,FALSE)&lt;&gt;"",VLOOKUP(BD2,Arterial_Zone_Link_Mapping!$A:$C,3,FALSE),"")</f>
        <v/>
      </c>
      <c r="BE1" s="5">
        <f>IF(VLOOKUP(BE2,Arterial_Zone_Link_Mapping!$A:$C,3,FALSE)&lt;&gt;"",VLOOKUP(BE2,Arterial_Zone_Link_Mapping!$A:$C,3,FALSE),"")</f>
        <v>304</v>
      </c>
      <c r="BF1" s="5" t="str">
        <f>IF(VLOOKUP(BF2,Arterial_Zone_Link_Mapping!$A:$C,3,FALSE)&lt;&gt;"",VLOOKUP(BF2,Arterial_Zone_Link_Mapping!$A:$C,3,FALSE),"")</f>
        <v/>
      </c>
      <c r="BG1" s="5">
        <f>IF(VLOOKUP(BG2,Arterial_Zone_Link_Mapping!$A:$C,3,FALSE)&lt;&gt;"",VLOOKUP(BG2,Arterial_Zone_Link_Mapping!$A:$C,3,FALSE),"")</f>
        <v>28240364</v>
      </c>
      <c r="BH1" s="5">
        <f>IF(VLOOKUP(BH2,Arterial_Zone_Link_Mapping!$A:$C,3,FALSE)&lt;&gt;"",VLOOKUP(BH2,Arterial_Zone_Link_Mapping!$A:$C,3,FALSE),"")</f>
        <v>459</v>
      </c>
      <c r="BI1" s="5" t="str">
        <f>IF(VLOOKUP(BI2,Arterial_Zone_Link_Mapping!$A:$C,3,FALSE)&lt;&gt;"",VLOOKUP(BI2,Arterial_Zone_Link_Mapping!$A:$C,3,FALSE),"")</f>
        <v/>
      </c>
      <c r="BJ1" s="5">
        <f>IF(VLOOKUP(BJ2,Arterial_Zone_Link_Mapping!$A:$C,3,FALSE)&lt;&gt;"",VLOOKUP(BJ2,Arterial_Zone_Link_Mapping!$A:$C,3,FALSE),"")</f>
        <v>313</v>
      </c>
      <c r="BK1" s="5">
        <f>IF(VLOOKUP(BK2,Arterial_Zone_Link_Mapping!$A:$C,3,FALSE)&lt;&gt;"",VLOOKUP(BK2,Arterial_Zone_Link_Mapping!$A:$C,3,FALSE),"")</f>
        <v>131</v>
      </c>
      <c r="BL1" s="5">
        <f>IF(VLOOKUP(BL2,Arterial_Zone_Link_Mapping!$A:$C,3,FALSE)&lt;&gt;"",VLOOKUP(BL2,Arterial_Zone_Link_Mapping!$A:$C,3,FALSE),"")</f>
        <v>46</v>
      </c>
      <c r="BM1" s="5">
        <f>IF(VLOOKUP(BM2,Arterial_Zone_Link_Mapping!$A:$C,3,FALSE)&lt;&gt;"",VLOOKUP(BM2,Arterial_Zone_Link_Mapping!$A:$C,3,FALSE),"")</f>
        <v>311</v>
      </c>
      <c r="BN1" s="5">
        <f>IF(VLOOKUP(BN2,Arterial_Zone_Link_Mapping!$A:$C,3,FALSE)&lt;&gt;"",VLOOKUP(BN2,Arterial_Zone_Link_Mapping!$A:$C,3,FALSE),"")</f>
        <v>355</v>
      </c>
      <c r="BO1" s="5">
        <f>IF(VLOOKUP(BO2,Arterial_Zone_Link_Mapping!$A:$C,3,FALSE)&lt;&gt;"",VLOOKUP(BO2,Arterial_Zone_Link_Mapping!$A:$C,3,FALSE),"")</f>
        <v>235</v>
      </c>
      <c r="BP1" s="5">
        <f>IF(VLOOKUP(BP2,Arterial_Zone_Link_Mapping!$A:$C,3,FALSE)&lt;&gt;"",VLOOKUP(BP2,Arterial_Zone_Link_Mapping!$A:$C,3,FALSE),"")</f>
        <v>432</v>
      </c>
      <c r="BQ1" s="5">
        <f>IF(VLOOKUP(BQ2,Arterial_Zone_Link_Mapping!$A:$C,3,FALSE)&lt;&gt;"",VLOOKUP(BQ2,Arterial_Zone_Link_Mapping!$A:$C,3,FALSE),"")</f>
        <v>430</v>
      </c>
    </row>
    <row r="2" spans="1:69" x14ac:dyDescent="0.25">
      <c r="A2" s="5"/>
      <c r="B2" s="5"/>
      <c r="C2" s="5">
        <v>2</v>
      </c>
      <c r="D2" s="5">
        <v>8</v>
      </c>
      <c r="E2" s="5">
        <v>10</v>
      </c>
      <c r="F2" s="5">
        <v>11</v>
      </c>
      <c r="G2" s="5">
        <v>16</v>
      </c>
      <c r="H2" s="5">
        <v>17</v>
      </c>
      <c r="I2" s="5">
        <v>18</v>
      </c>
      <c r="J2" s="5">
        <v>20</v>
      </c>
      <c r="K2" s="5">
        <v>21</v>
      </c>
      <c r="L2" s="5">
        <v>22</v>
      </c>
      <c r="M2" s="5">
        <v>23</v>
      </c>
      <c r="N2" s="5">
        <v>25</v>
      </c>
      <c r="O2" s="5">
        <v>26</v>
      </c>
      <c r="P2" s="5">
        <v>27</v>
      </c>
      <c r="Q2" s="5">
        <v>34</v>
      </c>
      <c r="R2" s="5">
        <v>38</v>
      </c>
      <c r="S2" s="5">
        <v>39</v>
      </c>
      <c r="T2" s="5">
        <v>40</v>
      </c>
      <c r="U2" s="5">
        <v>41</v>
      </c>
      <c r="V2" s="5">
        <v>42</v>
      </c>
      <c r="W2" s="5">
        <v>43</v>
      </c>
      <c r="X2" s="5">
        <v>44</v>
      </c>
      <c r="Y2" s="5">
        <v>46</v>
      </c>
      <c r="Z2" s="5">
        <v>47</v>
      </c>
      <c r="AA2" s="5">
        <v>49</v>
      </c>
      <c r="AB2" s="5">
        <v>50</v>
      </c>
      <c r="AC2" s="5">
        <v>51</v>
      </c>
      <c r="AD2" s="5">
        <v>52</v>
      </c>
      <c r="AE2" s="5">
        <v>53</v>
      </c>
      <c r="AF2" s="5">
        <v>54</v>
      </c>
      <c r="AG2" s="5">
        <v>55</v>
      </c>
      <c r="AH2" s="5">
        <v>56</v>
      </c>
      <c r="AI2" s="5">
        <v>57</v>
      </c>
      <c r="AJ2" s="5">
        <v>58</v>
      </c>
      <c r="AK2" s="5">
        <v>59</v>
      </c>
      <c r="AL2" s="5">
        <v>60</v>
      </c>
      <c r="AM2" s="5">
        <v>61</v>
      </c>
      <c r="AN2" s="5">
        <v>62</v>
      </c>
      <c r="AO2" s="5">
        <v>63</v>
      </c>
      <c r="AP2" s="5">
        <v>64</v>
      </c>
      <c r="AQ2" s="5">
        <v>65</v>
      </c>
      <c r="AR2" s="5">
        <v>66</v>
      </c>
      <c r="AS2" s="5">
        <v>67</v>
      </c>
      <c r="AT2" s="5">
        <v>68</v>
      </c>
      <c r="AU2" s="5">
        <v>69</v>
      </c>
      <c r="AV2" s="5">
        <v>70</v>
      </c>
      <c r="AW2" s="5">
        <v>71</v>
      </c>
      <c r="AX2" s="5">
        <v>72</v>
      </c>
      <c r="AY2" s="5">
        <v>73</v>
      </c>
      <c r="AZ2" s="5">
        <v>74</v>
      </c>
      <c r="BA2" s="5">
        <v>75</v>
      </c>
      <c r="BB2" s="5">
        <v>76</v>
      </c>
      <c r="BC2" s="5">
        <v>77</v>
      </c>
      <c r="BD2" s="5">
        <v>78</v>
      </c>
      <c r="BE2" s="5">
        <v>79</v>
      </c>
      <c r="BF2" s="5">
        <v>80</v>
      </c>
      <c r="BG2" s="5">
        <v>81</v>
      </c>
      <c r="BH2" s="5">
        <v>82</v>
      </c>
      <c r="BI2" s="5">
        <v>83</v>
      </c>
      <c r="BJ2" s="5">
        <v>84</v>
      </c>
      <c r="BK2" s="5">
        <v>85</v>
      </c>
      <c r="BL2" s="5">
        <v>86</v>
      </c>
      <c r="BM2" s="5">
        <v>87</v>
      </c>
      <c r="BN2" s="5">
        <v>88</v>
      </c>
      <c r="BO2" s="5">
        <v>89</v>
      </c>
      <c r="BP2" s="5">
        <v>90</v>
      </c>
      <c r="BQ2" s="5">
        <v>91</v>
      </c>
    </row>
    <row r="3" spans="1:69" x14ac:dyDescent="0.25">
      <c r="A3" s="5">
        <f>IF(VLOOKUP(B3,Arterial_Zone_Link_Mapping!$A:$C,2,FALSE)&lt;&gt;"",VLOOKUP(B3,Arterial_Zone_Link_Mapping!$A:$C,2,FALSE),"")</f>
        <v>129</v>
      </c>
      <c r="B3" s="5">
        <v>2</v>
      </c>
      <c r="C3">
        <f>IF(AND(COUNTIF(Control!$E$20:$E$100,$B3)=0,COUNTIF(Control!$E$20:$E$100,C$2)=0),VISUM_Arterial_OD!C3*Control!$B$3,0)</f>
        <v>0</v>
      </c>
      <c r="D3">
        <f>IF(AND(COUNTIF(Control!$E$20:$E$100,$B3)=0,COUNTIF(Control!$E$20:$E$100,D$2)=0),VISUM_Arterial_OD!D3*Control!$B$3,0)</f>
        <v>0.26528751</v>
      </c>
      <c r="E3">
        <f>IF(AND(COUNTIF(Control!$E$20:$E$100,$B3)=0,COUNTIF(Control!$E$20:$E$100,E$2)=0),VISUM_Arterial_OD!E3*Control!$B$3,0)</f>
        <v>0</v>
      </c>
      <c r="F3">
        <f>IF(AND(COUNTIF(Control!$E$20:$E$100,$B3)=0,COUNTIF(Control!$E$20:$E$100,F$2)=0),VISUM_Arterial_OD!F3*Control!$B$3,0)</f>
        <v>0</v>
      </c>
      <c r="G3">
        <f>IF(AND(COUNTIF(Control!$E$20:$E$100,$B3)=0,COUNTIF(Control!$E$20:$E$100,G$2)=0),VISUM_Arterial_OD!G3*Control!$B$3,0)</f>
        <v>0</v>
      </c>
      <c r="H3">
        <f>IF(AND(COUNTIF(Control!$E$20:$E$100,$B3)=0,COUNTIF(Control!$E$20:$E$100,H$2)=0),VISUM_Arterial_OD!H3*Control!$B$3,0)</f>
        <v>0</v>
      </c>
      <c r="I3">
        <f>IF(AND(COUNTIF(Control!$E$20:$E$100,$B3)=0,COUNTIF(Control!$E$20:$E$100,I$2)=0),VISUM_Arterial_OD!I3*Control!$B$3,0)</f>
        <v>0</v>
      </c>
      <c r="J3">
        <f>IF(AND(COUNTIF(Control!$E$20:$E$100,$B3)=0,COUNTIF(Control!$E$20:$E$100,J$2)=0),VISUM_Arterial_OD!J3*Control!$B$3,0)</f>
        <v>1.4212791599999999</v>
      </c>
      <c r="K3">
        <f>IF(AND(COUNTIF(Control!$E$20:$E$100,$B3)=0,COUNTIF(Control!$E$20:$E$100,K$2)=0),VISUM_Arterial_OD!K3*Control!$B$3,0)</f>
        <v>0.21932543999999998</v>
      </c>
      <c r="L3">
        <f>IF(AND(COUNTIF(Control!$E$20:$E$100,$B3)=0,COUNTIF(Control!$E$20:$E$100,L$2)=0),VISUM_Arterial_OD!L3*Control!$B$3,0)</f>
        <v>1.1709166799999999</v>
      </c>
      <c r="M3">
        <f>IF(AND(COUNTIF(Control!$E$20:$E$100,$B3)=0,COUNTIF(Control!$E$20:$E$100,M$2)=0),VISUM_Arterial_OD!M3*Control!$B$3,0)</f>
        <v>0</v>
      </c>
      <c r="N3">
        <f>IF(AND(COUNTIF(Control!$E$20:$E$100,$B3)=0,COUNTIF(Control!$E$20:$E$100,N$2)=0),VISUM_Arterial_OD!N3*Control!$B$3,0)</f>
        <v>0</v>
      </c>
      <c r="O3">
        <f>IF(AND(COUNTIF(Control!$E$20:$E$100,$B3)=0,COUNTIF(Control!$E$20:$E$100,O$2)=0),VISUM_Arterial_OD!O3*Control!$B$3,0)</f>
        <v>2.8989537899999998</v>
      </c>
      <c r="P3">
        <f>IF(AND(COUNTIF(Control!$E$20:$E$100,$B3)=0,COUNTIF(Control!$E$20:$E$100,P$2)=0),VISUM_Arterial_OD!P3*Control!$B$3,0)</f>
        <v>0.27083322000000004</v>
      </c>
      <c r="Q3">
        <f>IF(AND(COUNTIF(Control!$E$20:$E$100,$B3)=0,COUNTIF(Control!$E$20:$E$100,Q$2)=0),VISUM_Arterial_OD!Q3*Control!$B$3,0)</f>
        <v>0</v>
      </c>
      <c r="R3">
        <f>IF(AND(COUNTIF(Control!$E$20:$E$100,$B3)=0,COUNTIF(Control!$E$20:$E$100,R$2)=0),VISUM_Arterial_OD!R3*Control!$B$3,0)</f>
        <v>0</v>
      </c>
      <c r="S3">
        <f>IF(AND(COUNTIF(Control!$E$20:$E$100,$B3)=0,COUNTIF(Control!$E$20:$E$100,S$2)=0),VISUM_Arterial_OD!S3*Control!$B$3,0)</f>
        <v>0.55743125999999998</v>
      </c>
      <c r="T3">
        <f>IF(AND(COUNTIF(Control!$E$20:$E$100,$B3)=0,COUNTIF(Control!$E$20:$E$100,T$2)=0),VISUM_Arterial_OD!T3*Control!$B$3,0)</f>
        <v>0</v>
      </c>
      <c r="U3">
        <f>IF(AND(COUNTIF(Control!$E$20:$E$100,$B3)=0,COUNTIF(Control!$E$20:$E$100,U$2)=0),VISUM_Arterial_OD!U3*Control!$B$3,0)</f>
        <v>0</v>
      </c>
      <c r="V3">
        <f>IF(AND(COUNTIF(Control!$E$20:$E$100,$B3)=0,COUNTIF(Control!$E$20:$E$100,V$2)=0),VISUM_Arterial_OD!V3*Control!$B$3,0)</f>
        <v>0</v>
      </c>
      <c r="W3">
        <f>IF(AND(COUNTIF(Control!$E$20:$E$100,$B3)=0,COUNTIF(Control!$E$20:$E$100,W$2)=0),VISUM_Arterial_OD!W3*Control!$B$3,0)</f>
        <v>0</v>
      </c>
      <c r="X3">
        <f>IF(AND(COUNTIF(Control!$E$20:$E$100,$B3)=0,COUNTIF(Control!$E$20:$E$100,X$2)=0),VISUM_Arterial_OD!X3*Control!$B$3,0)</f>
        <v>0</v>
      </c>
      <c r="Y3">
        <f>IF(AND(COUNTIF(Control!$E$20:$E$100,$B3)=0,COUNTIF(Control!$E$20:$E$100,Y$2)=0),VISUM_Arterial_OD!Y3*Control!$B$3,0)</f>
        <v>0</v>
      </c>
      <c r="Z3">
        <f>IF(AND(COUNTIF(Control!$E$20:$E$100,$B3)=0,COUNTIF(Control!$E$20:$E$100,Z$2)=0),VISUM_Arterial_OD!Z3*Control!$B$3,0)</f>
        <v>0.28105874999999997</v>
      </c>
      <c r="AA3">
        <f>IF(AND(COUNTIF(Control!$E$20:$E$100,$B3)=0,COUNTIF(Control!$E$20:$E$100,AA$2)=0),VISUM_Arterial_OD!AA3*Control!$B$3,0)</f>
        <v>0</v>
      </c>
      <c r="AB3">
        <f>IF(AND(COUNTIF(Control!$E$20:$E$100,$B3)=0,COUNTIF(Control!$E$20:$E$100,AB$2)=0),VISUM_Arterial_OD!AB3*Control!$B$3,0)</f>
        <v>1.64230977</v>
      </c>
      <c r="AC3">
        <f>IF(AND(COUNTIF(Control!$E$20:$E$100,$B3)=0,COUNTIF(Control!$E$20:$E$100,AC$2)=0),VISUM_Arterial_OD!AC3*Control!$B$3,0)</f>
        <v>0</v>
      </c>
      <c r="AD3">
        <f>IF(AND(COUNTIF(Control!$E$20:$E$100,$B3)=0,COUNTIF(Control!$E$20:$E$100,AD$2)=0),VISUM_Arterial_OD!AD3*Control!$B$3,0)</f>
        <v>0</v>
      </c>
      <c r="AE3">
        <f>IF(AND(COUNTIF(Control!$E$20:$E$100,$B3)=0,COUNTIF(Control!$E$20:$E$100,AE$2)=0),VISUM_Arterial_OD!AE3*Control!$B$3,0)</f>
        <v>0</v>
      </c>
      <c r="AF3">
        <f>IF(AND(COUNTIF(Control!$E$20:$E$100,$B3)=0,COUNTIF(Control!$E$20:$E$100,AF$2)=0),VISUM_Arterial_OD!AF3*Control!$B$3,0)</f>
        <v>0</v>
      </c>
      <c r="AG3">
        <f>IF(AND(COUNTIF(Control!$E$20:$E$100,$B3)=0,COUNTIF(Control!$E$20:$E$100,AG$2)=0),VISUM_Arterial_OD!AG3*Control!$B$3,0)</f>
        <v>0</v>
      </c>
      <c r="AH3">
        <f>IF(AND(COUNTIF(Control!$E$20:$E$100,$B3)=0,COUNTIF(Control!$E$20:$E$100,AH$2)=0),VISUM_Arterial_OD!AH3*Control!$B$3,0)</f>
        <v>0</v>
      </c>
      <c r="AI3">
        <f>IF(AND(COUNTIF(Control!$E$20:$E$100,$B3)=0,COUNTIF(Control!$E$20:$E$100,AI$2)=0),VISUM_Arterial_OD!AI3*Control!$B$3,0)</f>
        <v>0</v>
      </c>
      <c r="AJ3">
        <f>IF(AND(COUNTIF(Control!$E$20:$E$100,$B3)=0,COUNTIF(Control!$E$20:$E$100,AJ$2)=0),VISUM_Arterial_OD!AJ3*Control!$B$3,0)</f>
        <v>0</v>
      </c>
      <c r="AK3">
        <f>IF(AND(COUNTIF(Control!$E$20:$E$100,$B3)=0,COUNTIF(Control!$E$20:$E$100,AK$2)=0),VISUM_Arterial_OD!AK3*Control!$B$3,0)</f>
        <v>0</v>
      </c>
      <c r="AL3">
        <f>IF(AND(COUNTIF(Control!$E$20:$E$100,$B3)=0,COUNTIF(Control!$E$20:$E$100,AL$2)=0),VISUM_Arterial_OD!AL3*Control!$B$3,0)</f>
        <v>1.86867819</v>
      </c>
      <c r="AM3">
        <f>IF(AND(COUNTIF(Control!$E$20:$E$100,$B3)=0,COUNTIF(Control!$E$20:$E$100,AM$2)=0),VISUM_Arterial_OD!AM3*Control!$B$3,0)</f>
        <v>0</v>
      </c>
      <c r="AN3">
        <f>IF(AND(COUNTIF(Control!$E$20:$E$100,$B3)=0,COUNTIF(Control!$E$20:$E$100,AN$2)=0),VISUM_Arterial_OD!AN3*Control!$B$3,0)</f>
        <v>3.7754496299999998</v>
      </c>
      <c r="AO3">
        <f>IF(AND(COUNTIF(Control!$E$20:$E$100,$B3)=0,COUNTIF(Control!$E$20:$E$100,AO$2)=0),VISUM_Arterial_OD!AO3*Control!$B$3,0)</f>
        <v>0</v>
      </c>
      <c r="AP3">
        <f>IF(AND(COUNTIF(Control!$E$20:$E$100,$B3)=0,COUNTIF(Control!$E$20:$E$100,AP$2)=0),VISUM_Arterial_OD!AP3*Control!$B$3,0)</f>
        <v>0</v>
      </c>
      <c r="AQ3">
        <f>IF(AND(COUNTIF(Control!$E$20:$E$100,$B3)=0,COUNTIF(Control!$E$20:$E$100,AQ$2)=0),VISUM_Arterial_OD!AQ3*Control!$B$3,0)</f>
        <v>0</v>
      </c>
      <c r="AR3">
        <f>IF(AND(COUNTIF(Control!$E$20:$E$100,$B3)=0,COUNTIF(Control!$E$20:$E$100,AR$2)=0),VISUM_Arterial_OD!AR3*Control!$B$3,0)</f>
        <v>0</v>
      </c>
      <c r="AS3">
        <f>IF(AND(COUNTIF(Control!$E$20:$E$100,$B3)=0,COUNTIF(Control!$E$20:$E$100,AS$2)=0),VISUM_Arterial_OD!AS3*Control!$B$3,0)</f>
        <v>0</v>
      </c>
      <c r="AT3">
        <f>IF(AND(COUNTIF(Control!$E$20:$E$100,$B3)=0,COUNTIF(Control!$E$20:$E$100,AT$2)=0),VISUM_Arterial_OD!AT3*Control!$B$3,0)</f>
        <v>0</v>
      </c>
      <c r="AU3">
        <f>IF(AND(COUNTIF(Control!$E$20:$E$100,$B3)=0,COUNTIF(Control!$E$20:$E$100,AU$2)=0),VISUM_Arterial_OD!AU3*Control!$B$3,0)</f>
        <v>0</v>
      </c>
      <c r="AV3">
        <f>IF(AND(COUNTIF(Control!$E$20:$E$100,$B3)=0,COUNTIF(Control!$E$20:$E$100,AV$2)=0),VISUM_Arterial_OD!AV3*Control!$B$3,0)</f>
        <v>0</v>
      </c>
      <c r="AW3">
        <f>IF(AND(COUNTIF(Control!$E$20:$E$100,$B3)=0,COUNTIF(Control!$E$20:$E$100,AW$2)=0),VISUM_Arterial_OD!AW3*Control!$B$3,0)</f>
        <v>0</v>
      </c>
      <c r="AX3">
        <f>IF(AND(COUNTIF(Control!$E$20:$E$100,$B3)=0,COUNTIF(Control!$E$20:$E$100,AX$2)=0),VISUM_Arterial_OD!AX3*Control!$B$3,0)</f>
        <v>0.78144995999999989</v>
      </c>
      <c r="AY3">
        <f>IF(AND(COUNTIF(Control!$E$20:$E$100,$B3)=0,COUNTIF(Control!$E$20:$E$100,AY$2)=0),VISUM_Arterial_OD!AY3*Control!$B$3,0)</f>
        <v>0</v>
      </c>
      <c r="AZ3">
        <f>IF(AND(COUNTIF(Control!$E$20:$E$100,$B3)=0,COUNTIF(Control!$E$20:$E$100,AZ$2)=0),VISUM_Arterial_OD!AZ3*Control!$B$3,0)</f>
        <v>0</v>
      </c>
      <c r="BA3">
        <f>IF(AND(COUNTIF(Control!$E$20:$E$100,$B3)=0,COUNTIF(Control!$E$20:$E$100,BA$2)=0),VISUM_Arterial_OD!BA3*Control!$B$3,0)</f>
        <v>0</v>
      </c>
      <c r="BB3">
        <f>IF(AND(COUNTIF(Control!$E$20:$E$100,$B3)=0,COUNTIF(Control!$E$20:$E$100,BB$2)=0),VISUM_Arterial_OD!BB3*Control!$B$3,0)</f>
        <v>0</v>
      </c>
      <c r="BC3">
        <f>IF(AND(COUNTIF(Control!$E$20:$E$100,$B3)=0,COUNTIF(Control!$E$20:$E$100,BC$2)=0),VISUM_Arterial_OD!BC3*Control!$B$3,0)</f>
        <v>0</v>
      </c>
      <c r="BD3">
        <f>IF(AND(COUNTIF(Control!$E$20:$E$100,$B3)=0,COUNTIF(Control!$E$20:$E$100,BD$2)=0),VISUM_Arterial_OD!BD3*Control!$B$3,0)</f>
        <v>0</v>
      </c>
      <c r="BE3">
        <f>IF(AND(COUNTIF(Control!$E$20:$E$100,$B3)=0,COUNTIF(Control!$E$20:$E$100,BE$2)=0),VISUM_Arterial_OD!BE3*Control!$B$3,0)</f>
        <v>0</v>
      </c>
      <c r="BF3">
        <f>IF(AND(COUNTIF(Control!$E$20:$E$100,$B3)=0,COUNTIF(Control!$E$20:$E$100,BF$2)=0),VISUM_Arterial_OD!BF3*Control!$B$3,0)</f>
        <v>0</v>
      </c>
      <c r="BG3">
        <f>IF(AND(COUNTIF(Control!$E$20:$E$100,$B3)=0,COUNTIF(Control!$E$20:$E$100,BG$2)=0),VISUM_Arterial_OD!BG3*Control!$B$3,0)</f>
        <v>0</v>
      </c>
      <c r="BH3">
        <f>IF(AND(COUNTIF(Control!$E$20:$E$100,$B3)=0,COUNTIF(Control!$E$20:$E$100,BH$2)=0),VISUM_Arterial_OD!BH3*Control!$B$3,0)</f>
        <v>0</v>
      </c>
      <c r="BI3">
        <f>IF(AND(COUNTIF(Control!$E$20:$E$100,$B3)=0,COUNTIF(Control!$E$20:$E$100,BI$2)=0),VISUM_Arterial_OD!BI3*Control!$B$3,0)</f>
        <v>0</v>
      </c>
      <c r="BJ3">
        <f>IF(AND(COUNTIF(Control!$E$20:$E$100,$B3)=0,COUNTIF(Control!$E$20:$E$100,BJ$2)=0),VISUM_Arterial_OD!BJ3*Control!$B$3,0)</f>
        <v>0</v>
      </c>
      <c r="BK3">
        <f>IF(AND(COUNTIF(Control!$E$20:$E$100,$B3)=0,COUNTIF(Control!$E$20:$E$100,BK$2)=0),VISUM_Arterial_OD!BK3*Control!$B$3,0)</f>
        <v>0</v>
      </c>
      <c r="BL3">
        <f>IF(AND(COUNTIF(Control!$E$20:$E$100,$B3)=0,COUNTIF(Control!$E$20:$E$100,BL$2)=0),VISUM_Arterial_OD!BL3*Control!$B$3,0)</f>
        <v>0</v>
      </c>
      <c r="BM3">
        <f>IF(AND(COUNTIF(Control!$E$20:$E$100,$B3)=0,COUNTIF(Control!$E$20:$E$100,BM$2)=0),VISUM_Arterial_OD!BM3*Control!$B$3,0)</f>
        <v>0</v>
      </c>
      <c r="BN3">
        <f>IF(AND(COUNTIF(Control!$E$20:$E$100,$B3)=0,COUNTIF(Control!$E$20:$E$100,BN$2)=0),VISUM_Arterial_OD!BN3*Control!$B$3,0)</f>
        <v>0</v>
      </c>
      <c r="BO3">
        <f>IF(AND(COUNTIF(Control!$E$20:$E$100,$B3)=0,COUNTIF(Control!$E$20:$E$100,BO$2)=0),VISUM_Arterial_OD!BO3*Control!$B$3,0)</f>
        <v>4.1997521099999995</v>
      </c>
      <c r="BP3">
        <f>IF(AND(COUNTIF(Control!$E$20:$E$100,$B3)=0,COUNTIF(Control!$E$20:$E$100,BP$2)=0),VISUM_Arterial_OD!BP3*Control!$B$3,0)</f>
        <v>0</v>
      </c>
      <c r="BQ3">
        <f>IF(AND(COUNTIF(Control!$E$20:$E$100,$B3)=0,COUNTIF(Control!$E$20:$E$100,BQ$2)=0),VISUM_Arterial_OD!BQ3*Control!$B$3,0)</f>
        <v>0</v>
      </c>
    </row>
    <row r="4" spans="1:69" x14ac:dyDescent="0.25">
      <c r="A4" s="5">
        <f>IF(VLOOKUP(B4,Arterial_Zone_Link_Mapping!$A:$C,2,FALSE)&lt;&gt;"",VLOOKUP(B4,Arterial_Zone_Link_Mapping!$A:$C,2,FALSE),"")</f>
        <v>169</v>
      </c>
      <c r="B4" s="5">
        <v>8</v>
      </c>
      <c r="C4">
        <f>IF(AND(COUNTIF(Control!$E$20:$E$100,$B4)=0,COUNTIF(Control!$E$20:$E$100,C$2)=0),VISUM_Arterial_OD!C4*Control!$B$3,0)</f>
        <v>0.59881787999999991</v>
      </c>
      <c r="D4">
        <f>IF(AND(COUNTIF(Control!$E$20:$E$100,$B4)=0,COUNTIF(Control!$E$20:$E$100,D$2)=0),VISUM_Arterial_OD!D4*Control!$B$3,0)</f>
        <v>0</v>
      </c>
      <c r="E4">
        <f>IF(AND(COUNTIF(Control!$E$20:$E$100,$B4)=0,COUNTIF(Control!$E$20:$E$100,E$2)=0),VISUM_Arterial_OD!E4*Control!$B$3,0)</f>
        <v>0</v>
      </c>
      <c r="F4">
        <f>IF(AND(COUNTIF(Control!$E$20:$E$100,$B4)=0,COUNTIF(Control!$E$20:$E$100,F$2)=0),VISUM_Arterial_OD!F4*Control!$B$3,0)</f>
        <v>0</v>
      </c>
      <c r="G4">
        <f>IF(AND(COUNTIF(Control!$E$20:$E$100,$B4)=0,COUNTIF(Control!$E$20:$E$100,G$2)=0),VISUM_Arterial_OD!G4*Control!$B$3,0)</f>
        <v>0</v>
      </c>
      <c r="H4">
        <f>IF(AND(COUNTIF(Control!$E$20:$E$100,$B4)=0,COUNTIF(Control!$E$20:$E$100,H$2)=0),VISUM_Arterial_OD!H4*Control!$B$3,0)</f>
        <v>0</v>
      </c>
      <c r="I4">
        <f>IF(AND(COUNTIF(Control!$E$20:$E$100,$B4)=0,COUNTIF(Control!$E$20:$E$100,I$2)=0),VISUM_Arterial_OD!I4*Control!$B$3,0)</f>
        <v>0</v>
      </c>
      <c r="J4">
        <f>IF(AND(COUNTIF(Control!$E$20:$E$100,$B4)=0,COUNTIF(Control!$E$20:$E$100,J$2)=0),VISUM_Arterial_OD!J4*Control!$B$3,0)</f>
        <v>0</v>
      </c>
      <c r="K4">
        <f>IF(AND(COUNTIF(Control!$E$20:$E$100,$B4)=0,COUNTIF(Control!$E$20:$E$100,K$2)=0),VISUM_Arterial_OD!K4*Control!$B$3,0)</f>
        <v>0.23987504999999998</v>
      </c>
      <c r="L4">
        <f>IF(AND(COUNTIF(Control!$E$20:$E$100,$B4)=0,COUNTIF(Control!$E$20:$E$100,L$2)=0),VISUM_Arterial_OD!L4*Control!$B$3,0)</f>
        <v>0.96690260999999988</v>
      </c>
      <c r="M4">
        <f>IF(AND(COUNTIF(Control!$E$20:$E$100,$B4)=0,COUNTIF(Control!$E$20:$E$100,M$2)=0),VISUM_Arterial_OD!M4*Control!$B$3,0)</f>
        <v>0</v>
      </c>
      <c r="N4">
        <f>IF(AND(COUNTIF(Control!$E$20:$E$100,$B4)=0,COUNTIF(Control!$E$20:$E$100,N$2)=0),VISUM_Arterial_OD!N4*Control!$B$3,0)</f>
        <v>0</v>
      </c>
      <c r="O4">
        <f>IF(AND(COUNTIF(Control!$E$20:$E$100,$B4)=0,COUNTIF(Control!$E$20:$E$100,O$2)=0),VISUM_Arterial_OD!O4*Control!$B$3,0)</f>
        <v>3.4499698799999998</v>
      </c>
      <c r="P4">
        <f>IF(AND(COUNTIF(Control!$E$20:$E$100,$B4)=0,COUNTIF(Control!$E$20:$E$100,P$2)=0),VISUM_Arterial_OD!P4*Control!$B$3,0)</f>
        <v>0.24783216</v>
      </c>
      <c r="Q4">
        <f>IF(AND(COUNTIF(Control!$E$20:$E$100,$B4)=0,COUNTIF(Control!$E$20:$E$100,Q$2)=0),VISUM_Arterial_OD!Q4*Control!$B$3,0)</f>
        <v>0</v>
      </c>
      <c r="R4">
        <f>IF(AND(COUNTIF(Control!$E$20:$E$100,$B4)=0,COUNTIF(Control!$E$20:$E$100,R$2)=0),VISUM_Arterial_OD!R4*Control!$B$3,0)</f>
        <v>0</v>
      </c>
      <c r="S4">
        <f>IF(AND(COUNTIF(Control!$E$20:$E$100,$B4)=0,COUNTIF(Control!$E$20:$E$100,S$2)=0),VISUM_Arterial_OD!S4*Control!$B$3,0)</f>
        <v>0.42749700000000002</v>
      </c>
      <c r="T4">
        <f>IF(AND(COUNTIF(Control!$E$20:$E$100,$B4)=0,COUNTIF(Control!$E$20:$E$100,T$2)=0),VISUM_Arterial_OD!T4*Control!$B$3,0)</f>
        <v>0</v>
      </c>
      <c r="U4">
        <f>IF(AND(COUNTIF(Control!$E$20:$E$100,$B4)=0,COUNTIF(Control!$E$20:$E$100,U$2)=0),VISUM_Arterial_OD!U4*Control!$B$3,0)</f>
        <v>0</v>
      </c>
      <c r="V4">
        <f>IF(AND(COUNTIF(Control!$E$20:$E$100,$B4)=0,COUNTIF(Control!$E$20:$E$100,V$2)=0),VISUM_Arterial_OD!V4*Control!$B$3,0)</f>
        <v>0</v>
      </c>
      <c r="W4">
        <f>IF(AND(COUNTIF(Control!$E$20:$E$100,$B4)=0,COUNTIF(Control!$E$20:$E$100,W$2)=0),VISUM_Arterial_OD!W4*Control!$B$3,0)</f>
        <v>0</v>
      </c>
      <c r="X4">
        <f>IF(AND(COUNTIF(Control!$E$20:$E$100,$B4)=0,COUNTIF(Control!$E$20:$E$100,X$2)=0),VISUM_Arterial_OD!X4*Control!$B$3,0)</f>
        <v>0</v>
      </c>
      <c r="Y4">
        <f>IF(AND(COUNTIF(Control!$E$20:$E$100,$B4)=0,COUNTIF(Control!$E$20:$E$100,Y$2)=0),VISUM_Arterial_OD!Y4*Control!$B$3,0)</f>
        <v>0</v>
      </c>
      <c r="Z4">
        <f>IF(AND(COUNTIF(Control!$E$20:$E$100,$B4)=0,COUNTIF(Control!$E$20:$E$100,Z$2)=0),VISUM_Arterial_OD!Z4*Control!$B$3,0)</f>
        <v>0.85307144999999995</v>
      </c>
      <c r="AA4">
        <f>IF(AND(COUNTIF(Control!$E$20:$E$100,$B4)=0,COUNTIF(Control!$E$20:$E$100,AA$2)=0),VISUM_Arterial_OD!AA4*Control!$B$3,0)</f>
        <v>0</v>
      </c>
      <c r="AB4">
        <f>IF(AND(COUNTIF(Control!$E$20:$E$100,$B4)=0,COUNTIF(Control!$E$20:$E$100,AB$2)=0),VISUM_Arterial_OD!AB4*Control!$B$3,0)</f>
        <v>2.2066384799999996</v>
      </c>
      <c r="AC4">
        <f>IF(AND(COUNTIF(Control!$E$20:$E$100,$B4)=0,COUNTIF(Control!$E$20:$E$100,AC$2)=0),VISUM_Arterial_OD!AC4*Control!$B$3,0)</f>
        <v>0.16029884999999999</v>
      </c>
      <c r="AD4">
        <f>IF(AND(COUNTIF(Control!$E$20:$E$100,$B4)=0,COUNTIF(Control!$E$20:$E$100,AD$2)=0),VISUM_Arterial_OD!AD4*Control!$B$3,0)</f>
        <v>0</v>
      </c>
      <c r="AE4">
        <f>IF(AND(COUNTIF(Control!$E$20:$E$100,$B4)=0,COUNTIF(Control!$E$20:$E$100,AE$2)=0),VISUM_Arterial_OD!AE4*Control!$B$3,0)</f>
        <v>0</v>
      </c>
      <c r="AF4">
        <f>IF(AND(COUNTIF(Control!$E$20:$E$100,$B4)=0,COUNTIF(Control!$E$20:$E$100,AF$2)=0),VISUM_Arterial_OD!AF4*Control!$B$3,0)</f>
        <v>1.3140981300000001</v>
      </c>
      <c r="AG4">
        <f>IF(AND(COUNTIF(Control!$E$20:$E$100,$B4)=0,COUNTIF(Control!$E$20:$E$100,AG$2)=0),VISUM_Arterial_OD!AG4*Control!$B$3,0)</f>
        <v>0</v>
      </c>
      <c r="AH4">
        <f>IF(AND(COUNTIF(Control!$E$20:$E$100,$B4)=0,COUNTIF(Control!$E$20:$E$100,AH$2)=0),VISUM_Arterial_OD!AH4*Control!$B$3,0)</f>
        <v>0</v>
      </c>
      <c r="AI4">
        <f>IF(AND(COUNTIF(Control!$E$20:$E$100,$B4)=0,COUNTIF(Control!$E$20:$E$100,AI$2)=0),VISUM_Arterial_OD!AI4*Control!$B$3,0)</f>
        <v>0</v>
      </c>
      <c r="AJ4">
        <f>IF(AND(COUNTIF(Control!$E$20:$E$100,$B4)=0,COUNTIF(Control!$E$20:$E$100,AJ$2)=0),VISUM_Arterial_OD!AJ4*Control!$B$3,0)</f>
        <v>1.99509366</v>
      </c>
      <c r="AK4">
        <f>IF(AND(COUNTIF(Control!$E$20:$E$100,$B4)=0,COUNTIF(Control!$E$20:$E$100,AK$2)=0),VISUM_Arterial_OD!AK4*Control!$B$3,0)</f>
        <v>0</v>
      </c>
      <c r="AL4">
        <f>IF(AND(COUNTIF(Control!$E$20:$E$100,$B4)=0,COUNTIF(Control!$E$20:$E$100,AL$2)=0),VISUM_Arterial_OD!AL4*Control!$B$3,0)</f>
        <v>0</v>
      </c>
      <c r="AM4">
        <f>IF(AND(COUNTIF(Control!$E$20:$E$100,$B4)=0,COUNTIF(Control!$E$20:$E$100,AM$2)=0),VISUM_Arterial_OD!AM4*Control!$B$3,0)</f>
        <v>0</v>
      </c>
      <c r="AN4">
        <f>IF(AND(COUNTIF(Control!$E$20:$E$100,$B4)=0,COUNTIF(Control!$E$20:$E$100,AN$2)=0),VISUM_Arterial_OD!AN4*Control!$B$3,0)</f>
        <v>0</v>
      </c>
      <c r="AO4">
        <f>IF(AND(COUNTIF(Control!$E$20:$E$100,$B4)=0,COUNTIF(Control!$E$20:$E$100,AO$2)=0),VISUM_Arterial_OD!AO4*Control!$B$3,0)</f>
        <v>0</v>
      </c>
      <c r="AP4">
        <f>IF(AND(COUNTIF(Control!$E$20:$E$100,$B4)=0,COUNTIF(Control!$E$20:$E$100,AP$2)=0),VISUM_Arterial_OD!AP4*Control!$B$3,0)</f>
        <v>0</v>
      </c>
      <c r="AQ4">
        <f>IF(AND(COUNTIF(Control!$E$20:$E$100,$B4)=0,COUNTIF(Control!$E$20:$E$100,AQ$2)=0),VISUM_Arterial_OD!AQ4*Control!$B$3,0)</f>
        <v>0</v>
      </c>
      <c r="AR4">
        <f>IF(AND(COUNTIF(Control!$E$20:$E$100,$B4)=0,COUNTIF(Control!$E$20:$E$100,AR$2)=0),VISUM_Arterial_OD!AR4*Control!$B$3,0)</f>
        <v>0</v>
      </c>
      <c r="AS4">
        <f>IF(AND(COUNTIF(Control!$E$20:$E$100,$B4)=0,COUNTIF(Control!$E$20:$E$100,AS$2)=0),VISUM_Arterial_OD!AS4*Control!$B$3,0)</f>
        <v>0</v>
      </c>
      <c r="AT4">
        <f>IF(AND(COUNTIF(Control!$E$20:$E$100,$B4)=0,COUNTIF(Control!$E$20:$E$100,AT$2)=0),VISUM_Arterial_OD!AT4*Control!$B$3,0)</f>
        <v>0</v>
      </c>
      <c r="AU4">
        <f>IF(AND(COUNTIF(Control!$E$20:$E$100,$B4)=0,COUNTIF(Control!$E$20:$E$100,AU$2)=0),VISUM_Arterial_OD!AU4*Control!$B$3,0)</f>
        <v>0</v>
      </c>
      <c r="AV4">
        <f>IF(AND(COUNTIF(Control!$E$20:$E$100,$B4)=0,COUNTIF(Control!$E$20:$E$100,AV$2)=0),VISUM_Arterial_OD!AV4*Control!$B$3,0)</f>
        <v>0</v>
      </c>
      <c r="AW4">
        <f>IF(AND(COUNTIF(Control!$E$20:$E$100,$B4)=0,COUNTIF(Control!$E$20:$E$100,AW$2)=0),VISUM_Arterial_OD!AW4*Control!$B$3,0)</f>
        <v>0</v>
      </c>
      <c r="AX4">
        <f>IF(AND(COUNTIF(Control!$E$20:$E$100,$B4)=0,COUNTIF(Control!$E$20:$E$100,AX$2)=0),VISUM_Arterial_OD!AX4*Control!$B$3,0)</f>
        <v>0.80138699999999996</v>
      </c>
      <c r="AY4">
        <f>IF(AND(COUNTIF(Control!$E$20:$E$100,$B4)=0,COUNTIF(Control!$E$20:$E$100,AY$2)=0),VISUM_Arterial_OD!AY4*Control!$B$3,0)</f>
        <v>0</v>
      </c>
      <c r="AZ4">
        <f>IF(AND(COUNTIF(Control!$E$20:$E$100,$B4)=0,COUNTIF(Control!$E$20:$E$100,AZ$2)=0),VISUM_Arterial_OD!AZ4*Control!$B$3,0)</f>
        <v>0</v>
      </c>
      <c r="BA4">
        <f>IF(AND(COUNTIF(Control!$E$20:$E$100,$B4)=0,COUNTIF(Control!$E$20:$E$100,BA$2)=0),VISUM_Arterial_OD!BA4*Control!$B$3,0)</f>
        <v>0</v>
      </c>
      <c r="BB4">
        <f>IF(AND(COUNTIF(Control!$E$20:$E$100,$B4)=0,COUNTIF(Control!$E$20:$E$100,BB$2)=0),VISUM_Arterial_OD!BB4*Control!$B$3,0)</f>
        <v>0</v>
      </c>
      <c r="BC4">
        <f>IF(AND(COUNTIF(Control!$E$20:$E$100,$B4)=0,COUNTIF(Control!$E$20:$E$100,BC$2)=0),VISUM_Arterial_OD!BC4*Control!$B$3,0)</f>
        <v>0</v>
      </c>
      <c r="BD4">
        <f>IF(AND(COUNTIF(Control!$E$20:$E$100,$B4)=0,COUNTIF(Control!$E$20:$E$100,BD$2)=0),VISUM_Arterial_OD!BD4*Control!$B$3,0)</f>
        <v>0</v>
      </c>
      <c r="BE4">
        <f>IF(AND(COUNTIF(Control!$E$20:$E$100,$B4)=0,COUNTIF(Control!$E$20:$E$100,BE$2)=0),VISUM_Arterial_OD!BE4*Control!$B$3,0)</f>
        <v>0</v>
      </c>
      <c r="BF4">
        <f>IF(AND(COUNTIF(Control!$E$20:$E$100,$B4)=0,COUNTIF(Control!$E$20:$E$100,BF$2)=0),VISUM_Arterial_OD!BF4*Control!$B$3,0)</f>
        <v>0</v>
      </c>
      <c r="BG4">
        <f>IF(AND(COUNTIF(Control!$E$20:$E$100,$B4)=0,COUNTIF(Control!$E$20:$E$100,BG$2)=0),VISUM_Arterial_OD!BG4*Control!$B$3,0)</f>
        <v>0</v>
      </c>
      <c r="BH4">
        <f>IF(AND(COUNTIF(Control!$E$20:$E$100,$B4)=0,COUNTIF(Control!$E$20:$E$100,BH$2)=0),VISUM_Arterial_OD!BH4*Control!$B$3,0)</f>
        <v>0</v>
      </c>
      <c r="BI4">
        <f>IF(AND(COUNTIF(Control!$E$20:$E$100,$B4)=0,COUNTIF(Control!$E$20:$E$100,BI$2)=0),VISUM_Arterial_OD!BI4*Control!$B$3,0)</f>
        <v>0</v>
      </c>
      <c r="BJ4">
        <f>IF(AND(COUNTIF(Control!$E$20:$E$100,$B4)=0,COUNTIF(Control!$E$20:$E$100,BJ$2)=0),VISUM_Arterial_OD!BJ4*Control!$B$3,0)</f>
        <v>0</v>
      </c>
      <c r="BK4">
        <f>IF(AND(COUNTIF(Control!$E$20:$E$100,$B4)=0,COUNTIF(Control!$E$20:$E$100,BK$2)=0),VISUM_Arterial_OD!BK4*Control!$B$3,0)</f>
        <v>0</v>
      </c>
      <c r="BL4">
        <f>IF(AND(COUNTIF(Control!$E$20:$E$100,$B4)=0,COUNTIF(Control!$E$20:$E$100,BL$2)=0),VISUM_Arterial_OD!BL4*Control!$B$3,0)</f>
        <v>0</v>
      </c>
      <c r="BM4">
        <f>IF(AND(COUNTIF(Control!$E$20:$E$100,$B4)=0,COUNTIF(Control!$E$20:$E$100,BM$2)=0),VISUM_Arterial_OD!BM4*Control!$B$3,0)</f>
        <v>0</v>
      </c>
      <c r="BN4">
        <f>IF(AND(COUNTIF(Control!$E$20:$E$100,$B4)=0,COUNTIF(Control!$E$20:$E$100,BN$2)=0),VISUM_Arterial_OD!BN4*Control!$B$3,0)</f>
        <v>0</v>
      </c>
      <c r="BO4">
        <f>IF(AND(COUNTIF(Control!$E$20:$E$100,$B4)=0,COUNTIF(Control!$E$20:$E$100,BO$2)=0),VISUM_Arterial_OD!BO4*Control!$B$3,0)</f>
        <v>0.38396663999999997</v>
      </c>
      <c r="BP4">
        <f>IF(AND(COUNTIF(Control!$E$20:$E$100,$B4)=0,COUNTIF(Control!$E$20:$E$100,BP$2)=0),VISUM_Arterial_OD!BP4*Control!$B$3,0)</f>
        <v>0.30450080999999996</v>
      </c>
      <c r="BQ4">
        <f>IF(AND(COUNTIF(Control!$E$20:$E$100,$B4)=0,COUNTIF(Control!$E$20:$E$100,BQ$2)=0),VISUM_Arterial_OD!BQ4*Control!$B$3,0)</f>
        <v>0</v>
      </c>
    </row>
    <row r="5" spans="1:69" x14ac:dyDescent="0.25">
      <c r="A5" s="5">
        <f>IF(VLOOKUP(B5,Arterial_Zone_Link_Mapping!$A:$C,2,FALSE)&lt;&gt;"",VLOOKUP(B5,Arterial_Zone_Link_Mapping!$A:$C,2,FALSE),"")</f>
        <v>485</v>
      </c>
      <c r="B5" s="5">
        <v>10</v>
      </c>
      <c r="C5">
        <f>IF(AND(COUNTIF(Control!$E$20:$E$100,$B5)=0,COUNTIF(Control!$E$20:$E$100,C$2)=0),VISUM_Arterial_OD!C5*Control!$B$3,0)</f>
        <v>0</v>
      </c>
      <c r="D5">
        <f>IF(AND(COUNTIF(Control!$E$20:$E$100,$B5)=0,COUNTIF(Control!$E$20:$E$100,D$2)=0),VISUM_Arterial_OD!D5*Control!$B$3,0)</f>
        <v>0</v>
      </c>
      <c r="E5">
        <f>IF(AND(COUNTIF(Control!$E$20:$E$100,$B5)=0,COUNTIF(Control!$E$20:$E$100,E$2)=0),VISUM_Arterial_OD!E5*Control!$B$3,0)</f>
        <v>0</v>
      </c>
      <c r="F5">
        <f>IF(AND(COUNTIF(Control!$E$20:$E$100,$B5)=0,COUNTIF(Control!$E$20:$E$100,F$2)=0),VISUM_Arterial_OD!F5*Control!$B$3,0)</f>
        <v>0</v>
      </c>
      <c r="G5">
        <f>IF(AND(COUNTIF(Control!$E$20:$E$100,$B5)=0,COUNTIF(Control!$E$20:$E$100,G$2)=0),VISUM_Arterial_OD!G5*Control!$B$3,0)</f>
        <v>0</v>
      </c>
      <c r="H5">
        <f>IF(AND(COUNTIF(Control!$E$20:$E$100,$B5)=0,COUNTIF(Control!$E$20:$E$100,H$2)=0),VISUM_Arterial_OD!H5*Control!$B$3,0)</f>
        <v>0</v>
      </c>
      <c r="I5">
        <f>IF(AND(COUNTIF(Control!$E$20:$E$100,$B5)=0,COUNTIF(Control!$E$20:$E$100,I$2)=0),VISUM_Arterial_OD!I5*Control!$B$3,0)</f>
        <v>0</v>
      </c>
      <c r="J5">
        <f>IF(AND(COUNTIF(Control!$E$20:$E$100,$B5)=0,COUNTIF(Control!$E$20:$E$100,J$2)=0),VISUM_Arterial_OD!J5*Control!$B$3,0)</f>
        <v>0</v>
      </c>
      <c r="K5">
        <f>IF(AND(COUNTIF(Control!$E$20:$E$100,$B5)=0,COUNTIF(Control!$E$20:$E$100,K$2)=0),VISUM_Arterial_OD!K5*Control!$B$3,0)</f>
        <v>0</v>
      </c>
      <c r="L5">
        <f>IF(AND(COUNTIF(Control!$E$20:$E$100,$B5)=0,COUNTIF(Control!$E$20:$E$100,L$2)=0),VISUM_Arterial_OD!L5*Control!$B$3,0)</f>
        <v>0</v>
      </c>
      <c r="M5">
        <f>IF(AND(COUNTIF(Control!$E$20:$E$100,$B5)=0,COUNTIF(Control!$E$20:$E$100,M$2)=0),VISUM_Arterial_OD!M5*Control!$B$3,0)</f>
        <v>0.60006809999999999</v>
      </c>
      <c r="N5">
        <f>IF(AND(COUNTIF(Control!$E$20:$E$100,$B5)=0,COUNTIF(Control!$E$20:$E$100,N$2)=0),VISUM_Arterial_OD!N5*Control!$B$3,0)</f>
        <v>0.47769614999999999</v>
      </c>
      <c r="O5">
        <f>IF(AND(COUNTIF(Control!$E$20:$E$100,$B5)=0,COUNTIF(Control!$E$20:$E$100,O$2)=0),VISUM_Arterial_OD!O5*Control!$B$3,0)</f>
        <v>0</v>
      </c>
      <c r="P5">
        <f>IF(AND(COUNTIF(Control!$E$20:$E$100,$B5)=0,COUNTIF(Control!$E$20:$E$100,P$2)=0),VISUM_Arterial_OD!P5*Control!$B$3,0)</f>
        <v>0</v>
      </c>
      <c r="Q5">
        <f>IF(AND(COUNTIF(Control!$E$20:$E$100,$B5)=0,COUNTIF(Control!$E$20:$E$100,Q$2)=0),VISUM_Arterial_OD!Q5*Control!$B$3,0)</f>
        <v>0</v>
      </c>
      <c r="R5">
        <f>IF(AND(COUNTIF(Control!$E$20:$E$100,$B5)=0,COUNTIF(Control!$E$20:$E$100,R$2)=0),VISUM_Arterial_OD!R5*Control!$B$3,0)</f>
        <v>0</v>
      </c>
      <c r="S5">
        <f>IF(AND(COUNTIF(Control!$E$20:$E$100,$B5)=0,COUNTIF(Control!$E$20:$E$100,S$2)=0),VISUM_Arterial_OD!S5*Control!$B$3,0)</f>
        <v>0</v>
      </c>
      <c r="T5">
        <f>IF(AND(COUNTIF(Control!$E$20:$E$100,$B5)=0,COUNTIF(Control!$E$20:$E$100,T$2)=0),VISUM_Arterial_OD!T5*Control!$B$3,0)</f>
        <v>0</v>
      </c>
      <c r="U5">
        <f>IF(AND(COUNTIF(Control!$E$20:$E$100,$B5)=0,COUNTIF(Control!$E$20:$E$100,U$2)=0),VISUM_Arterial_OD!U5*Control!$B$3,0)</f>
        <v>0</v>
      </c>
      <c r="V5">
        <f>IF(AND(COUNTIF(Control!$E$20:$E$100,$B5)=0,COUNTIF(Control!$E$20:$E$100,V$2)=0),VISUM_Arterial_OD!V5*Control!$B$3,0)</f>
        <v>0</v>
      </c>
      <c r="W5">
        <f>IF(AND(COUNTIF(Control!$E$20:$E$100,$B5)=0,COUNTIF(Control!$E$20:$E$100,W$2)=0),VISUM_Arterial_OD!W5*Control!$B$3,0)</f>
        <v>0</v>
      </c>
      <c r="X5">
        <f>IF(AND(COUNTIF(Control!$E$20:$E$100,$B5)=0,COUNTIF(Control!$E$20:$E$100,X$2)=0),VISUM_Arterial_OD!X5*Control!$B$3,0)</f>
        <v>0</v>
      </c>
      <c r="Y5">
        <f>IF(AND(COUNTIF(Control!$E$20:$E$100,$B5)=0,COUNTIF(Control!$E$20:$E$100,Y$2)=0),VISUM_Arterial_OD!Y5*Control!$B$3,0)</f>
        <v>0.59999475000000002</v>
      </c>
      <c r="Z5">
        <f>IF(AND(COUNTIF(Control!$E$20:$E$100,$B5)=0,COUNTIF(Control!$E$20:$E$100,Z$2)=0),VISUM_Arterial_OD!Z5*Control!$B$3,0)</f>
        <v>0</v>
      </c>
      <c r="AA5">
        <f>IF(AND(COUNTIF(Control!$E$20:$E$100,$B5)=0,COUNTIF(Control!$E$20:$E$100,AA$2)=0),VISUM_Arterial_OD!AA5*Control!$B$3,0)</f>
        <v>0</v>
      </c>
      <c r="AB5">
        <f>IF(AND(COUNTIF(Control!$E$20:$E$100,$B5)=0,COUNTIF(Control!$E$20:$E$100,AB$2)=0),VISUM_Arterial_OD!AB5*Control!$B$3,0)</f>
        <v>0</v>
      </c>
      <c r="AC5">
        <f>IF(AND(COUNTIF(Control!$E$20:$E$100,$B5)=0,COUNTIF(Control!$E$20:$E$100,AC$2)=0),VISUM_Arterial_OD!AC5*Control!$B$3,0)</f>
        <v>0</v>
      </c>
      <c r="AD5">
        <f>IF(AND(COUNTIF(Control!$E$20:$E$100,$B5)=0,COUNTIF(Control!$E$20:$E$100,AD$2)=0),VISUM_Arterial_OD!AD5*Control!$B$3,0)</f>
        <v>4.4463900000000006E-3</v>
      </c>
      <c r="AE5">
        <f>IF(AND(COUNTIF(Control!$E$20:$E$100,$B5)=0,COUNTIF(Control!$E$20:$E$100,AE$2)=0),VISUM_Arterial_OD!AE5*Control!$B$3,0)</f>
        <v>0</v>
      </c>
      <c r="AF5">
        <f>IF(AND(COUNTIF(Control!$E$20:$E$100,$B5)=0,COUNTIF(Control!$E$20:$E$100,AF$2)=0),VISUM_Arterial_OD!AF5*Control!$B$3,0)</f>
        <v>0</v>
      </c>
      <c r="AG5">
        <f>IF(AND(COUNTIF(Control!$E$20:$E$100,$B5)=0,COUNTIF(Control!$E$20:$E$100,AG$2)=0),VISUM_Arterial_OD!AG5*Control!$B$3,0)</f>
        <v>0</v>
      </c>
      <c r="AH5">
        <f>IF(AND(COUNTIF(Control!$E$20:$E$100,$B5)=0,COUNTIF(Control!$E$20:$E$100,AH$2)=0),VISUM_Arterial_OD!AH5*Control!$B$3,0)</f>
        <v>0</v>
      </c>
      <c r="AI5">
        <f>IF(AND(COUNTIF(Control!$E$20:$E$100,$B5)=0,COUNTIF(Control!$E$20:$E$100,AI$2)=0),VISUM_Arterial_OD!AI5*Control!$B$3,0)</f>
        <v>0</v>
      </c>
      <c r="AJ5">
        <f>IF(AND(COUNTIF(Control!$E$20:$E$100,$B5)=0,COUNTIF(Control!$E$20:$E$100,AJ$2)=0),VISUM_Arterial_OD!AJ5*Control!$B$3,0)</f>
        <v>0</v>
      </c>
      <c r="AK5">
        <f>IF(AND(COUNTIF(Control!$E$20:$E$100,$B5)=0,COUNTIF(Control!$E$20:$E$100,AK$2)=0),VISUM_Arterial_OD!AK5*Control!$B$3,0)</f>
        <v>0</v>
      </c>
      <c r="AL5">
        <f>IF(AND(COUNTIF(Control!$E$20:$E$100,$B5)=0,COUNTIF(Control!$E$20:$E$100,AL$2)=0),VISUM_Arterial_OD!AL5*Control!$B$3,0)</f>
        <v>0</v>
      </c>
      <c r="AM5">
        <f>IF(AND(COUNTIF(Control!$E$20:$E$100,$B5)=0,COUNTIF(Control!$E$20:$E$100,AM$2)=0),VISUM_Arterial_OD!AM5*Control!$B$3,0)</f>
        <v>0</v>
      </c>
      <c r="AN5">
        <f>IF(AND(COUNTIF(Control!$E$20:$E$100,$B5)=0,COUNTIF(Control!$E$20:$E$100,AN$2)=0),VISUM_Arterial_OD!AN5*Control!$B$3,0)</f>
        <v>0</v>
      </c>
      <c r="AO5">
        <f>IF(AND(COUNTIF(Control!$E$20:$E$100,$B5)=0,COUNTIF(Control!$E$20:$E$100,AO$2)=0),VISUM_Arterial_OD!AO5*Control!$B$3,0)</f>
        <v>0</v>
      </c>
      <c r="AP5">
        <f>IF(AND(COUNTIF(Control!$E$20:$E$100,$B5)=0,COUNTIF(Control!$E$20:$E$100,AP$2)=0),VISUM_Arterial_OD!AP5*Control!$B$3,0)</f>
        <v>0</v>
      </c>
      <c r="AQ5">
        <f>IF(AND(COUNTIF(Control!$E$20:$E$100,$B5)=0,COUNTIF(Control!$E$20:$E$100,AQ$2)=0),VISUM_Arterial_OD!AQ5*Control!$B$3,0)</f>
        <v>0</v>
      </c>
      <c r="AR5">
        <f>IF(AND(COUNTIF(Control!$E$20:$E$100,$B5)=0,COUNTIF(Control!$E$20:$E$100,AR$2)=0),VISUM_Arterial_OD!AR5*Control!$B$3,0)</f>
        <v>0</v>
      </c>
      <c r="AS5">
        <f>IF(AND(COUNTIF(Control!$E$20:$E$100,$B5)=0,COUNTIF(Control!$E$20:$E$100,AS$2)=0),VISUM_Arterial_OD!AS5*Control!$B$3,0)</f>
        <v>0</v>
      </c>
      <c r="AT5">
        <f>IF(AND(COUNTIF(Control!$E$20:$E$100,$B5)=0,COUNTIF(Control!$E$20:$E$100,AT$2)=0),VISUM_Arterial_OD!AT5*Control!$B$3,0)</f>
        <v>0</v>
      </c>
      <c r="AU5">
        <f>IF(AND(COUNTIF(Control!$E$20:$E$100,$B5)=0,COUNTIF(Control!$E$20:$E$100,AU$2)=0),VISUM_Arterial_OD!AU5*Control!$B$3,0)</f>
        <v>0</v>
      </c>
      <c r="AV5">
        <f>IF(AND(COUNTIF(Control!$E$20:$E$100,$B5)=0,COUNTIF(Control!$E$20:$E$100,AV$2)=0),VISUM_Arterial_OD!AV5*Control!$B$3,0)</f>
        <v>0</v>
      </c>
      <c r="AW5">
        <f>IF(AND(COUNTIF(Control!$E$20:$E$100,$B5)=0,COUNTIF(Control!$E$20:$E$100,AW$2)=0),VISUM_Arterial_OD!AW5*Control!$B$3,0)</f>
        <v>0</v>
      </c>
      <c r="AX5">
        <f>IF(AND(COUNTIF(Control!$E$20:$E$100,$B5)=0,COUNTIF(Control!$E$20:$E$100,AX$2)=0),VISUM_Arterial_OD!AX5*Control!$B$3,0)</f>
        <v>0</v>
      </c>
      <c r="AY5">
        <f>IF(AND(COUNTIF(Control!$E$20:$E$100,$B5)=0,COUNTIF(Control!$E$20:$E$100,AY$2)=0),VISUM_Arterial_OD!AY5*Control!$B$3,0)</f>
        <v>0</v>
      </c>
      <c r="AZ5">
        <f>IF(AND(COUNTIF(Control!$E$20:$E$100,$B5)=0,COUNTIF(Control!$E$20:$E$100,AZ$2)=0),VISUM_Arterial_OD!AZ5*Control!$B$3,0)</f>
        <v>0</v>
      </c>
      <c r="BA5">
        <f>IF(AND(COUNTIF(Control!$E$20:$E$100,$B5)=0,COUNTIF(Control!$E$20:$E$100,BA$2)=0),VISUM_Arterial_OD!BA5*Control!$B$3,0)</f>
        <v>0</v>
      </c>
      <c r="BB5">
        <f>IF(AND(COUNTIF(Control!$E$20:$E$100,$B5)=0,COUNTIF(Control!$E$20:$E$100,BB$2)=0),VISUM_Arterial_OD!BB5*Control!$B$3,0)</f>
        <v>0</v>
      </c>
      <c r="BC5">
        <f>IF(AND(COUNTIF(Control!$E$20:$E$100,$B5)=0,COUNTIF(Control!$E$20:$E$100,BC$2)=0),VISUM_Arterial_OD!BC5*Control!$B$3,0)</f>
        <v>0</v>
      </c>
      <c r="BD5">
        <f>IF(AND(COUNTIF(Control!$E$20:$E$100,$B5)=0,COUNTIF(Control!$E$20:$E$100,BD$2)=0),VISUM_Arterial_OD!BD5*Control!$B$3,0)</f>
        <v>0</v>
      </c>
      <c r="BE5">
        <f>IF(AND(COUNTIF(Control!$E$20:$E$100,$B5)=0,COUNTIF(Control!$E$20:$E$100,BE$2)=0),VISUM_Arterial_OD!BE5*Control!$B$3,0)</f>
        <v>0</v>
      </c>
      <c r="BF5">
        <f>IF(AND(COUNTIF(Control!$E$20:$E$100,$B5)=0,COUNTIF(Control!$E$20:$E$100,BF$2)=0),VISUM_Arterial_OD!BF5*Control!$B$3,0)</f>
        <v>0</v>
      </c>
      <c r="BG5">
        <f>IF(AND(COUNTIF(Control!$E$20:$E$100,$B5)=0,COUNTIF(Control!$E$20:$E$100,BG$2)=0),VISUM_Arterial_OD!BG5*Control!$B$3,0)</f>
        <v>0.87024381000000006</v>
      </c>
      <c r="BH5">
        <f>IF(AND(COUNTIF(Control!$E$20:$E$100,$B5)=0,COUNTIF(Control!$E$20:$E$100,BH$2)=0),VISUM_Arterial_OD!BH5*Control!$B$3,0)</f>
        <v>0.59726669999999993</v>
      </c>
      <c r="BI5">
        <f>IF(AND(COUNTIF(Control!$E$20:$E$100,$B5)=0,COUNTIF(Control!$E$20:$E$100,BI$2)=0),VISUM_Arterial_OD!BI5*Control!$B$3,0)</f>
        <v>0</v>
      </c>
      <c r="BJ5">
        <f>IF(AND(COUNTIF(Control!$E$20:$E$100,$B5)=0,COUNTIF(Control!$E$20:$E$100,BJ$2)=0),VISUM_Arterial_OD!BJ5*Control!$B$3,0)</f>
        <v>0</v>
      </c>
      <c r="BK5">
        <f>IF(AND(COUNTIF(Control!$E$20:$E$100,$B5)=0,COUNTIF(Control!$E$20:$E$100,BK$2)=0),VISUM_Arterial_OD!BK5*Control!$B$3,0)</f>
        <v>0</v>
      </c>
      <c r="BL5">
        <f>IF(AND(COUNTIF(Control!$E$20:$E$100,$B5)=0,COUNTIF(Control!$E$20:$E$100,BL$2)=0),VISUM_Arterial_OD!BL5*Control!$B$3,0)</f>
        <v>0</v>
      </c>
      <c r="BM5">
        <f>IF(AND(COUNTIF(Control!$E$20:$E$100,$B5)=0,COUNTIF(Control!$E$20:$E$100,BM$2)=0),VISUM_Arterial_OD!BM5*Control!$B$3,0)</f>
        <v>0</v>
      </c>
      <c r="BN5">
        <f>IF(AND(COUNTIF(Control!$E$20:$E$100,$B5)=0,COUNTIF(Control!$E$20:$E$100,BN$2)=0),VISUM_Arterial_OD!BN5*Control!$B$3,0)</f>
        <v>0</v>
      </c>
      <c r="BO5">
        <f>IF(AND(COUNTIF(Control!$E$20:$E$100,$B5)=0,COUNTIF(Control!$E$20:$E$100,BO$2)=0),VISUM_Arterial_OD!BO5*Control!$B$3,0)</f>
        <v>0</v>
      </c>
      <c r="BP5">
        <f>IF(AND(COUNTIF(Control!$E$20:$E$100,$B5)=0,COUNTIF(Control!$E$20:$E$100,BP$2)=0),VISUM_Arterial_OD!BP5*Control!$B$3,0)</f>
        <v>0</v>
      </c>
      <c r="BQ5">
        <f>IF(AND(COUNTIF(Control!$E$20:$E$100,$B5)=0,COUNTIF(Control!$E$20:$E$100,BQ$2)=0),VISUM_Arterial_OD!BQ5*Control!$B$3,0)</f>
        <v>0</v>
      </c>
    </row>
    <row r="6" spans="1:69" x14ac:dyDescent="0.25">
      <c r="A6" s="5">
        <f>IF(VLOOKUP(B6,Arterial_Zone_Link_Mapping!$A:$C,2,FALSE)&lt;&gt;"",VLOOKUP(B6,Arterial_Zone_Link_Mapping!$A:$C,2,FALSE),"")</f>
        <v>84</v>
      </c>
      <c r="B6" s="5">
        <v>11</v>
      </c>
      <c r="C6">
        <f>IF(AND(COUNTIF(Control!$E$20:$E$100,$B6)=0,COUNTIF(Control!$E$20:$E$100,C$2)=0),VISUM_Arterial_OD!C6*Control!$B$3,0)</f>
        <v>0</v>
      </c>
      <c r="D6">
        <f>IF(AND(COUNTIF(Control!$E$20:$E$100,$B6)=0,COUNTIF(Control!$E$20:$E$100,D$2)=0),VISUM_Arterial_OD!D6*Control!$B$3,0)</f>
        <v>0</v>
      </c>
      <c r="E6">
        <f>IF(AND(COUNTIF(Control!$E$20:$E$100,$B6)=0,COUNTIF(Control!$E$20:$E$100,E$2)=0),VISUM_Arterial_OD!E6*Control!$B$3,0)</f>
        <v>0.28091094</v>
      </c>
      <c r="F6">
        <f>IF(AND(COUNTIF(Control!$E$20:$E$100,$B6)=0,COUNTIF(Control!$E$20:$E$100,F$2)=0),VISUM_Arterial_OD!F6*Control!$B$3,0)</f>
        <v>0</v>
      </c>
      <c r="G6">
        <f>IF(AND(COUNTIF(Control!$E$20:$E$100,$B6)=0,COUNTIF(Control!$E$20:$E$100,G$2)=0),VISUM_Arterial_OD!G6*Control!$B$3,0)</f>
        <v>0</v>
      </c>
      <c r="H6">
        <f>IF(AND(COUNTIF(Control!$E$20:$E$100,$B6)=0,COUNTIF(Control!$E$20:$E$100,H$2)=0),VISUM_Arterial_OD!H6*Control!$B$3,0)</f>
        <v>0</v>
      </c>
      <c r="I6">
        <f>IF(AND(COUNTIF(Control!$E$20:$E$100,$B6)=0,COUNTIF(Control!$E$20:$E$100,I$2)=0),VISUM_Arterial_OD!I6*Control!$B$3,0)</f>
        <v>0</v>
      </c>
      <c r="J6">
        <f>IF(AND(COUNTIF(Control!$E$20:$E$100,$B6)=0,COUNTIF(Control!$E$20:$E$100,J$2)=0),VISUM_Arterial_OD!J6*Control!$B$3,0)</f>
        <v>0</v>
      </c>
      <c r="K6">
        <f>IF(AND(COUNTIF(Control!$E$20:$E$100,$B6)=0,COUNTIF(Control!$E$20:$E$100,K$2)=0),VISUM_Arterial_OD!K6*Control!$B$3,0)</f>
        <v>0</v>
      </c>
      <c r="L6">
        <f>IF(AND(COUNTIF(Control!$E$20:$E$100,$B6)=0,COUNTIF(Control!$E$20:$E$100,L$2)=0),VISUM_Arterial_OD!L6*Control!$B$3,0)</f>
        <v>0</v>
      </c>
      <c r="M6">
        <f>IF(AND(COUNTIF(Control!$E$20:$E$100,$B6)=0,COUNTIF(Control!$E$20:$E$100,M$2)=0),VISUM_Arterial_OD!M6*Control!$B$3,0)</f>
        <v>0.74999346</v>
      </c>
      <c r="N6">
        <f>IF(AND(COUNTIF(Control!$E$20:$E$100,$B6)=0,COUNTIF(Control!$E$20:$E$100,N$2)=0),VISUM_Arterial_OD!N6*Control!$B$3,0)</f>
        <v>0.16015701000000002</v>
      </c>
      <c r="O6">
        <f>IF(AND(COUNTIF(Control!$E$20:$E$100,$B6)=0,COUNTIF(Control!$E$20:$E$100,O$2)=0),VISUM_Arterial_OD!O6*Control!$B$3,0)</f>
        <v>0</v>
      </c>
      <c r="P6">
        <f>IF(AND(COUNTIF(Control!$E$20:$E$100,$B6)=0,COUNTIF(Control!$E$20:$E$100,P$2)=0),VISUM_Arterial_OD!P6*Control!$B$3,0)</f>
        <v>0</v>
      </c>
      <c r="Q6">
        <f>IF(AND(COUNTIF(Control!$E$20:$E$100,$B6)=0,COUNTIF(Control!$E$20:$E$100,Q$2)=0),VISUM_Arterial_OD!Q6*Control!$B$3,0)</f>
        <v>0</v>
      </c>
      <c r="R6">
        <f>IF(AND(COUNTIF(Control!$E$20:$E$100,$B6)=0,COUNTIF(Control!$E$20:$E$100,R$2)=0),VISUM_Arterial_OD!R6*Control!$B$3,0)</f>
        <v>0</v>
      </c>
      <c r="S6">
        <f>IF(AND(COUNTIF(Control!$E$20:$E$100,$B6)=0,COUNTIF(Control!$E$20:$E$100,S$2)=0),VISUM_Arterial_OD!S6*Control!$B$3,0)</f>
        <v>0</v>
      </c>
      <c r="T6">
        <f>IF(AND(COUNTIF(Control!$E$20:$E$100,$B6)=0,COUNTIF(Control!$E$20:$E$100,T$2)=0),VISUM_Arterial_OD!T6*Control!$B$3,0)</f>
        <v>0</v>
      </c>
      <c r="U6">
        <f>IF(AND(COUNTIF(Control!$E$20:$E$100,$B6)=0,COUNTIF(Control!$E$20:$E$100,U$2)=0),VISUM_Arterial_OD!U6*Control!$B$3,0)</f>
        <v>0</v>
      </c>
      <c r="V6">
        <f>IF(AND(COUNTIF(Control!$E$20:$E$100,$B6)=0,COUNTIF(Control!$E$20:$E$100,V$2)=0),VISUM_Arterial_OD!V6*Control!$B$3,0)</f>
        <v>0</v>
      </c>
      <c r="W6">
        <f>IF(AND(COUNTIF(Control!$E$20:$E$100,$B6)=0,COUNTIF(Control!$E$20:$E$100,W$2)=0),VISUM_Arterial_OD!W6*Control!$B$3,0)</f>
        <v>0</v>
      </c>
      <c r="X6">
        <f>IF(AND(COUNTIF(Control!$E$20:$E$100,$B6)=0,COUNTIF(Control!$E$20:$E$100,X$2)=0),VISUM_Arterial_OD!X6*Control!$B$3,0)</f>
        <v>0</v>
      </c>
      <c r="Y6">
        <f>IF(AND(COUNTIF(Control!$E$20:$E$100,$B6)=0,COUNTIF(Control!$E$20:$E$100,Y$2)=0),VISUM_Arterial_OD!Y6*Control!$B$3,0)</f>
        <v>6.8123399999999987E-2</v>
      </c>
      <c r="Z6">
        <f>IF(AND(COUNTIF(Control!$E$20:$E$100,$B6)=0,COUNTIF(Control!$E$20:$E$100,Z$2)=0),VISUM_Arterial_OD!Z6*Control!$B$3,0)</f>
        <v>0</v>
      </c>
      <c r="AA6">
        <f>IF(AND(COUNTIF(Control!$E$20:$E$100,$B6)=0,COUNTIF(Control!$E$20:$E$100,AA$2)=0),VISUM_Arterial_OD!AA6*Control!$B$3,0)</f>
        <v>0</v>
      </c>
      <c r="AB6">
        <f>IF(AND(COUNTIF(Control!$E$20:$E$100,$B6)=0,COUNTIF(Control!$E$20:$E$100,AB$2)=0),VISUM_Arterial_OD!AB6*Control!$B$3,0)</f>
        <v>0</v>
      </c>
      <c r="AC6">
        <f>IF(AND(COUNTIF(Control!$E$20:$E$100,$B6)=0,COUNTIF(Control!$E$20:$E$100,AC$2)=0),VISUM_Arterial_OD!AC6*Control!$B$3,0)</f>
        <v>0</v>
      </c>
      <c r="AD6">
        <f>IF(AND(COUNTIF(Control!$E$20:$E$100,$B6)=0,COUNTIF(Control!$E$20:$E$100,AD$2)=0),VISUM_Arterial_OD!AD6*Control!$B$3,0)</f>
        <v>0</v>
      </c>
      <c r="AE6">
        <f>IF(AND(COUNTIF(Control!$E$20:$E$100,$B6)=0,COUNTIF(Control!$E$20:$E$100,AE$2)=0),VISUM_Arterial_OD!AE6*Control!$B$3,0)</f>
        <v>1.3818839999999999E-2</v>
      </c>
      <c r="AF6">
        <f>IF(AND(COUNTIF(Control!$E$20:$E$100,$B6)=0,COUNTIF(Control!$E$20:$E$100,AF$2)=0),VISUM_Arterial_OD!AF6*Control!$B$3,0)</f>
        <v>0</v>
      </c>
      <c r="AG6">
        <f>IF(AND(COUNTIF(Control!$E$20:$E$100,$B6)=0,COUNTIF(Control!$E$20:$E$100,AG$2)=0),VISUM_Arterial_OD!AG6*Control!$B$3,0)</f>
        <v>0</v>
      </c>
      <c r="AH6">
        <f>IF(AND(COUNTIF(Control!$E$20:$E$100,$B6)=0,COUNTIF(Control!$E$20:$E$100,AH$2)=0),VISUM_Arterial_OD!AH6*Control!$B$3,0)</f>
        <v>0</v>
      </c>
      <c r="AI6">
        <f>IF(AND(COUNTIF(Control!$E$20:$E$100,$B6)=0,COUNTIF(Control!$E$20:$E$100,AI$2)=0),VISUM_Arterial_OD!AI6*Control!$B$3,0)</f>
        <v>0</v>
      </c>
      <c r="AJ6">
        <f>IF(AND(COUNTIF(Control!$E$20:$E$100,$B6)=0,COUNTIF(Control!$E$20:$E$100,AJ$2)=0),VISUM_Arterial_OD!AJ6*Control!$B$3,0)</f>
        <v>0</v>
      </c>
      <c r="AK6">
        <f>IF(AND(COUNTIF(Control!$E$20:$E$100,$B6)=0,COUNTIF(Control!$E$20:$E$100,AK$2)=0),VISUM_Arterial_OD!AK6*Control!$B$3,0)</f>
        <v>0</v>
      </c>
      <c r="AL6">
        <f>IF(AND(COUNTIF(Control!$E$20:$E$100,$B6)=0,COUNTIF(Control!$E$20:$E$100,AL$2)=0),VISUM_Arterial_OD!AL6*Control!$B$3,0)</f>
        <v>0</v>
      </c>
      <c r="AM6">
        <f>IF(AND(COUNTIF(Control!$E$20:$E$100,$B6)=0,COUNTIF(Control!$E$20:$E$100,AM$2)=0),VISUM_Arterial_OD!AM6*Control!$B$3,0)</f>
        <v>0</v>
      </c>
      <c r="AN6">
        <f>IF(AND(COUNTIF(Control!$E$20:$E$100,$B6)=0,COUNTIF(Control!$E$20:$E$100,AN$2)=0),VISUM_Arterial_OD!AN6*Control!$B$3,0)</f>
        <v>0</v>
      </c>
      <c r="AO6">
        <f>IF(AND(COUNTIF(Control!$E$20:$E$100,$B6)=0,COUNTIF(Control!$E$20:$E$100,AO$2)=0),VISUM_Arterial_OD!AO6*Control!$B$3,0)</f>
        <v>0</v>
      </c>
      <c r="AP6">
        <f>IF(AND(COUNTIF(Control!$E$20:$E$100,$B6)=0,COUNTIF(Control!$E$20:$E$100,AP$2)=0),VISUM_Arterial_OD!AP6*Control!$B$3,0)</f>
        <v>0</v>
      </c>
      <c r="AQ6">
        <f>IF(AND(COUNTIF(Control!$E$20:$E$100,$B6)=0,COUNTIF(Control!$E$20:$E$100,AQ$2)=0),VISUM_Arterial_OD!AQ6*Control!$B$3,0)</f>
        <v>0</v>
      </c>
      <c r="AR6">
        <f>IF(AND(COUNTIF(Control!$E$20:$E$100,$B6)=0,COUNTIF(Control!$E$20:$E$100,AR$2)=0),VISUM_Arterial_OD!AR6*Control!$B$3,0)</f>
        <v>0</v>
      </c>
      <c r="AS6">
        <f>IF(AND(COUNTIF(Control!$E$20:$E$100,$B6)=0,COUNTIF(Control!$E$20:$E$100,AS$2)=0),VISUM_Arterial_OD!AS6*Control!$B$3,0)</f>
        <v>0</v>
      </c>
      <c r="AT6">
        <f>IF(AND(COUNTIF(Control!$E$20:$E$100,$B6)=0,COUNTIF(Control!$E$20:$E$100,AT$2)=0),VISUM_Arterial_OD!AT6*Control!$B$3,0)</f>
        <v>0</v>
      </c>
      <c r="AU6">
        <f>IF(AND(COUNTIF(Control!$E$20:$E$100,$B6)=0,COUNTIF(Control!$E$20:$E$100,AU$2)=0),VISUM_Arterial_OD!AU6*Control!$B$3,0)</f>
        <v>0</v>
      </c>
      <c r="AV6">
        <f>IF(AND(COUNTIF(Control!$E$20:$E$100,$B6)=0,COUNTIF(Control!$E$20:$E$100,AV$2)=0),VISUM_Arterial_OD!AV6*Control!$B$3,0)</f>
        <v>0</v>
      </c>
      <c r="AW6">
        <f>IF(AND(COUNTIF(Control!$E$20:$E$100,$B6)=0,COUNTIF(Control!$E$20:$E$100,AW$2)=0),VISUM_Arterial_OD!AW6*Control!$B$3,0)</f>
        <v>0</v>
      </c>
      <c r="AX6">
        <f>IF(AND(COUNTIF(Control!$E$20:$E$100,$B6)=0,COUNTIF(Control!$E$20:$E$100,AX$2)=0),VISUM_Arterial_OD!AX6*Control!$B$3,0)</f>
        <v>0</v>
      </c>
      <c r="AY6">
        <f>IF(AND(COUNTIF(Control!$E$20:$E$100,$B6)=0,COUNTIF(Control!$E$20:$E$100,AY$2)=0),VISUM_Arterial_OD!AY6*Control!$B$3,0)</f>
        <v>0</v>
      </c>
      <c r="AZ6">
        <f>IF(AND(COUNTIF(Control!$E$20:$E$100,$B6)=0,COUNTIF(Control!$E$20:$E$100,AZ$2)=0),VISUM_Arterial_OD!AZ6*Control!$B$3,0)</f>
        <v>0</v>
      </c>
      <c r="BA6">
        <f>IF(AND(COUNTIF(Control!$E$20:$E$100,$B6)=0,COUNTIF(Control!$E$20:$E$100,BA$2)=0),VISUM_Arterial_OD!BA6*Control!$B$3,0)</f>
        <v>0</v>
      </c>
      <c r="BB6">
        <f>IF(AND(COUNTIF(Control!$E$20:$E$100,$B6)=0,COUNTIF(Control!$E$20:$E$100,BB$2)=0),VISUM_Arterial_OD!BB6*Control!$B$3,0)</f>
        <v>0</v>
      </c>
      <c r="BC6">
        <f>IF(AND(COUNTIF(Control!$E$20:$E$100,$B6)=0,COUNTIF(Control!$E$20:$E$100,BC$2)=0),VISUM_Arterial_OD!BC6*Control!$B$3,0)</f>
        <v>0</v>
      </c>
      <c r="BD6">
        <f>IF(AND(COUNTIF(Control!$E$20:$E$100,$B6)=0,COUNTIF(Control!$E$20:$E$100,BD$2)=0),VISUM_Arterial_OD!BD6*Control!$B$3,0)</f>
        <v>0</v>
      </c>
      <c r="BE6">
        <f>IF(AND(COUNTIF(Control!$E$20:$E$100,$B6)=0,COUNTIF(Control!$E$20:$E$100,BE$2)=0),VISUM_Arterial_OD!BE6*Control!$B$3,0)</f>
        <v>0</v>
      </c>
      <c r="BF6">
        <f>IF(AND(COUNTIF(Control!$E$20:$E$100,$B6)=0,COUNTIF(Control!$E$20:$E$100,BF$2)=0),VISUM_Arterial_OD!BF6*Control!$B$3,0)</f>
        <v>0</v>
      </c>
      <c r="BG6">
        <f>IF(AND(COUNTIF(Control!$E$20:$E$100,$B6)=0,COUNTIF(Control!$E$20:$E$100,BG$2)=0),VISUM_Arterial_OD!BG6*Control!$B$3,0)</f>
        <v>0.92918372999999999</v>
      </c>
      <c r="BH6">
        <f>IF(AND(COUNTIF(Control!$E$20:$E$100,$B6)=0,COUNTIF(Control!$E$20:$E$100,BH$2)=0),VISUM_Arterial_OD!BH6*Control!$B$3,0)</f>
        <v>1.2459713099999998</v>
      </c>
      <c r="BI6">
        <f>IF(AND(COUNTIF(Control!$E$20:$E$100,$B6)=0,COUNTIF(Control!$E$20:$E$100,BI$2)=0),VISUM_Arterial_OD!BI6*Control!$B$3,0)</f>
        <v>0</v>
      </c>
      <c r="BJ6">
        <f>IF(AND(COUNTIF(Control!$E$20:$E$100,$B6)=0,COUNTIF(Control!$E$20:$E$100,BJ$2)=0),VISUM_Arterial_OD!BJ6*Control!$B$3,0)</f>
        <v>0</v>
      </c>
      <c r="BK6">
        <f>IF(AND(COUNTIF(Control!$E$20:$E$100,$B6)=0,COUNTIF(Control!$E$20:$E$100,BK$2)=0),VISUM_Arterial_OD!BK6*Control!$B$3,0)</f>
        <v>0</v>
      </c>
      <c r="BL6">
        <f>IF(AND(COUNTIF(Control!$E$20:$E$100,$B6)=0,COUNTIF(Control!$E$20:$E$100,BL$2)=0),VISUM_Arterial_OD!BL6*Control!$B$3,0)</f>
        <v>0</v>
      </c>
      <c r="BM6">
        <f>IF(AND(COUNTIF(Control!$E$20:$E$100,$B6)=0,COUNTIF(Control!$E$20:$E$100,BM$2)=0),VISUM_Arterial_OD!BM6*Control!$B$3,0)</f>
        <v>0</v>
      </c>
      <c r="BN6">
        <f>IF(AND(COUNTIF(Control!$E$20:$E$100,$B6)=0,COUNTIF(Control!$E$20:$E$100,BN$2)=0),VISUM_Arterial_OD!BN6*Control!$B$3,0)</f>
        <v>0</v>
      </c>
      <c r="BO6">
        <f>IF(AND(COUNTIF(Control!$E$20:$E$100,$B6)=0,COUNTIF(Control!$E$20:$E$100,BO$2)=0),VISUM_Arterial_OD!BO6*Control!$B$3,0)</f>
        <v>0</v>
      </c>
      <c r="BP6">
        <f>IF(AND(COUNTIF(Control!$E$20:$E$100,$B6)=0,COUNTIF(Control!$E$20:$E$100,BP$2)=0),VISUM_Arterial_OD!BP6*Control!$B$3,0)</f>
        <v>0</v>
      </c>
      <c r="BQ6">
        <f>IF(AND(COUNTIF(Control!$E$20:$E$100,$B6)=0,COUNTIF(Control!$E$20:$E$100,BQ$2)=0),VISUM_Arterial_OD!BQ6*Control!$B$3,0)</f>
        <v>0</v>
      </c>
    </row>
    <row r="7" spans="1:69" x14ac:dyDescent="0.25">
      <c r="A7" s="5">
        <f>IF(VLOOKUP(B7,Arterial_Zone_Link_Mapping!$A:$C,2,FALSE)&lt;&gt;"",VLOOKUP(B7,Arterial_Zone_Link_Mapping!$A:$C,2,FALSE),"")</f>
        <v>48</v>
      </c>
      <c r="B7" s="5">
        <v>16</v>
      </c>
      <c r="C7">
        <f>IF(AND(COUNTIF(Control!$E$20:$E$100,$B7)=0,COUNTIF(Control!$E$20:$E$100,C$2)=0),VISUM_Arterial_OD!C7*Control!$B$3,0)</f>
        <v>0</v>
      </c>
      <c r="D7">
        <f>IF(AND(COUNTIF(Control!$E$20:$E$100,$B7)=0,COUNTIF(Control!$E$20:$E$100,D$2)=0),VISUM_Arterial_OD!D7*Control!$B$3,0)</f>
        <v>0</v>
      </c>
      <c r="E7">
        <f>IF(AND(COUNTIF(Control!$E$20:$E$100,$B7)=0,COUNTIF(Control!$E$20:$E$100,E$2)=0),VISUM_Arterial_OD!E7*Control!$B$3,0)</f>
        <v>0</v>
      </c>
      <c r="F7">
        <f>IF(AND(COUNTIF(Control!$E$20:$E$100,$B7)=0,COUNTIF(Control!$E$20:$E$100,F$2)=0),VISUM_Arterial_OD!F7*Control!$B$3,0)</f>
        <v>0</v>
      </c>
      <c r="G7">
        <f>IF(AND(COUNTIF(Control!$E$20:$E$100,$B7)=0,COUNTIF(Control!$E$20:$E$100,G$2)=0),VISUM_Arterial_OD!G7*Control!$B$3,0)</f>
        <v>0</v>
      </c>
      <c r="H7">
        <f>IF(AND(COUNTIF(Control!$E$20:$E$100,$B7)=0,COUNTIF(Control!$E$20:$E$100,H$2)=0),VISUM_Arterial_OD!H7*Control!$B$3,0)</f>
        <v>0</v>
      </c>
      <c r="I7">
        <f>IF(AND(COUNTIF(Control!$E$20:$E$100,$B7)=0,COUNTIF(Control!$E$20:$E$100,I$2)=0),VISUM_Arterial_OD!I7*Control!$B$3,0)</f>
        <v>0</v>
      </c>
      <c r="J7">
        <f>IF(AND(COUNTIF(Control!$E$20:$E$100,$B7)=0,COUNTIF(Control!$E$20:$E$100,J$2)=0),VISUM_Arterial_OD!J7*Control!$B$3,0)</f>
        <v>0</v>
      </c>
      <c r="K7">
        <f>IF(AND(COUNTIF(Control!$E$20:$E$100,$B7)=0,COUNTIF(Control!$E$20:$E$100,K$2)=0),VISUM_Arterial_OD!K7*Control!$B$3,0)</f>
        <v>0</v>
      </c>
      <c r="L7">
        <f>IF(AND(COUNTIF(Control!$E$20:$E$100,$B7)=0,COUNTIF(Control!$E$20:$E$100,L$2)=0),VISUM_Arterial_OD!L7*Control!$B$3,0)</f>
        <v>0</v>
      </c>
      <c r="M7">
        <f>IF(AND(COUNTIF(Control!$E$20:$E$100,$B7)=0,COUNTIF(Control!$E$20:$E$100,M$2)=0),VISUM_Arterial_OD!M7*Control!$B$3,0)</f>
        <v>0</v>
      </c>
      <c r="N7">
        <f>IF(AND(COUNTIF(Control!$E$20:$E$100,$B7)=0,COUNTIF(Control!$E$20:$E$100,N$2)=0),VISUM_Arterial_OD!N7*Control!$B$3,0)</f>
        <v>0</v>
      </c>
      <c r="O7">
        <f>IF(AND(COUNTIF(Control!$E$20:$E$100,$B7)=0,COUNTIF(Control!$E$20:$E$100,O$2)=0),VISUM_Arterial_OD!O7*Control!$B$3,0)</f>
        <v>0</v>
      </c>
      <c r="P7">
        <f>IF(AND(COUNTIF(Control!$E$20:$E$100,$B7)=0,COUNTIF(Control!$E$20:$E$100,P$2)=0),VISUM_Arterial_OD!P7*Control!$B$3,0)</f>
        <v>0</v>
      </c>
      <c r="Q7">
        <f>IF(AND(COUNTIF(Control!$E$20:$E$100,$B7)=0,COUNTIF(Control!$E$20:$E$100,Q$2)=0),VISUM_Arterial_OD!Q7*Control!$B$3,0)</f>
        <v>0.49569629999999992</v>
      </c>
      <c r="R7">
        <f>IF(AND(COUNTIF(Control!$E$20:$E$100,$B7)=0,COUNTIF(Control!$E$20:$E$100,R$2)=0),VISUM_Arterial_OD!R7*Control!$B$3,0)</f>
        <v>0</v>
      </c>
      <c r="S7">
        <f>IF(AND(COUNTIF(Control!$E$20:$E$100,$B7)=0,COUNTIF(Control!$E$20:$E$100,S$2)=0),VISUM_Arterial_OD!S7*Control!$B$3,0)</f>
        <v>0</v>
      </c>
      <c r="T7">
        <f>IF(AND(COUNTIF(Control!$E$20:$E$100,$B7)=0,COUNTIF(Control!$E$20:$E$100,T$2)=0),VISUM_Arterial_OD!T7*Control!$B$3,0)</f>
        <v>0</v>
      </c>
      <c r="U7">
        <f>IF(AND(COUNTIF(Control!$E$20:$E$100,$B7)=0,COUNTIF(Control!$E$20:$E$100,U$2)=0),VISUM_Arterial_OD!U7*Control!$B$3,0)</f>
        <v>1.9499829899999999</v>
      </c>
      <c r="V7">
        <f>IF(AND(COUNTIF(Control!$E$20:$E$100,$B7)=0,COUNTIF(Control!$E$20:$E$100,V$2)=0),VISUM_Arterial_OD!V7*Control!$B$3,0)</f>
        <v>2.7477315299999998</v>
      </c>
      <c r="W7">
        <f>IF(AND(COUNTIF(Control!$E$20:$E$100,$B7)=0,COUNTIF(Control!$E$20:$E$100,W$2)=0),VISUM_Arterial_OD!W7*Control!$B$3,0)</f>
        <v>1.6090025399999999</v>
      </c>
      <c r="X7">
        <f>IF(AND(COUNTIF(Control!$E$20:$E$100,$B7)=0,COUNTIF(Control!$E$20:$E$100,X$2)=0),VISUM_Arterial_OD!X7*Control!$B$3,0)</f>
        <v>2.9080786500000002</v>
      </c>
      <c r="Y7">
        <f>IF(AND(COUNTIF(Control!$E$20:$E$100,$B7)=0,COUNTIF(Control!$E$20:$E$100,Y$2)=0),VISUM_Arterial_OD!Y7*Control!$B$3,0)</f>
        <v>0</v>
      </c>
      <c r="Z7">
        <f>IF(AND(COUNTIF(Control!$E$20:$E$100,$B7)=0,COUNTIF(Control!$E$20:$E$100,Z$2)=0),VISUM_Arterial_OD!Z7*Control!$B$3,0)</f>
        <v>0</v>
      </c>
      <c r="AA7">
        <f>IF(AND(COUNTIF(Control!$E$20:$E$100,$B7)=0,COUNTIF(Control!$E$20:$E$100,AA$2)=0),VISUM_Arterial_OD!AA7*Control!$B$3,0)</f>
        <v>5.84994894</v>
      </c>
      <c r="AB7">
        <f>IF(AND(COUNTIF(Control!$E$20:$E$100,$B7)=0,COUNTIF(Control!$E$20:$E$100,AB$2)=0),VISUM_Arterial_OD!AB7*Control!$B$3,0)</f>
        <v>0</v>
      </c>
      <c r="AC7">
        <f>IF(AND(COUNTIF(Control!$E$20:$E$100,$B7)=0,COUNTIF(Control!$E$20:$E$100,AC$2)=0),VISUM_Arterial_OD!AC7*Control!$B$3,0)</f>
        <v>0</v>
      </c>
      <c r="AD7">
        <f>IF(AND(COUNTIF(Control!$E$20:$E$100,$B7)=0,COUNTIF(Control!$E$20:$E$100,AD$2)=0),VISUM_Arterial_OD!AD7*Control!$B$3,0)</f>
        <v>0</v>
      </c>
      <c r="AE7">
        <f>IF(AND(COUNTIF(Control!$E$20:$E$100,$B7)=0,COUNTIF(Control!$E$20:$E$100,AE$2)=0),VISUM_Arterial_OD!AE7*Control!$B$3,0)</f>
        <v>0</v>
      </c>
      <c r="AF7">
        <f>IF(AND(COUNTIF(Control!$E$20:$E$100,$B7)=0,COUNTIF(Control!$E$20:$E$100,AF$2)=0),VISUM_Arterial_OD!AF7*Control!$B$3,0)</f>
        <v>0</v>
      </c>
      <c r="AG7">
        <f>IF(AND(COUNTIF(Control!$E$20:$E$100,$B7)=0,COUNTIF(Control!$E$20:$E$100,AG$2)=0),VISUM_Arterial_OD!AG7*Control!$B$3,0)</f>
        <v>0</v>
      </c>
      <c r="AH7">
        <f>IF(AND(COUNTIF(Control!$E$20:$E$100,$B7)=0,COUNTIF(Control!$E$20:$E$100,AH$2)=0),VISUM_Arterial_OD!AH7*Control!$B$3,0)</f>
        <v>0</v>
      </c>
      <c r="AI7">
        <f>IF(AND(COUNTIF(Control!$E$20:$E$100,$B7)=0,COUNTIF(Control!$E$20:$E$100,AI$2)=0),VISUM_Arterial_OD!AI7*Control!$B$3,0)</f>
        <v>0</v>
      </c>
      <c r="AJ7">
        <f>IF(AND(COUNTIF(Control!$E$20:$E$100,$B7)=0,COUNTIF(Control!$E$20:$E$100,AJ$2)=0),VISUM_Arterial_OD!AJ7*Control!$B$3,0)</f>
        <v>0</v>
      </c>
      <c r="AK7">
        <f>IF(AND(COUNTIF(Control!$E$20:$E$100,$B7)=0,COUNTIF(Control!$E$20:$E$100,AK$2)=0),VISUM_Arterial_OD!AK7*Control!$B$3,0)</f>
        <v>0</v>
      </c>
      <c r="AL7">
        <f>IF(AND(COUNTIF(Control!$E$20:$E$100,$B7)=0,COUNTIF(Control!$E$20:$E$100,AL$2)=0),VISUM_Arterial_OD!AL7*Control!$B$3,0)</f>
        <v>0</v>
      </c>
      <c r="AM7">
        <f>IF(AND(COUNTIF(Control!$E$20:$E$100,$B7)=0,COUNTIF(Control!$E$20:$E$100,AM$2)=0),VISUM_Arterial_OD!AM7*Control!$B$3,0)</f>
        <v>0</v>
      </c>
      <c r="AN7">
        <f>IF(AND(COUNTIF(Control!$E$20:$E$100,$B7)=0,COUNTIF(Control!$E$20:$E$100,AN$2)=0),VISUM_Arterial_OD!AN7*Control!$B$3,0)</f>
        <v>0</v>
      </c>
      <c r="AO7">
        <f>IF(AND(COUNTIF(Control!$E$20:$E$100,$B7)=0,COUNTIF(Control!$E$20:$E$100,AO$2)=0),VISUM_Arterial_OD!AO7*Control!$B$3,0)</f>
        <v>0</v>
      </c>
      <c r="AP7">
        <f>IF(AND(COUNTIF(Control!$E$20:$E$100,$B7)=0,COUNTIF(Control!$E$20:$E$100,AP$2)=0),VISUM_Arterial_OD!AP7*Control!$B$3,0)</f>
        <v>0</v>
      </c>
      <c r="AQ7">
        <f>IF(AND(COUNTIF(Control!$E$20:$E$100,$B7)=0,COUNTIF(Control!$E$20:$E$100,AQ$2)=0),VISUM_Arterial_OD!AQ7*Control!$B$3,0)</f>
        <v>0</v>
      </c>
      <c r="AR7">
        <f>IF(AND(COUNTIF(Control!$E$20:$E$100,$B7)=0,COUNTIF(Control!$E$20:$E$100,AR$2)=0),VISUM_Arterial_OD!AR7*Control!$B$3,0)</f>
        <v>0</v>
      </c>
      <c r="AS7">
        <f>IF(AND(COUNTIF(Control!$E$20:$E$100,$B7)=0,COUNTIF(Control!$E$20:$E$100,AS$2)=0),VISUM_Arterial_OD!AS7*Control!$B$3,0)</f>
        <v>0</v>
      </c>
      <c r="AT7">
        <f>IF(AND(COUNTIF(Control!$E$20:$E$100,$B7)=0,COUNTIF(Control!$E$20:$E$100,AT$2)=0),VISUM_Arterial_OD!AT7*Control!$B$3,0)</f>
        <v>0</v>
      </c>
      <c r="AU7">
        <f>IF(AND(COUNTIF(Control!$E$20:$E$100,$B7)=0,COUNTIF(Control!$E$20:$E$100,AU$2)=0),VISUM_Arterial_OD!AU7*Control!$B$3,0)</f>
        <v>0</v>
      </c>
      <c r="AV7">
        <f>IF(AND(COUNTIF(Control!$E$20:$E$100,$B7)=0,COUNTIF(Control!$E$20:$E$100,AV$2)=0),VISUM_Arterial_OD!AV7*Control!$B$3,0)</f>
        <v>0</v>
      </c>
      <c r="AW7">
        <f>IF(AND(COUNTIF(Control!$E$20:$E$100,$B7)=0,COUNTIF(Control!$E$20:$E$100,AW$2)=0),VISUM_Arterial_OD!AW7*Control!$B$3,0)</f>
        <v>0</v>
      </c>
      <c r="AX7">
        <f>IF(AND(COUNTIF(Control!$E$20:$E$100,$B7)=0,COUNTIF(Control!$E$20:$E$100,AX$2)=0),VISUM_Arterial_OD!AX7*Control!$B$3,0)</f>
        <v>0</v>
      </c>
      <c r="AY7">
        <f>IF(AND(COUNTIF(Control!$E$20:$E$100,$B7)=0,COUNTIF(Control!$E$20:$E$100,AY$2)=0),VISUM_Arterial_OD!AY7*Control!$B$3,0)</f>
        <v>0</v>
      </c>
      <c r="AZ7">
        <f>IF(AND(COUNTIF(Control!$E$20:$E$100,$B7)=0,COUNTIF(Control!$E$20:$E$100,AZ$2)=0),VISUM_Arterial_OD!AZ7*Control!$B$3,0)</f>
        <v>0</v>
      </c>
      <c r="BA7">
        <f>IF(AND(COUNTIF(Control!$E$20:$E$100,$B7)=0,COUNTIF(Control!$E$20:$E$100,BA$2)=0),VISUM_Arterial_OD!BA7*Control!$B$3,0)</f>
        <v>0</v>
      </c>
      <c r="BB7">
        <f>IF(AND(COUNTIF(Control!$E$20:$E$100,$B7)=0,COUNTIF(Control!$E$20:$E$100,BB$2)=0),VISUM_Arterial_OD!BB7*Control!$B$3,0)</f>
        <v>0</v>
      </c>
      <c r="BC7">
        <f>IF(AND(COUNTIF(Control!$E$20:$E$100,$B7)=0,COUNTIF(Control!$E$20:$E$100,BC$2)=0),VISUM_Arterial_OD!BC7*Control!$B$3,0)</f>
        <v>0</v>
      </c>
      <c r="BD7">
        <f>IF(AND(COUNTIF(Control!$E$20:$E$100,$B7)=0,COUNTIF(Control!$E$20:$E$100,BD$2)=0),VISUM_Arterial_OD!BD7*Control!$B$3,0)</f>
        <v>0</v>
      </c>
      <c r="BE7">
        <f>IF(AND(COUNTIF(Control!$E$20:$E$100,$B7)=0,COUNTIF(Control!$E$20:$E$100,BE$2)=0),VISUM_Arterial_OD!BE7*Control!$B$3,0)</f>
        <v>1.3887242099999999</v>
      </c>
      <c r="BF7">
        <f>IF(AND(COUNTIF(Control!$E$20:$E$100,$B7)=0,COUNTIF(Control!$E$20:$E$100,BF$2)=0),VISUM_Arterial_OD!BF7*Control!$B$3,0)</f>
        <v>0</v>
      </c>
      <c r="BG7">
        <f>IF(AND(COUNTIF(Control!$E$20:$E$100,$B7)=0,COUNTIF(Control!$E$20:$E$100,BG$2)=0),VISUM_Arterial_OD!BG7*Control!$B$3,0)</f>
        <v>0</v>
      </c>
      <c r="BH7">
        <f>IF(AND(COUNTIF(Control!$E$20:$E$100,$B7)=0,COUNTIF(Control!$E$20:$E$100,BH$2)=0),VISUM_Arterial_OD!BH7*Control!$B$3,0)</f>
        <v>0</v>
      </c>
      <c r="BI7">
        <f>IF(AND(COUNTIF(Control!$E$20:$E$100,$B7)=0,COUNTIF(Control!$E$20:$E$100,BI$2)=0),VISUM_Arterial_OD!BI7*Control!$B$3,0)</f>
        <v>0</v>
      </c>
      <c r="BJ7">
        <f>IF(AND(COUNTIF(Control!$E$20:$E$100,$B7)=0,COUNTIF(Control!$E$20:$E$100,BJ$2)=0),VISUM_Arterial_OD!BJ7*Control!$B$3,0)</f>
        <v>0</v>
      </c>
      <c r="BK7">
        <f>IF(AND(COUNTIF(Control!$E$20:$E$100,$B7)=0,COUNTIF(Control!$E$20:$E$100,BK$2)=0),VISUM_Arterial_OD!BK7*Control!$B$3,0)</f>
        <v>0</v>
      </c>
      <c r="BL7">
        <f>IF(AND(COUNTIF(Control!$E$20:$E$100,$B7)=0,COUNTIF(Control!$E$20:$E$100,BL$2)=0),VISUM_Arterial_OD!BL7*Control!$B$3,0)</f>
        <v>0</v>
      </c>
      <c r="BM7">
        <f>IF(AND(COUNTIF(Control!$E$20:$E$100,$B7)=0,COUNTIF(Control!$E$20:$E$100,BM$2)=0),VISUM_Arterial_OD!BM7*Control!$B$3,0)</f>
        <v>0</v>
      </c>
      <c r="BN7">
        <f>IF(AND(COUNTIF(Control!$E$20:$E$100,$B7)=0,COUNTIF(Control!$E$20:$E$100,BN$2)=0),VISUM_Arterial_OD!BN7*Control!$B$3,0)</f>
        <v>0</v>
      </c>
      <c r="BO7">
        <f>IF(AND(COUNTIF(Control!$E$20:$E$100,$B7)=0,COUNTIF(Control!$E$20:$E$100,BO$2)=0),VISUM_Arterial_OD!BO7*Control!$B$3,0)</f>
        <v>0</v>
      </c>
      <c r="BP7">
        <f>IF(AND(COUNTIF(Control!$E$20:$E$100,$B7)=0,COUNTIF(Control!$E$20:$E$100,BP$2)=0),VISUM_Arterial_OD!BP7*Control!$B$3,0)</f>
        <v>0</v>
      </c>
      <c r="BQ7">
        <f>IF(AND(COUNTIF(Control!$E$20:$E$100,$B7)=0,COUNTIF(Control!$E$20:$E$100,BQ$2)=0),VISUM_Arterial_OD!BQ7*Control!$B$3,0)</f>
        <v>0</v>
      </c>
    </row>
    <row r="8" spans="1:69" x14ac:dyDescent="0.25">
      <c r="A8" s="5">
        <f>IF(VLOOKUP(B8,Arterial_Zone_Link_Mapping!$A:$C,2,FALSE)&lt;&gt;"",VLOOKUP(B8,Arterial_Zone_Link_Mapping!$A:$C,2,FALSE),"")</f>
        <v>133</v>
      </c>
      <c r="B8" s="5">
        <v>17</v>
      </c>
      <c r="C8">
        <f>IF(AND(COUNTIF(Control!$E$20:$E$100,$B8)=0,COUNTIF(Control!$E$20:$E$100,C$2)=0),VISUM_Arterial_OD!C8*Control!$B$3,0)</f>
        <v>0</v>
      </c>
      <c r="D8">
        <f>IF(AND(COUNTIF(Control!$E$20:$E$100,$B8)=0,COUNTIF(Control!$E$20:$E$100,D$2)=0),VISUM_Arterial_OD!D8*Control!$B$3,0)</f>
        <v>0</v>
      </c>
      <c r="E8">
        <f>IF(AND(COUNTIF(Control!$E$20:$E$100,$B8)=0,COUNTIF(Control!$E$20:$E$100,E$2)=0),VISUM_Arterial_OD!E8*Control!$B$3,0)</f>
        <v>0</v>
      </c>
      <c r="F8">
        <f>IF(AND(COUNTIF(Control!$E$20:$E$100,$B8)=0,COUNTIF(Control!$E$20:$E$100,F$2)=0),VISUM_Arterial_OD!F8*Control!$B$3,0)</f>
        <v>0</v>
      </c>
      <c r="G8">
        <f>IF(AND(COUNTIF(Control!$E$20:$E$100,$B8)=0,COUNTIF(Control!$E$20:$E$100,G$2)=0),VISUM_Arterial_OD!G8*Control!$B$3,0)</f>
        <v>0</v>
      </c>
      <c r="H8">
        <f>IF(AND(COUNTIF(Control!$E$20:$E$100,$B8)=0,COUNTIF(Control!$E$20:$E$100,H$2)=0),VISUM_Arterial_OD!H8*Control!$B$3,0)</f>
        <v>0</v>
      </c>
      <c r="I8">
        <f>IF(AND(COUNTIF(Control!$E$20:$E$100,$B8)=0,COUNTIF(Control!$E$20:$E$100,I$2)=0),VISUM_Arterial_OD!I8*Control!$B$3,0)</f>
        <v>9.7499149200000002</v>
      </c>
      <c r="J8">
        <f>IF(AND(COUNTIF(Control!$E$20:$E$100,$B8)=0,COUNTIF(Control!$E$20:$E$100,J$2)=0),VISUM_Arterial_OD!J8*Control!$B$3,0)</f>
        <v>0</v>
      </c>
      <c r="K8">
        <f>IF(AND(COUNTIF(Control!$E$20:$E$100,$B8)=0,COUNTIF(Control!$E$20:$E$100,K$2)=0),VISUM_Arterial_OD!K8*Control!$B$3,0)</f>
        <v>0</v>
      </c>
      <c r="L8">
        <f>IF(AND(COUNTIF(Control!$E$20:$E$100,$B8)=0,COUNTIF(Control!$E$20:$E$100,L$2)=0),VISUM_Arterial_OD!L8*Control!$B$3,0)</f>
        <v>0</v>
      </c>
      <c r="M8">
        <f>IF(AND(COUNTIF(Control!$E$20:$E$100,$B8)=0,COUNTIF(Control!$E$20:$E$100,M$2)=0),VISUM_Arterial_OD!M8*Control!$B$3,0)</f>
        <v>0</v>
      </c>
      <c r="N8">
        <f>IF(AND(COUNTIF(Control!$E$20:$E$100,$B8)=0,COUNTIF(Control!$E$20:$E$100,N$2)=0),VISUM_Arterial_OD!N8*Control!$B$3,0)</f>
        <v>0</v>
      </c>
      <c r="O8">
        <f>IF(AND(COUNTIF(Control!$E$20:$E$100,$B8)=0,COUNTIF(Control!$E$20:$E$100,O$2)=0),VISUM_Arterial_OD!O8*Control!$B$3,0)</f>
        <v>0</v>
      </c>
      <c r="P8">
        <f>IF(AND(COUNTIF(Control!$E$20:$E$100,$B8)=0,COUNTIF(Control!$E$20:$E$100,P$2)=0),VISUM_Arterial_OD!P8*Control!$B$3,0)</f>
        <v>0</v>
      </c>
      <c r="Q8">
        <f>IF(AND(COUNTIF(Control!$E$20:$E$100,$B8)=0,COUNTIF(Control!$E$20:$E$100,Q$2)=0),VISUM_Arterial_OD!Q8*Control!$B$3,0)</f>
        <v>0</v>
      </c>
      <c r="R8">
        <f>IF(AND(COUNTIF(Control!$E$20:$E$100,$B8)=0,COUNTIF(Control!$E$20:$E$100,R$2)=0),VISUM_Arterial_OD!R8*Control!$B$3,0)</f>
        <v>0</v>
      </c>
      <c r="S8">
        <f>IF(AND(COUNTIF(Control!$E$20:$E$100,$B8)=0,COUNTIF(Control!$E$20:$E$100,S$2)=0),VISUM_Arterial_OD!S8*Control!$B$3,0)</f>
        <v>0</v>
      </c>
      <c r="T8">
        <f>IF(AND(COUNTIF(Control!$E$20:$E$100,$B8)=0,COUNTIF(Control!$E$20:$E$100,T$2)=0),VISUM_Arterial_OD!T8*Control!$B$3,0)</f>
        <v>0</v>
      </c>
      <c r="U8">
        <f>IF(AND(COUNTIF(Control!$E$20:$E$100,$B8)=0,COUNTIF(Control!$E$20:$E$100,U$2)=0),VISUM_Arterial_OD!U8*Control!$B$3,0)</f>
        <v>0</v>
      </c>
      <c r="V8">
        <f>IF(AND(COUNTIF(Control!$E$20:$E$100,$B8)=0,COUNTIF(Control!$E$20:$E$100,V$2)=0),VISUM_Arterial_OD!V8*Control!$B$3,0)</f>
        <v>0</v>
      </c>
      <c r="W8">
        <f>IF(AND(COUNTIF(Control!$E$20:$E$100,$B8)=0,COUNTIF(Control!$E$20:$E$100,W$2)=0),VISUM_Arterial_OD!W8*Control!$B$3,0)</f>
        <v>0</v>
      </c>
      <c r="X8">
        <f>IF(AND(COUNTIF(Control!$E$20:$E$100,$B8)=0,COUNTIF(Control!$E$20:$E$100,X$2)=0),VISUM_Arterial_OD!X8*Control!$B$3,0)</f>
        <v>0</v>
      </c>
      <c r="Y8">
        <f>IF(AND(COUNTIF(Control!$E$20:$E$100,$B8)=0,COUNTIF(Control!$E$20:$E$100,Y$2)=0),VISUM_Arterial_OD!Y8*Control!$B$3,0)</f>
        <v>0</v>
      </c>
      <c r="Z8">
        <f>IF(AND(COUNTIF(Control!$E$20:$E$100,$B8)=0,COUNTIF(Control!$E$20:$E$100,Z$2)=0),VISUM_Arterial_OD!Z8*Control!$B$3,0)</f>
        <v>0</v>
      </c>
      <c r="AA8">
        <f>IF(AND(COUNTIF(Control!$E$20:$E$100,$B8)=0,COUNTIF(Control!$E$20:$E$100,AA$2)=0),VISUM_Arterial_OD!AA8*Control!$B$3,0)</f>
        <v>0</v>
      </c>
      <c r="AB8">
        <f>IF(AND(COUNTIF(Control!$E$20:$E$100,$B8)=0,COUNTIF(Control!$E$20:$E$100,AB$2)=0),VISUM_Arterial_OD!AB8*Control!$B$3,0)</f>
        <v>0</v>
      </c>
      <c r="AC8">
        <f>IF(AND(COUNTIF(Control!$E$20:$E$100,$B8)=0,COUNTIF(Control!$E$20:$E$100,AC$2)=0),VISUM_Arterial_OD!AC8*Control!$B$3,0)</f>
        <v>0</v>
      </c>
      <c r="AD8">
        <f>IF(AND(COUNTIF(Control!$E$20:$E$100,$B8)=0,COUNTIF(Control!$E$20:$E$100,AD$2)=0),VISUM_Arterial_OD!AD8*Control!$B$3,0)</f>
        <v>0</v>
      </c>
      <c r="AE8">
        <f>IF(AND(COUNTIF(Control!$E$20:$E$100,$B8)=0,COUNTIF(Control!$E$20:$E$100,AE$2)=0),VISUM_Arterial_OD!AE8*Control!$B$3,0)</f>
        <v>0</v>
      </c>
      <c r="AF8">
        <f>IF(AND(COUNTIF(Control!$E$20:$E$100,$B8)=0,COUNTIF(Control!$E$20:$E$100,AF$2)=0),VISUM_Arterial_OD!AF8*Control!$B$3,0)</f>
        <v>0</v>
      </c>
      <c r="AG8">
        <f>IF(AND(COUNTIF(Control!$E$20:$E$100,$B8)=0,COUNTIF(Control!$E$20:$E$100,AG$2)=0),VISUM_Arterial_OD!AG8*Control!$B$3,0)</f>
        <v>0</v>
      </c>
      <c r="AH8">
        <f>IF(AND(COUNTIF(Control!$E$20:$E$100,$B8)=0,COUNTIF(Control!$E$20:$E$100,AH$2)=0),VISUM_Arterial_OD!AH8*Control!$B$3,0)</f>
        <v>0</v>
      </c>
      <c r="AI8">
        <f>IF(AND(COUNTIF(Control!$E$20:$E$100,$B8)=0,COUNTIF(Control!$E$20:$E$100,AI$2)=0),VISUM_Arterial_OD!AI8*Control!$B$3,0)</f>
        <v>0</v>
      </c>
      <c r="AJ8">
        <f>IF(AND(COUNTIF(Control!$E$20:$E$100,$B8)=0,COUNTIF(Control!$E$20:$E$100,AJ$2)=0),VISUM_Arterial_OD!AJ8*Control!$B$3,0)</f>
        <v>0</v>
      </c>
      <c r="AK8">
        <f>IF(AND(COUNTIF(Control!$E$20:$E$100,$B8)=0,COUNTIF(Control!$E$20:$E$100,AK$2)=0),VISUM_Arterial_OD!AK8*Control!$B$3,0)</f>
        <v>0</v>
      </c>
      <c r="AL8">
        <f>IF(AND(COUNTIF(Control!$E$20:$E$100,$B8)=0,COUNTIF(Control!$E$20:$E$100,AL$2)=0),VISUM_Arterial_OD!AL8*Control!$B$3,0)</f>
        <v>0</v>
      </c>
      <c r="AM8">
        <f>IF(AND(COUNTIF(Control!$E$20:$E$100,$B8)=0,COUNTIF(Control!$E$20:$E$100,AM$2)=0),VISUM_Arterial_OD!AM8*Control!$B$3,0)</f>
        <v>0</v>
      </c>
      <c r="AN8">
        <f>IF(AND(COUNTIF(Control!$E$20:$E$100,$B8)=0,COUNTIF(Control!$E$20:$E$100,AN$2)=0),VISUM_Arterial_OD!AN8*Control!$B$3,0)</f>
        <v>0</v>
      </c>
      <c r="AO8">
        <f>IF(AND(COUNTIF(Control!$E$20:$E$100,$B8)=0,COUNTIF(Control!$E$20:$E$100,AO$2)=0),VISUM_Arterial_OD!AO8*Control!$B$3,0)</f>
        <v>0</v>
      </c>
      <c r="AP8">
        <f>IF(AND(COUNTIF(Control!$E$20:$E$100,$B8)=0,COUNTIF(Control!$E$20:$E$100,AP$2)=0),VISUM_Arterial_OD!AP8*Control!$B$3,0)</f>
        <v>0</v>
      </c>
      <c r="AQ8">
        <f>IF(AND(COUNTIF(Control!$E$20:$E$100,$B8)=0,COUNTIF(Control!$E$20:$E$100,AQ$2)=0),VISUM_Arterial_OD!AQ8*Control!$B$3,0)</f>
        <v>0</v>
      </c>
      <c r="AR8">
        <f>IF(AND(COUNTIF(Control!$E$20:$E$100,$B8)=0,COUNTIF(Control!$E$20:$E$100,AR$2)=0),VISUM_Arterial_OD!AR8*Control!$B$3,0)</f>
        <v>0</v>
      </c>
      <c r="AS8">
        <f>IF(AND(COUNTIF(Control!$E$20:$E$100,$B8)=0,COUNTIF(Control!$E$20:$E$100,AS$2)=0),VISUM_Arterial_OD!AS8*Control!$B$3,0)</f>
        <v>0</v>
      </c>
      <c r="AT8">
        <f>IF(AND(COUNTIF(Control!$E$20:$E$100,$B8)=0,COUNTIF(Control!$E$20:$E$100,AT$2)=0),VISUM_Arterial_OD!AT8*Control!$B$3,0)</f>
        <v>0</v>
      </c>
      <c r="AU8">
        <f>IF(AND(COUNTIF(Control!$E$20:$E$100,$B8)=0,COUNTIF(Control!$E$20:$E$100,AU$2)=0),VISUM_Arterial_OD!AU8*Control!$B$3,0)</f>
        <v>0</v>
      </c>
      <c r="AV8">
        <f>IF(AND(COUNTIF(Control!$E$20:$E$100,$B8)=0,COUNTIF(Control!$E$20:$E$100,AV$2)=0),VISUM_Arterial_OD!AV8*Control!$B$3,0)</f>
        <v>0</v>
      </c>
      <c r="AW8">
        <f>IF(AND(COUNTIF(Control!$E$20:$E$100,$B8)=0,COUNTIF(Control!$E$20:$E$100,AW$2)=0),VISUM_Arterial_OD!AW8*Control!$B$3,0)</f>
        <v>0</v>
      </c>
      <c r="AX8">
        <f>IF(AND(COUNTIF(Control!$E$20:$E$100,$B8)=0,COUNTIF(Control!$E$20:$E$100,AX$2)=0),VISUM_Arterial_OD!AX8*Control!$B$3,0)</f>
        <v>0</v>
      </c>
      <c r="AY8">
        <f>IF(AND(COUNTIF(Control!$E$20:$E$100,$B8)=0,COUNTIF(Control!$E$20:$E$100,AY$2)=0),VISUM_Arterial_OD!AY8*Control!$B$3,0)</f>
        <v>0</v>
      </c>
      <c r="AZ8">
        <f>IF(AND(COUNTIF(Control!$E$20:$E$100,$B8)=0,COUNTIF(Control!$E$20:$E$100,AZ$2)=0),VISUM_Arterial_OD!AZ8*Control!$B$3,0)</f>
        <v>0</v>
      </c>
      <c r="BA8">
        <f>IF(AND(COUNTIF(Control!$E$20:$E$100,$B8)=0,COUNTIF(Control!$E$20:$E$100,BA$2)=0),VISUM_Arterial_OD!BA8*Control!$B$3,0)</f>
        <v>0</v>
      </c>
      <c r="BB8">
        <f>IF(AND(COUNTIF(Control!$E$20:$E$100,$B8)=0,COUNTIF(Control!$E$20:$E$100,BB$2)=0),VISUM_Arterial_OD!BB8*Control!$B$3,0)</f>
        <v>0</v>
      </c>
      <c r="BC8">
        <f>IF(AND(COUNTIF(Control!$E$20:$E$100,$B8)=0,COUNTIF(Control!$E$20:$E$100,BC$2)=0),VISUM_Arterial_OD!BC8*Control!$B$3,0)</f>
        <v>0</v>
      </c>
      <c r="BD8">
        <f>IF(AND(COUNTIF(Control!$E$20:$E$100,$B8)=0,COUNTIF(Control!$E$20:$E$100,BD$2)=0),VISUM_Arterial_OD!BD8*Control!$B$3,0)</f>
        <v>0</v>
      </c>
      <c r="BE8">
        <f>IF(AND(COUNTIF(Control!$E$20:$E$100,$B8)=0,COUNTIF(Control!$E$20:$E$100,BE$2)=0),VISUM_Arterial_OD!BE8*Control!$B$3,0)</f>
        <v>0</v>
      </c>
      <c r="BF8">
        <f>IF(AND(COUNTIF(Control!$E$20:$E$100,$B8)=0,COUNTIF(Control!$E$20:$E$100,BF$2)=0),VISUM_Arterial_OD!BF8*Control!$B$3,0)</f>
        <v>0</v>
      </c>
      <c r="BG8">
        <f>IF(AND(COUNTIF(Control!$E$20:$E$100,$B8)=0,COUNTIF(Control!$E$20:$E$100,BG$2)=0),VISUM_Arterial_OD!BG8*Control!$B$3,0)</f>
        <v>0</v>
      </c>
      <c r="BH8">
        <f>IF(AND(COUNTIF(Control!$E$20:$E$100,$B8)=0,COUNTIF(Control!$E$20:$E$100,BH$2)=0),VISUM_Arterial_OD!BH8*Control!$B$3,0)</f>
        <v>0</v>
      </c>
      <c r="BI8">
        <f>IF(AND(COUNTIF(Control!$E$20:$E$100,$B8)=0,COUNTIF(Control!$E$20:$E$100,BI$2)=0),VISUM_Arterial_OD!BI8*Control!$B$3,0)</f>
        <v>0</v>
      </c>
      <c r="BJ8">
        <f>IF(AND(COUNTIF(Control!$E$20:$E$100,$B8)=0,COUNTIF(Control!$E$20:$E$100,BJ$2)=0),VISUM_Arterial_OD!BJ8*Control!$B$3,0)</f>
        <v>7.6965769499999999</v>
      </c>
      <c r="BK8">
        <f>IF(AND(COUNTIF(Control!$E$20:$E$100,$B8)=0,COUNTIF(Control!$E$20:$E$100,BK$2)=0),VISUM_Arterial_OD!BK8*Control!$B$3,0)</f>
        <v>1.8341252699999999</v>
      </c>
      <c r="BL8">
        <f>IF(AND(COUNTIF(Control!$E$20:$E$100,$B8)=0,COUNTIF(Control!$E$20:$E$100,BL$2)=0),VISUM_Arterial_OD!BL8*Control!$B$3,0)</f>
        <v>0.49570953000000001</v>
      </c>
      <c r="BM8">
        <f>IF(AND(COUNTIF(Control!$E$20:$E$100,$B8)=0,COUNTIF(Control!$E$20:$E$100,BM$2)=0),VISUM_Arterial_OD!BM8*Control!$B$3,0)</f>
        <v>0</v>
      </c>
      <c r="BN8">
        <f>IF(AND(COUNTIF(Control!$E$20:$E$100,$B8)=0,COUNTIF(Control!$E$20:$E$100,BN$2)=0),VISUM_Arterial_OD!BN8*Control!$B$3,0)</f>
        <v>6.3451497599999991</v>
      </c>
      <c r="BO8">
        <f>IF(AND(COUNTIF(Control!$E$20:$E$100,$B8)=0,COUNTIF(Control!$E$20:$E$100,BO$2)=0),VISUM_Arterial_OD!BO8*Control!$B$3,0)</f>
        <v>0</v>
      </c>
      <c r="BP8">
        <f>IF(AND(COUNTIF(Control!$E$20:$E$100,$B8)=0,COUNTIF(Control!$E$20:$E$100,BP$2)=0),VISUM_Arterial_OD!BP8*Control!$B$3,0)</f>
        <v>0</v>
      </c>
      <c r="BQ8">
        <f>IF(AND(COUNTIF(Control!$E$20:$E$100,$B8)=0,COUNTIF(Control!$E$20:$E$100,BQ$2)=0),VISUM_Arterial_OD!BQ8*Control!$B$3,0)</f>
        <v>0</v>
      </c>
    </row>
    <row r="9" spans="1:69" x14ac:dyDescent="0.25">
      <c r="A9" s="5">
        <f>IF(VLOOKUP(B9,Arterial_Zone_Link_Mapping!$A:$C,2,FALSE)&lt;&gt;"",VLOOKUP(B9,Arterial_Zone_Link_Mapping!$A:$C,2,FALSE),"")</f>
        <v>78</v>
      </c>
      <c r="B9" s="5">
        <v>18</v>
      </c>
      <c r="C9">
        <f>IF(AND(COUNTIF(Control!$E$20:$E$100,$B9)=0,COUNTIF(Control!$E$20:$E$100,C$2)=0),VISUM_Arterial_OD!C9*Control!$B$3,0)</f>
        <v>0</v>
      </c>
      <c r="D9">
        <f>IF(AND(COUNTIF(Control!$E$20:$E$100,$B9)=0,COUNTIF(Control!$E$20:$E$100,D$2)=0),VISUM_Arterial_OD!D9*Control!$B$3,0)</f>
        <v>0</v>
      </c>
      <c r="E9">
        <f>IF(AND(COUNTIF(Control!$E$20:$E$100,$B9)=0,COUNTIF(Control!$E$20:$E$100,E$2)=0),VISUM_Arterial_OD!E9*Control!$B$3,0)</f>
        <v>0</v>
      </c>
      <c r="F9">
        <f>IF(AND(COUNTIF(Control!$E$20:$E$100,$B9)=0,COUNTIF(Control!$E$20:$E$100,F$2)=0),VISUM_Arterial_OD!F9*Control!$B$3,0)</f>
        <v>0</v>
      </c>
      <c r="G9">
        <f>IF(AND(COUNTIF(Control!$E$20:$E$100,$B9)=0,COUNTIF(Control!$E$20:$E$100,G$2)=0),VISUM_Arterial_OD!G9*Control!$B$3,0)</f>
        <v>0</v>
      </c>
      <c r="H9">
        <f>IF(AND(COUNTIF(Control!$E$20:$E$100,$B9)=0,COUNTIF(Control!$E$20:$E$100,H$2)=0),VISUM_Arterial_OD!H9*Control!$B$3,0)</f>
        <v>11.99989527</v>
      </c>
      <c r="I9">
        <f>IF(AND(COUNTIF(Control!$E$20:$E$100,$B9)=0,COUNTIF(Control!$E$20:$E$100,I$2)=0),VISUM_Arterial_OD!I9*Control!$B$3,0)</f>
        <v>0</v>
      </c>
      <c r="J9">
        <f>IF(AND(COUNTIF(Control!$E$20:$E$100,$B9)=0,COUNTIF(Control!$E$20:$E$100,J$2)=0),VISUM_Arterial_OD!J9*Control!$B$3,0)</f>
        <v>0</v>
      </c>
      <c r="K9">
        <f>IF(AND(COUNTIF(Control!$E$20:$E$100,$B9)=0,COUNTIF(Control!$E$20:$E$100,K$2)=0),VISUM_Arterial_OD!K9*Control!$B$3,0)</f>
        <v>0</v>
      </c>
      <c r="L9">
        <f>IF(AND(COUNTIF(Control!$E$20:$E$100,$B9)=0,COUNTIF(Control!$E$20:$E$100,L$2)=0),VISUM_Arterial_OD!L9*Control!$B$3,0)</f>
        <v>0</v>
      </c>
      <c r="M9">
        <f>IF(AND(COUNTIF(Control!$E$20:$E$100,$B9)=0,COUNTIF(Control!$E$20:$E$100,M$2)=0),VISUM_Arterial_OD!M9*Control!$B$3,0)</f>
        <v>0</v>
      </c>
      <c r="N9">
        <f>IF(AND(COUNTIF(Control!$E$20:$E$100,$B9)=0,COUNTIF(Control!$E$20:$E$100,N$2)=0),VISUM_Arterial_OD!N9*Control!$B$3,0)</f>
        <v>0</v>
      </c>
      <c r="O9">
        <f>IF(AND(COUNTIF(Control!$E$20:$E$100,$B9)=0,COUNTIF(Control!$E$20:$E$100,O$2)=0),VISUM_Arterial_OD!O9*Control!$B$3,0)</f>
        <v>0</v>
      </c>
      <c r="P9">
        <f>IF(AND(COUNTIF(Control!$E$20:$E$100,$B9)=0,COUNTIF(Control!$E$20:$E$100,P$2)=0),VISUM_Arterial_OD!P9*Control!$B$3,0)</f>
        <v>0</v>
      </c>
      <c r="Q9">
        <f>IF(AND(COUNTIF(Control!$E$20:$E$100,$B9)=0,COUNTIF(Control!$E$20:$E$100,Q$2)=0),VISUM_Arterial_OD!Q9*Control!$B$3,0)</f>
        <v>0</v>
      </c>
      <c r="R9">
        <f>IF(AND(COUNTIF(Control!$E$20:$E$100,$B9)=0,COUNTIF(Control!$E$20:$E$100,R$2)=0),VISUM_Arterial_OD!R9*Control!$B$3,0)</f>
        <v>0</v>
      </c>
      <c r="S9">
        <f>IF(AND(COUNTIF(Control!$E$20:$E$100,$B9)=0,COUNTIF(Control!$E$20:$E$100,S$2)=0),VISUM_Arterial_OD!S9*Control!$B$3,0)</f>
        <v>0</v>
      </c>
      <c r="T9">
        <f>IF(AND(COUNTIF(Control!$E$20:$E$100,$B9)=0,COUNTIF(Control!$E$20:$E$100,T$2)=0),VISUM_Arterial_OD!T9*Control!$B$3,0)</f>
        <v>0</v>
      </c>
      <c r="U9">
        <f>IF(AND(COUNTIF(Control!$E$20:$E$100,$B9)=0,COUNTIF(Control!$E$20:$E$100,U$2)=0),VISUM_Arterial_OD!U9*Control!$B$3,0)</f>
        <v>0</v>
      </c>
      <c r="V9">
        <f>IF(AND(COUNTIF(Control!$E$20:$E$100,$B9)=0,COUNTIF(Control!$E$20:$E$100,V$2)=0),VISUM_Arterial_OD!V9*Control!$B$3,0)</f>
        <v>0</v>
      </c>
      <c r="W9">
        <f>IF(AND(COUNTIF(Control!$E$20:$E$100,$B9)=0,COUNTIF(Control!$E$20:$E$100,W$2)=0),VISUM_Arterial_OD!W9*Control!$B$3,0)</f>
        <v>0</v>
      </c>
      <c r="X9">
        <f>IF(AND(COUNTIF(Control!$E$20:$E$100,$B9)=0,COUNTIF(Control!$E$20:$E$100,X$2)=0),VISUM_Arterial_OD!X9*Control!$B$3,0)</f>
        <v>0</v>
      </c>
      <c r="Y9">
        <f>IF(AND(COUNTIF(Control!$E$20:$E$100,$B9)=0,COUNTIF(Control!$E$20:$E$100,Y$2)=0),VISUM_Arterial_OD!Y9*Control!$B$3,0)</f>
        <v>0</v>
      </c>
      <c r="Z9">
        <f>IF(AND(COUNTIF(Control!$E$20:$E$100,$B9)=0,COUNTIF(Control!$E$20:$E$100,Z$2)=0),VISUM_Arterial_OD!Z9*Control!$B$3,0)</f>
        <v>0</v>
      </c>
      <c r="AA9">
        <f>IF(AND(COUNTIF(Control!$E$20:$E$100,$B9)=0,COUNTIF(Control!$E$20:$E$100,AA$2)=0),VISUM_Arterial_OD!AA9*Control!$B$3,0)</f>
        <v>0</v>
      </c>
      <c r="AB9">
        <f>IF(AND(COUNTIF(Control!$E$20:$E$100,$B9)=0,COUNTIF(Control!$E$20:$E$100,AB$2)=0),VISUM_Arterial_OD!AB9*Control!$B$3,0)</f>
        <v>0</v>
      </c>
      <c r="AC9">
        <f>IF(AND(COUNTIF(Control!$E$20:$E$100,$B9)=0,COUNTIF(Control!$E$20:$E$100,AC$2)=0),VISUM_Arterial_OD!AC9*Control!$B$3,0)</f>
        <v>0</v>
      </c>
      <c r="AD9">
        <f>IF(AND(COUNTIF(Control!$E$20:$E$100,$B9)=0,COUNTIF(Control!$E$20:$E$100,AD$2)=0),VISUM_Arterial_OD!AD9*Control!$B$3,0)</f>
        <v>0</v>
      </c>
      <c r="AE9">
        <f>IF(AND(COUNTIF(Control!$E$20:$E$100,$B9)=0,COUNTIF(Control!$E$20:$E$100,AE$2)=0),VISUM_Arterial_OD!AE9*Control!$B$3,0)</f>
        <v>0</v>
      </c>
      <c r="AF9">
        <f>IF(AND(COUNTIF(Control!$E$20:$E$100,$B9)=0,COUNTIF(Control!$E$20:$E$100,AF$2)=0),VISUM_Arterial_OD!AF9*Control!$B$3,0)</f>
        <v>0</v>
      </c>
      <c r="AG9">
        <f>IF(AND(COUNTIF(Control!$E$20:$E$100,$B9)=0,COUNTIF(Control!$E$20:$E$100,AG$2)=0),VISUM_Arterial_OD!AG9*Control!$B$3,0)</f>
        <v>0</v>
      </c>
      <c r="AH9">
        <f>IF(AND(COUNTIF(Control!$E$20:$E$100,$B9)=0,COUNTIF(Control!$E$20:$E$100,AH$2)=0),VISUM_Arterial_OD!AH9*Control!$B$3,0)</f>
        <v>0</v>
      </c>
      <c r="AI9">
        <f>IF(AND(COUNTIF(Control!$E$20:$E$100,$B9)=0,COUNTIF(Control!$E$20:$E$100,AI$2)=0),VISUM_Arterial_OD!AI9*Control!$B$3,0)</f>
        <v>0</v>
      </c>
      <c r="AJ9">
        <f>IF(AND(COUNTIF(Control!$E$20:$E$100,$B9)=0,COUNTIF(Control!$E$20:$E$100,AJ$2)=0),VISUM_Arterial_OD!AJ9*Control!$B$3,0)</f>
        <v>0</v>
      </c>
      <c r="AK9">
        <f>IF(AND(COUNTIF(Control!$E$20:$E$100,$B9)=0,COUNTIF(Control!$E$20:$E$100,AK$2)=0),VISUM_Arterial_OD!AK9*Control!$B$3,0)</f>
        <v>0</v>
      </c>
      <c r="AL9">
        <f>IF(AND(COUNTIF(Control!$E$20:$E$100,$B9)=0,COUNTIF(Control!$E$20:$E$100,AL$2)=0),VISUM_Arterial_OD!AL9*Control!$B$3,0)</f>
        <v>0</v>
      </c>
      <c r="AM9">
        <f>IF(AND(COUNTIF(Control!$E$20:$E$100,$B9)=0,COUNTIF(Control!$E$20:$E$100,AM$2)=0),VISUM_Arterial_OD!AM9*Control!$B$3,0)</f>
        <v>0</v>
      </c>
      <c r="AN9">
        <f>IF(AND(COUNTIF(Control!$E$20:$E$100,$B9)=0,COUNTIF(Control!$E$20:$E$100,AN$2)=0),VISUM_Arterial_OD!AN9*Control!$B$3,0)</f>
        <v>0</v>
      </c>
      <c r="AO9">
        <f>IF(AND(COUNTIF(Control!$E$20:$E$100,$B9)=0,COUNTIF(Control!$E$20:$E$100,AO$2)=0),VISUM_Arterial_OD!AO9*Control!$B$3,0)</f>
        <v>0</v>
      </c>
      <c r="AP9">
        <f>IF(AND(COUNTIF(Control!$E$20:$E$100,$B9)=0,COUNTIF(Control!$E$20:$E$100,AP$2)=0),VISUM_Arterial_OD!AP9*Control!$B$3,0)</f>
        <v>0</v>
      </c>
      <c r="AQ9">
        <f>IF(AND(COUNTIF(Control!$E$20:$E$100,$B9)=0,COUNTIF(Control!$E$20:$E$100,AQ$2)=0),VISUM_Arterial_OD!AQ9*Control!$B$3,0)</f>
        <v>0</v>
      </c>
      <c r="AR9">
        <f>IF(AND(COUNTIF(Control!$E$20:$E$100,$B9)=0,COUNTIF(Control!$E$20:$E$100,AR$2)=0),VISUM_Arterial_OD!AR9*Control!$B$3,0)</f>
        <v>0</v>
      </c>
      <c r="AS9">
        <f>IF(AND(COUNTIF(Control!$E$20:$E$100,$B9)=0,COUNTIF(Control!$E$20:$E$100,AS$2)=0),VISUM_Arterial_OD!AS9*Control!$B$3,0)</f>
        <v>0</v>
      </c>
      <c r="AT9">
        <f>IF(AND(COUNTIF(Control!$E$20:$E$100,$B9)=0,COUNTIF(Control!$E$20:$E$100,AT$2)=0),VISUM_Arterial_OD!AT9*Control!$B$3,0)</f>
        <v>0</v>
      </c>
      <c r="AU9">
        <f>IF(AND(COUNTIF(Control!$E$20:$E$100,$B9)=0,COUNTIF(Control!$E$20:$E$100,AU$2)=0),VISUM_Arterial_OD!AU9*Control!$B$3,0)</f>
        <v>0</v>
      </c>
      <c r="AV9">
        <f>IF(AND(COUNTIF(Control!$E$20:$E$100,$B9)=0,COUNTIF(Control!$E$20:$E$100,AV$2)=0),VISUM_Arterial_OD!AV9*Control!$B$3,0)</f>
        <v>0</v>
      </c>
      <c r="AW9">
        <f>IF(AND(COUNTIF(Control!$E$20:$E$100,$B9)=0,COUNTIF(Control!$E$20:$E$100,AW$2)=0),VISUM_Arterial_OD!AW9*Control!$B$3,0)</f>
        <v>0</v>
      </c>
      <c r="AX9">
        <f>IF(AND(COUNTIF(Control!$E$20:$E$100,$B9)=0,COUNTIF(Control!$E$20:$E$100,AX$2)=0),VISUM_Arterial_OD!AX9*Control!$B$3,0)</f>
        <v>0</v>
      </c>
      <c r="AY9">
        <f>IF(AND(COUNTIF(Control!$E$20:$E$100,$B9)=0,COUNTIF(Control!$E$20:$E$100,AY$2)=0),VISUM_Arterial_OD!AY9*Control!$B$3,0)</f>
        <v>0</v>
      </c>
      <c r="AZ9">
        <f>IF(AND(COUNTIF(Control!$E$20:$E$100,$B9)=0,COUNTIF(Control!$E$20:$E$100,AZ$2)=0),VISUM_Arterial_OD!AZ9*Control!$B$3,0)</f>
        <v>0</v>
      </c>
      <c r="BA9">
        <f>IF(AND(COUNTIF(Control!$E$20:$E$100,$B9)=0,COUNTIF(Control!$E$20:$E$100,BA$2)=0),VISUM_Arterial_OD!BA9*Control!$B$3,0)</f>
        <v>0</v>
      </c>
      <c r="BB9">
        <f>IF(AND(COUNTIF(Control!$E$20:$E$100,$B9)=0,COUNTIF(Control!$E$20:$E$100,BB$2)=0),VISUM_Arterial_OD!BB9*Control!$B$3,0)</f>
        <v>0</v>
      </c>
      <c r="BC9">
        <f>IF(AND(COUNTIF(Control!$E$20:$E$100,$B9)=0,COUNTIF(Control!$E$20:$E$100,BC$2)=0),VISUM_Arterial_OD!BC9*Control!$B$3,0)</f>
        <v>0</v>
      </c>
      <c r="BD9">
        <f>IF(AND(COUNTIF(Control!$E$20:$E$100,$B9)=0,COUNTIF(Control!$E$20:$E$100,BD$2)=0),VISUM_Arterial_OD!BD9*Control!$B$3,0)</f>
        <v>0</v>
      </c>
      <c r="BE9">
        <f>IF(AND(COUNTIF(Control!$E$20:$E$100,$B9)=0,COUNTIF(Control!$E$20:$E$100,BE$2)=0),VISUM_Arterial_OD!BE9*Control!$B$3,0)</f>
        <v>0</v>
      </c>
      <c r="BF9">
        <f>IF(AND(COUNTIF(Control!$E$20:$E$100,$B9)=0,COUNTIF(Control!$E$20:$E$100,BF$2)=0),VISUM_Arterial_OD!BF9*Control!$B$3,0)</f>
        <v>0</v>
      </c>
      <c r="BG9">
        <f>IF(AND(COUNTIF(Control!$E$20:$E$100,$B9)=0,COUNTIF(Control!$E$20:$E$100,BG$2)=0),VISUM_Arterial_OD!BG9*Control!$B$3,0)</f>
        <v>0</v>
      </c>
      <c r="BH9">
        <f>IF(AND(COUNTIF(Control!$E$20:$E$100,$B9)=0,COUNTIF(Control!$E$20:$E$100,BH$2)=0),VISUM_Arterial_OD!BH9*Control!$B$3,0)</f>
        <v>0</v>
      </c>
      <c r="BI9">
        <f>IF(AND(COUNTIF(Control!$E$20:$E$100,$B9)=0,COUNTIF(Control!$E$20:$E$100,BI$2)=0),VISUM_Arterial_OD!BI9*Control!$B$3,0)</f>
        <v>0</v>
      </c>
      <c r="BJ9">
        <f>IF(AND(COUNTIF(Control!$E$20:$E$100,$B9)=0,COUNTIF(Control!$E$20:$E$100,BJ$2)=0),VISUM_Arterial_OD!BJ9*Control!$B$3,0)</f>
        <v>5.0672624399999995</v>
      </c>
      <c r="BK9">
        <f>IF(AND(COUNTIF(Control!$E$20:$E$100,$B9)=0,COUNTIF(Control!$E$20:$E$100,BK$2)=0),VISUM_Arterial_OD!BK9*Control!$B$3,0)</f>
        <v>1.2075490499999999</v>
      </c>
      <c r="BL9">
        <f>IF(AND(COUNTIF(Control!$E$20:$E$100,$B9)=0,COUNTIF(Control!$E$20:$E$100,BL$2)=0),VISUM_Arterial_OD!BL9*Control!$B$3,0)</f>
        <v>0.32636459999999995</v>
      </c>
      <c r="BM9">
        <f>IF(AND(COUNTIF(Control!$E$20:$E$100,$B9)=0,COUNTIF(Control!$E$20:$E$100,BM$2)=0),VISUM_Arterial_OD!BM9*Control!$B$3,0)</f>
        <v>0</v>
      </c>
      <c r="BN9">
        <f>IF(AND(COUNTIF(Control!$E$20:$E$100,$B9)=0,COUNTIF(Control!$E$20:$E$100,BN$2)=0),VISUM_Arterial_OD!BN9*Control!$B$3,0)</f>
        <v>4.1775115199999995</v>
      </c>
      <c r="BO9">
        <f>IF(AND(COUNTIF(Control!$E$20:$E$100,$B9)=0,COUNTIF(Control!$E$20:$E$100,BO$2)=0),VISUM_Arterial_OD!BO9*Control!$B$3,0)</f>
        <v>0</v>
      </c>
      <c r="BP9">
        <f>IF(AND(COUNTIF(Control!$E$20:$E$100,$B9)=0,COUNTIF(Control!$E$20:$E$100,BP$2)=0),VISUM_Arterial_OD!BP9*Control!$B$3,0)</f>
        <v>0</v>
      </c>
      <c r="BQ9">
        <f>IF(AND(COUNTIF(Control!$E$20:$E$100,$B9)=0,COUNTIF(Control!$E$20:$E$100,BQ$2)=0),VISUM_Arterial_OD!BQ9*Control!$B$3,0)</f>
        <v>0</v>
      </c>
    </row>
    <row r="10" spans="1:69" x14ac:dyDescent="0.25">
      <c r="A10" s="5">
        <f>IF(VLOOKUP(B10,Arterial_Zone_Link_Mapping!$A:$C,2,FALSE)&lt;&gt;"",VLOOKUP(B10,Arterial_Zone_Link_Mapping!$A:$C,2,FALSE),"")</f>
        <v>136</v>
      </c>
      <c r="B10" s="5">
        <v>20</v>
      </c>
      <c r="C10">
        <f>IF(AND(COUNTIF(Control!$E$20:$E$100,$B10)=0,COUNTIF(Control!$E$20:$E$100,C$2)=0),VISUM_Arterial_OD!C10*Control!$B$3,0)</f>
        <v>0.84194075999999995</v>
      </c>
      <c r="D10">
        <f>IF(AND(COUNTIF(Control!$E$20:$E$100,$B10)=0,COUNTIF(Control!$E$20:$E$100,D$2)=0),VISUM_Arterial_OD!D10*Control!$B$3,0)</f>
        <v>0</v>
      </c>
      <c r="E10">
        <f>IF(AND(COUNTIF(Control!$E$20:$E$100,$B10)=0,COUNTIF(Control!$E$20:$E$100,E$2)=0),VISUM_Arterial_OD!E10*Control!$B$3,0)</f>
        <v>0</v>
      </c>
      <c r="F10">
        <f>IF(AND(COUNTIF(Control!$E$20:$E$100,$B10)=0,COUNTIF(Control!$E$20:$E$100,F$2)=0),VISUM_Arterial_OD!F10*Control!$B$3,0)</f>
        <v>0</v>
      </c>
      <c r="G10">
        <f>IF(AND(COUNTIF(Control!$E$20:$E$100,$B10)=0,COUNTIF(Control!$E$20:$E$100,G$2)=0),VISUM_Arterial_OD!G10*Control!$B$3,0)</f>
        <v>0</v>
      </c>
      <c r="H10">
        <f>IF(AND(COUNTIF(Control!$E$20:$E$100,$B10)=0,COUNTIF(Control!$E$20:$E$100,H$2)=0),VISUM_Arterial_OD!H10*Control!$B$3,0)</f>
        <v>0</v>
      </c>
      <c r="I10">
        <f>IF(AND(COUNTIF(Control!$E$20:$E$100,$B10)=0,COUNTIF(Control!$E$20:$E$100,I$2)=0),VISUM_Arterial_OD!I10*Control!$B$3,0)</f>
        <v>0</v>
      </c>
      <c r="J10">
        <f>IF(AND(COUNTIF(Control!$E$20:$E$100,$B10)=0,COUNTIF(Control!$E$20:$E$100,J$2)=0),VISUM_Arterial_OD!J10*Control!$B$3,0)</f>
        <v>0</v>
      </c>
      <c r="K10">
        <f>IF(AND(COUNTIF(Control!$E$20:$E$100,$B10)=0,COUNTIF(Control!$E$20:$E$100,K$2)=0),VISUM_Arterial_OD!K10*Control!$B$3,0)</f>
        <v>0.31182926999999999</v>
      </c>
      <c r="L10">
        <f>IF(AND(COUNTIF(Control!$E$20:$E$100,$B10)=0,COUNTIF(Control!$E$20:$E$100,L$2)=0),VISUM_Arterial_OD!L10*Control!$B$3,0)</f>
        <v>0.92661524999999989</v>
      </c>
      <c r="M10">
        <f>IF(AND(COUNTIF(Control!$E$20:$E$100,$B10)=0,COUNTIF(Control!$E$20:$E$100,M$2)=0),VISUM_Arterial_OD!M10*Control!$B$3,0)</f>
        <v>0</v>
      </c>
      <c r="N10">
        <f>IF(AND(COUNTIF(Control!$E$20:$E$100,$B10)=0,COUNTIF(Control!$E$20:$E$100,N$2)=0),VISUM_Arterial_OD!N10*Control!$B$3,0)</f>
        <v>0</v>
      </c>
      <c r="O10">
        <f>IF(AND(COUNTIF(Control!$E$20:$E$100,$B10)=0,COUNTIF(Control!$E$20:$E$100,O$2)=0),VISUM_Arterial_OD!O10*Control!$B$3,0)</f>
        <v>3.4499698799999998</v>
      </c>
      <c r="P10">
        <f>IF(AND(COUNTIF(Control!$E$20:$E$100,$B10)=0,COUNTIF(Control!$E$20:$E$100,P$2)=0),VISUM_Arterial_OD!P10*Control!$B$3,0)</f>
        <v>0.19405925999999998</v>
      </c>
      <c r="Q10">
        <f>IF(AND(COUNTIF(Control!$E$20:$E$100,$B10)=0,COUNTIF(Control!$E$20:$E$100,Q$2)=0),VISUM_Arterial_OD!Q10*Control!$B$3,0)</f>
        <v>0</v>
      </c>
      <c r="R10">
        <f>IF(AND(COUNTIF(Control!$E$20:$E$100,$B10)=0,COUNTIF(Control!$E$20:$E$100,R$2)=0),VISUM_Arterial_OD!R10*Control!$B$3,0)</f>
        <v>0</v>
      </c>
      <c r="S10">
        <f>IF(AND(COUNTIF(Control!$E$20:$E$100,$B10)=0,COUNTIF(Control!$E$20:$E$100,S$2)=0),VISUM_Arterial_OD!S10*Control!$B$3,0)</f>
        <v>0.79572704999999999</v>
      </c>
      <c r="T10">
        <f>IF(AND(COUNTIF(Control!$E$20:$E$100,$B10)=0,COUNTIF(Control!$E$20:$E$100,T$2)=0),VISUM_Arterial_OD!T10*Control!$B$3,0)</f>
        <v>0</v>
      </c>
      <c r="U10">
        <f>IF(AND(COUNTIF(Control!$E$20:$E$100,$B10)=0,COUNTIF(Control!$E$20:$E$100,U$2)=0),VISUM_Arterial_OD!U10*Control!$B$3,0)</f>
        <v>0</v>
      </c>
      <c r="V10">
        <f>IF(AND(COUNTIF(Control!$E$20:$E$100,$B10)=0,COUNTIF(Control!$E$20:$E$100,V$2)=0),VISUM_Arterial_OD!V10*Control!$B$3,0)</f>
        <v>0</v>
      </c>
      <c r="W10">
        <f>IF(AND(COUNTIF(Control!$E$20:$E$100,$B10)=0,COUNTIF(Control!$E$20:$E$100,W$2)=0),VISUM_Arterial_OD!W10*Control!$B$3,0)</f>
        <v>0</v>
      </c>
      <c r="X10">
        <f>IF(AND(COUNTIF(Control!$E$20:$E$100,$B10)=0,COUNTIF(Control!$E$20:$E$100,X$2)=0),VISUM_Arterial_OD!X10*Control!$B$3,0)</f>
        <v>0</v>
      </c>
      <c r="Y10">
        <f>IF(AND(COUNTIF(Control!$E$20:$E$100,$B10)=0,COUNTIF(Control!$E$20:$E$100,Y$2)=0),VISUM_Arterial_OD!Y10*Control!$B$3,0)</f>
        <v>0</v>
      </c>
      <c r="Z10">
        <f>IF(AND(COUNTIF(Control!$E$20:$E$100,$B10)=0,COUNTIF(Control!$E$20:$E$100,Z$2)=0),VISUM_Arterial_OD!Z10*Control!$B$3,0)</f>
        <v>0.55929830999999997</v>
      </c>
      <c r="AA10">
        <f>IF(AND(COUNTIF(Control!$E$20:$E$100,$B10)=0,COUNTIF(Control!$E$20:$E$100,AA$2)=0),VISUM_Arterial_OD!AA10*Control!$B$3,0)</f>
        <v>0</v>
      </c>
      <c r="AB10">
        <f>IF(AND(COUNTIF(Control!$E$20:$E$100,$B10)=0,COUNTIF(Control!$E$20:$E$100,AB$2)=0),VISUM_Arterial_OD!AB10*Control!$B$3,0)</f>
        <v>1.4858080499999999</v>
      </c>
      <c r="AC10">
        <f>IF(AND(COUNTIF(Control!$E$20:$E$100,$B10)=0,COUNTIF(Control!$E$20:$E$100,AC$2)=0),VISUM_Arterial_OD!AC10*Control!$B$3,0)</f>
        <v>3.2459159999999994E-2</v>
      </c>
      <c r="AD10">
        <f>IF(AND(COUNTIF(Control!$E$20:$E$100,$B10)=0,COUNTIF(Control!$E$20:$E$100,AD$2)=0),VISUM_Arterial_OD!AD10*Control!$B$3,0)</f>
        <v>0</v>
      </c>
      <c r="AE10">
        <f>IF(AND(COUNTIF(Control!$E$20:$E$100,$B10)=0,COUNTIF(Control!$E$20:$E$100,AE$2)=0),VISUM_Arterial_OD!AE10*Control!$B$3,0)</f>
        <v>0</v>
      </c>
      <c r="AF10">
        <f>IF(AND(COUNTIF(Control!$E$20:$E$100,$B10)=0,COUNTIF(Control!$E$20:$E$100,AF$2)=0),VISUM_Arterial_OD!AF10*Control!$B$3,0)</f>
        <v>6.5673144899999993</v>
      </c>
      <c r="AG10">
        <f>IF(AND(COUNTIF(Control!$E$20:$E$100,$B10)=0,COUNTIF(Control!$E$20:$E$100,AG$2)=0),VISUM_Arterial_OD!AG10*Control!$B$3,0)</f>
        <v>0</v>
      </c>
      <c r="AH10">
        <f>IF(AND(COUNTIF(Control!$E$20:$E$100,$B10)=0,COUNTIF(Control!$E$20:$E$100,AH$2)=0),VISUM_Arterial_OD!AH10*Control!$B$3,0)</f>
        <v>0</v>
      </c>
      <c r="AI10">
        <f>IF(AND(COUNTIF(Control!$E$20:$E$100,$B10)=0,COUNTIF(Control!$E$20:$E$100,AI$2)=0),VISUM_Arterial_OD!AI10*Control!$B$3,0)</f>
        <v>0</v>
      </c>
      <c r="AJ10">
        <f>IF(AND(COUNTIF(Control!$E$20:$E$100,$B10)=0,COUNTIF(Control!$E$20:$E$100,AJ$2)=0),VISUM_Arterial_OD!AJ10*Control!$B$3,0)</f>
        <v>3.2082435899999999</v>
      </c>
      <c r="AK10">
        <f>IF(AND(COUNTIF(Control!$E$20:$E$100,$B10)=0,COUNTIF(Control!$E$20:$E$100,AK$2)=0),VISUM_Arterial_OD!AK10*Control!$B$3,0)</f>
        <v>0</v>
      </c>
      <c r="AL10">
        <f>IF(AND(COUNTIF(Control!$E$20:$E$100,$B10)=0,COUNTIF(Control!$E$20:$E$100,AL$2)=0),VISUM_Arterial_OD!AL10*Control!$B$3,0)</f>
        <v>0</v>
      </c>
      <c r="AM10">
        <f>IF(AND(COUNTIF(Control!$E$20:$E$100,$B10)=0,COUNTIF(Control!$E$20:$E$100,AM$2)=0),VISUM_Arterial_OD!AM10*Control!$B$3,0)</f>
        <v>0</v>
      </c>
      <c r="AN10">
        <f>IF(AND(COUNTIF(Control!$E$20:$E$100,$B10)=0,COUNTIF(Control!$E$20:$E$100,AN$2)=0),VISUM_Arterial_OD!AN10*Control!$B$3,0)</f>
        <v>0</v>
      </c>
      <c r="AO10">
        <f>IF(AND(COUNTIF(Control!$E$20:$E$100,$B10)=0,COUNTIF(Control!$E$20:$E$100,AO$2)=0),VISUM_Arterial_OD!AO10*Control!$B$3,0)</f>
        <v>0</v>
      </c>
      <c r="AP10">
        <f>IF(AND(COUNTIF(Control!$E$20:$E$100,$B10)=0,COUNTIF(Control!$E$20:$E$100,AP$2)=0),VISUM_Arterial_OD!AP10*Control!$B$3,0)</f>
        <v>0</v>
      </c>
      <c r="AQ10">
        <f>IF(AND(COUNTIF(Control!$E$20:$E$100,$B10)=0,COUNTIF(Control!$E$20:$E$100,AQ$2)=0),VISUM_Arterial_OD!AQ10*Control!$B$3,0)</f>
        <v>0</v>
      </c>
      <c r="AR10">
        <f>IF(AND(COUNTIF(Control!$E$20:$E$100,$B10)=0,COUNTIF(Control!$E$20:$E$100,AR$2)=0),VISUM_Arterial_OD!AR10*Control!$B$3,0)</f>
        <v>0</v>
      </c>
      <c r="AS10">
        <f>IF(AND(COUNTIF(Control!$E$20:$E$100,$B10)=0,COUNTIF(Control!$E$20:$E$100,AS$2)=0),VISUM_Arterial_OD!AS10*Control!$B$3,0)</f>
        <v>0</v>
      </c>
      <c r="AT10">
        <f>IF(AND(COUNTIF(Control!$E$20:$E$100,$B10)=0,COUNTIF(Control!$E$20:$E$100,AT$2)=0),VISUM_Arterial_OD!AT10*Control!$B$3,0)</f>
        <v>0</v>
      </c>
      <c r="AU10">
        <f>IF(AND(COUNTIF(Control!$E$20:$E$100,$B10)=0,COUNTIF(Control!$E$20:$E$100,AU$2)=0),VISUM_Arterial_OD!AU10*Control!$B$3,0)</f>
        <v>0</v>
      </c>
      <c r="AV10">
        <f>IF(AND(COUNTIF(Control!$E$20:$E$100,$B10)=0,COUNTIF(Control!$E$20:$E$100,AV$2)=0),VISUM_Arterial_OD!AV10*Control!$B$3,0)</f>
        <v>0</v>
      </c>
      <c r="AW10">
        <f>IF(AND(COUNTIF(Control!$E$20:$E$100,$B10)=0,COUNTIF(Control!$E$20:$E$100,AW$2)=0),VISUM_Arterial_OD!AW10*Control!$B$3,0)</f>
        <v>0</v>
      </c>
      <c r="AX10">
        <f>IF(AND(COUNTIF(Control!$E$20:$E$100,$B10)=0,COUNTIF(Control!$E$20:$E$100,AX$2)=0),VISUM_Arterial_OD!AX10*Control!$B$3,0)</f>
        <v>1.9587569999999999</v>
      </c>
      <c r="AY10">
        <f>IF(AND(COUNTIF(Control!$E$20:$E$100,$B10)=0,COUNTIF(Control!$E$20:$E$100,AY$2)=0),VISUM_Arterial_OD!AY10*Control!$B$3,0)</f>
        <v>0</v>
      </c>
      <c r="AZ10">
        <f>IF(AND(COUNTIF(Control!$E$20:$E$100,$B10)=0,COUNTIF(Control!$E$20:$E$100,AZ$2)=0),VISUM_Arterial_OD!AZ10*Control!$B$3,0)</f>
        <v>0</v>
      </c>
      <c r="BA10">
        <f>IF(AND(COUNTIF(Control!$E$20:$E$100,$B10)=0,COUNTIF(Control!$E$20:$E$100,BA$2)=0),VISUM_Arterial_OD!BA10*Control!$B$3,0)</f>
        <v>0</v>
      </c>
      <c r="BB10">
        <f>IF(AND(COUNTIF(Control!$E$20:$E$100,$B10)=0,COUNTIF(Control!$E$20:$E$100,BB$2)=0),VISUM_Arterial_OD!BB10*Control!$B$3,0)</f>
        <v>0</v>
      </c>
      <c r="BC10">
        <f>IF(AND(COUNTIF(Control!$E$20:$E$100,$B10)=0,COUNTIF(Control!$E$20:$E$100,BC$2)=0),VISUM_Arterial_OD!BC10*Control!$B$3,0)</f>
        <v>0</v>
      </c>
      <c r="BD10">
        <f>IF(AND(COUNTIF(Control!$E$20:$E$100,$B10)=0,COUNTIF(Control!$E$20:$E$100,BD$2)=0),VISUM_Arterial_OD!BD10*Control!$B$3,0)</f>
        <v>0</v>
      </c>
      <c r="BE10">
        <f>IF(AND(COUNTIF(Control!$E$20:$E$100,$B10)=0,COUNTIF(Control!$E$20:$E$100,BE$2)=0),VISUM_Arterial_OD!BE10*Control!$B$3,0)</f>
        <v>0</v>
      </c>
      <c r="BF10">
        <f>IF(AND(COUNTIF(Control!$E$20:$E$100,$B10)=0,COUNTIF(Control!$E$20:$E$100,BF$2)=0),VISUM_Arterial_OD!BF10*Control!$B$3,0)</f>
        <v>0</v>
      </c>
      <c r="BG10">
        <f>IF(AND(COUNTIF(Control!$E$20:$E$100,$B10)=0,COUNTIF(Control!$E$20:$E$100,BG$2)=0),VISUM_Arterial_OD!BG10*Control!$B$3,0)</f>
        <v>0</v>
      </c>
      <c r="BH10">
        <f>IF(AND(COUNTIF(Control!$E$20:$E$100,$B10)=0,COUNTIF(Control!$E$20:$E$100,BH$2)=0),VISUM_Arterial_OD!BH10*Control!$B$3,0)</f>
        <v>0</v>
      </c>
      <c r="BI10">
        <f>IF(AND(COUNTIF(Control!$E$20:$E$100,$B10)=0,COUNTIF(Control!$E$20:$E$100,BI$2)=0),VISUM_Arterial_OD!BI10*Control!$B$3,0)</f>
        <v>0</v>
      </c>
      <c r="BJ10">
        <f>IF(AND(COUNTIF(Control!$E$20:$E$100,$B10)=0,COUNTIF(Control!$E$20:$E$100,BJ$2)=0),VISUM_Arterial_OD!BJ10*Control!$B$3,0)</f>
        <v>0</v>
      </c>
      <c r="BK10">
        <f>IF(AND(COUNTIF(Control!$E$20:$E$100,$B10)=0,COUNTIF(Control!$E$20:$E$100,BK$2)=0),VISUM_Arterial_OD!BK10*Control!$B$3,0)</f>
        <v>0</v>
      </c>
      <c r="BL10">
        <f>IF(AND(COUNTIF(Control!$E$20:$E$100,$B10)=0,COUNTIF(Control!$E$20:$E$100,BL$2)=0),VISUM_Arterial_OD!BL10*Control!$B$3,0)</f>
        <v>0</v>
      </c>
      <c r="BM10">
        <f>IF(AND(COUNTIF(Control!$E$20:$E$100,$B10)=0,COUNTIF(Control!$E$20:$E$100,BM$2)=0),VISUM_Arterial_OD!BM10*Control!$B$3,0)</f>
        <v>0</v>
      </c>
      <c r="BN10">
        <f>IF(AND(COUNTIF(Control!$E$20:$E$100,$B10)=0,COUNTIF(Control!$E$20:$E$100,BN$2)=0),VISUM_Arterial_OD!BN10*Control!$B$3,0)</f>
        <v>0</v>
      </c>
      <c r="BO10">
        <f>IF(AND(COUNTIF(Control!$E$20:$E$100,$B10)=0,COUNTIF(Control!$E$20:$E$100,BO$2)=0),VISUM_Arterial_OD!BO10*Control!$B$3,0)</f>
        <v>0.53985890999999997</v>
      </c>
      <c r="BP10">
        <f>IF(AND(COUNTIF(Control!$E$20:$E$100,$B10)=0,COUNTIF(Control!$E$20:$E$100,BP$2)=0),VISUM_Arterial_OD!BP10*Control!$B$3,0)</f>
        <v>0.42812954999999997</v>
      </c>
      <c r="BQ10">
        <f>IF(AND(COUNTIF(Control!$E$20:$E$100,$B10)=0,COUNTIF(Control!$E$20:$E$100,BQ$2)=0),VISUM_Arterial_OD!BQ10*Control!$B$3,0)</f>
        <v>0</v>
      </c>
    </row>
    <row r="11" spans="1:69" x14ac:dyDescent="0.25">
      <c r="A11" s="5">
        <f>IF(VLOOKUP(B11,Arterial_Zone_Link_Mapping!$A:$C,2,FALSE)&lt;&gt;"",VLOOKUP(B11,Arterial_Zone_Link_Mapping!$A:$C,2,FALSE),"")</f>
        <v>92</v>
      </c>
      <c r="B11" s="5">
        <v>21</v>
      </c>
      <c r="C11">
        <f>IF(AND(COUNTIF(Control!$E$20:$E$100,$B11)=0,COUNTIF(Control!$E$20:$E$100,C$2)=0),VISUM_Arterial_OD!C11*Control!$B$3,0)</f>
        <v>0.14832704999999999</v>
      </c>
      <c r="D11">
        <f>IF(AND(COUNTIF(Control!$E$20:$E$100,$B11)=0,COUNTIF(Control!$E$20:$E$100,D$2)=0),VISUM_Arterial_OD!D11*Control!$B$3,0)</f>
        <v>9.5550659999999996E-2</v>
      </c>
      <c r="E11">
        <f>IF(AND(COUNTIF(Control!$E$20:$E$100,$B11)=0,COUNTIF(Control!$E$20:$E$100,E$2)=0),VISUM_Arterial_OD!E11*Control!$B$3,0)</f>
        <v>0</v>
      </c>
      <c r="F11">
        <f>IF(AND(COUNTIF(Control!$E$20:$E$100,$B11)=0,COUNTIF(Control!$E$20:$E$100,F$2)=0),VISUM_Arterial_OD!F11*Control!$B$3,0)</f>
        <v>0</v>
      </c>
      <c r="G11">
        <f>IF(AND(COUNTIF(Control!$E$20:$E$100,$B11)=0,COUNTIF(Control!$E$20:$E$100,G$2)=0),VISUM_Arterial_OD!G11*Control!$B$3,0)</f>
        <v>0</v>
      </c>
      <c r="H11">
        <f>IF(AND(COUNTIF(Control!$E$20:$E$100,$B11)=0,COUNTIF(Control!$E$20:$E$100,H$2)=0),VISUM_Arterial_OD!H11*Control!$B$3,0)</f>
        <v>0</v>
      </c>
      <c r="I11">
        <f>IF(AND(COUNTIF(Control!$E$20:$E$100,$B11)=0,COUNTIF(Control!$E$20:$E$100,I$2)=0),VISUM_Arterial_OD!I11*Control!$B$3,0)</f>
        <v>0</v>
      </c>
      <c r="J11">
        <f>IF(AND(COUNTIF(Control!$E$20:$E$100,$B11)=0,COUNTIF(Control!$E$20:$E$100,J$2)=0),VISUM_Arterial_OD!J11*Control!$B$3,0)</f>
        <v>1.01518365</v>
      </c>
      <c r="K11">
        <f>IF(AND(COUNTIF(Control!$E$20:$E$100,$B11)=0,COUNTIF(Control!$E$20:$E$100,K$2)=0),VISUM_Arterial_OD!K11*Control!$B$3,0)</f>
        <v>0</v>
      </c>
      <c r="L11">
        <f>IF(AND(COUNTIF(Control!$E$20:$E$100,$B11)=0,COUNTIF(Control!$E$20:$E$100,L$2)=0),VISUM_Arterial_OD!L11*Control!$B$3,0)</f>
        <v>2.24998035</v>
      </c>
      <c r="M11">
        <f>IF(AND(COUNTIF(Control!$E$20:$E$100,$B11)=0,COUNTIF(Control!$E$20:$E$100,M$2)=0),VISUM_Arterial_OD!M11*Control!$B$3,0)</f>
        <v>0</v>
      </c>
      <c r="N11">
        <f>IF(AND(COUNTIF(Control!$E$20:$E$100,$B11)=0,COUNTIF(Control!$E$20:$E$100,N$2)=0),VISUM_Arterial_OD!N11*Control!$B$3,0)</f>
        <v>0</v>
      </c>
      <c r="O11">
        <f>IF(AND(COUNTIF(Control!$E$20:$E$100,$B11)=0,COUNTIF(Control!$E$20:$E$100,O$2)=0),VISUM_Arterial_OD!O11*Control!$B$3,0)</f>
        <v>1.1168731199999999</v>
      </c>
      <c r="P11">
        <f>IF(AND(COUNTIF(Control!$E$20:$E$100,$B11)=0,COUNTIF(Control!$E$20:$E$100,P$2)=0),VISUM_Arterial_OD!P11*Control!$B$3,0)</f>
        <v>7.9582449899999999</v>
      </c>
      <c r="Q11">
        <f>IF(AND(COUNTIF(Control!$E$20:$E$100,$B11)=0,COUNTIF(Control!$E$20:$E$100,Q$2)=0),VISUM_Arterial_OD!Q11*Control!$B$3,0)</f>
        <v>0</v>
      </c>
      <c r="R11">
        <f>IF(AND(COUNTIF(Control!$E$20:$E$100,$B11)=0,COUNTIF(Control!$E$20:$E$100,R$2)=0),VISUM_Arterial_OD!R11*Control!$B$3,0)</f>
        <v>0</v>
      </c>
      <c r="S11">
        <f>IF(AND(COUNTIF(Control!$E$20:$E$100,$B11)=0,COUNTIF(Control!$E$20:$E$100,S$2)=0),VISUM_Arterial_OD!S11*Control!$B$3,0)</f>
        <v>0.42500168999999999</v>
      </c>
      <c r="T11">
        <f>IF(AND(COUNTIF(Control!$E$20:$E$100,$B11)=0,COUNTIF(Control!$E$20:$E$100,T$2)=0),VISUM_Arterial_OD!T11*Control!$B$3,0)</f>
        <v>0</v>
      </c>
      <c r="U11">
        <f>IF(AND(COUNTIF(Control!$E$20:$E$100,$B11)=0,COUNTIF(Control!$E$20:$E$100,U$2)=0),VISUM_Arterial_OD!U11*Control!$B$3,0)</f>
        <v>0</v>
      </c>
      <c r="V11">
        <f>IF(AND(COUNTIF(Control!$E$20:$E$100,$B11)=0,COUNTIF(Control!$E$20:$E$100,V$2)=0),VISUM_Arterial_OD!V11*Control!$B$3,0)</f>
        <v>0</v>
      </c>
      <c r="W11">
        <f>IF(AND(COUNTIF(Control!$E$20:$E$100,$B11)=0,COUNTIF(Control!$E$20:$E$100,W$2)=0),VISUM_Arterial_OD!W11*Control!$B$3,0)</f>
        <v>0</v>
      </c>
      <c r="X11">
        <f>IF(AND(COUNTIF(Control!$E$20:$E$100,$B11)=0,COUNTIF(Control!$E$20:$E$100,X$2)=0),VISUM_Arterial_OD!X11*Control!$B$3,0)</f>
        <v>0</v>
      </c>
      <c r="Y11">
        <f>IF(AND(COUNTIF(Control!$E$20:$E$100,$B11)=0,COUNTIF(Control!$E$20:$E$100,Y$2)=0),VISUM_Arterial_OD!Y11*Control!$B$3,0)</f>
        <v>0</v>
      </c>
      <c r="Z11">
        <f>IF(AND(COUNTIF(Control!$E$20:$E$100,$B11)=0,COUNTIF(Control!$E$20:$E$100,Z$2)=0),VISUM_Arterial_OD!Z11*Control!$B$3,0)</f>
        <v>0.29271867000000001</v>
      </c>
      <c r="AA11">
        <f>IF(AND(COUNTIF(Control!$E$20:$E$100,$B11)=0,COUNTIF(Control!$E$20:$E$100,AA$2)=0),VISUM_Arterial_OD!AA11*Control!$B$3,0)</f>
        <v>0</v>
      </c>
      <c r="AB11">
        <f>IF(AND(COUNTIF(Control!$E$20:$E$100,$B11)=0,COUNTIF(Control!$E$20:$E$100,AB$2)=0),VISUM_Arterial_OD!AB11*Control!$B$3,0)</f>
        <v>0.39155300999999998</v>
      </c>
      <c r="AC11">
        <f>IF(AND(COUNTIF(Control!$E$20:$E$100,$B11)=0,COUNTIF(Control!$E$20:$E$100,AC$2)=0),VISUM_Arterial_OD!AC11*Control!$B$3,0)</f>
        <v>3.2917148399999996</v>
      </c>
      <c r="AD11">
        <f>IF(AND(COUNTIF(Control!$E$20:$E$100,$B11)=0,COUNTIF(Control!$E$20:$E$100,AD$2)=0),VISUM_Arterial_OD!AD11*Control!$B$3,0)</f>
        <v>0</v>
      </c>
      <c r="AE11">
        <f>IF(AND(COUNTIF(Control!$E$20:$E$100,$B11)=0,COUNTIF(Control!$E$20:$E$100,AE$2)=0),VISUM_Arterial_OD!AE11*Control!$B$3,0)</f>
        <v>0</v>
      </c>
      <c r="AF11">
        <f>IF(AND(COUNTIF(Control!$E$20:$E$100,$B11)=0,COUNTIF(Control!$E$20:$E$100,AF$2)=0),VISUM_Arterial_OD!AF11*Control!$B$3,0)</f>
        <v>0</v>
      </c>
      <c r="AG11">
        <f>IF(AND(COUNTIF(Control!$E$20:$E$100,$B11)=0,COUNTIF(Control!$E$20:$E$100,AG$2)=0),VISUM_Arterial_OD!AG11*Control!$B$3,0)</f>
        <v>0</v>
      </c>
      <c r="AH11">
        <f>IF(AND(COUNTIF(Control!$E$20:$E$100,$B11)=0,COUNTIF(Control!$E$20:$E$100,AH$2)=0),VISUM_Arterial_OD!AH11*Control!$B$3,0)</f>
        <v>0</v>
      </c>
      <c r="AI11">
        <f>IF(AND(COUNTIF(Control!$E$20:$E$100,$B11)=0,COUNTIF(Control!$E$20:$E$100,AI$2)=0),VISUM_Arterial_OD!AI11*Control!$B$3,0)</f>
        <v>0</v>
      </c>
      <c r="AJ11">
        <f>IF(AND(COUNTIF(Control!$E$20:$E$100,$B11)=0,COUNTIF(Control!$E$20:$E$100,AJ$2)=0),VISUM_Arterial_OD!AJ11*Control!$B$3,0)</f>
        <v>0</v>
      </c>
      <c r="AK11">
        <f>IF(AND(COUNTIF(Control!$E$20:$E$100,$B11)=0,COUNTIF(Control!$E$20:$E$100,AK$2)=0),VISUM_Arterial_OD!AK11*Control!$B$3,0)</f>
        <v>0</v>
      </c>
      <c r="AL11">
        <f>IF(AND(COUNTIF(Control!$E$20:$E$100,$B11)=0,COUNTIF(Control!$E$20:$E$100,AL$2)=0),VISUM_Arterial_OD!AL11*Control!$B$3,0)</f>
        <v>0.48943659</v>
      </c>
      <c r="AM11">
        <f>IF(AND(COUNTIF(Control!$E$20:$E$100,$B11)=0,COUNTIF(Control!$E$20:$E$100,AM$2)=0),VISUM_Arterial_OD!AM11*Control!$B$3,0)</f>
        <v>0</v>
      </c>
      <c r="AN11">
        <f>IF(AND(COUNTIF(Control!$E$20:$E$100,$B11)=0,COUNTIF(Control!$E$20:$E$100,AN$2)=0),VISUM_Arterial_OD!AN11*Control!$B$3,0)</f>
        <v>7.1026289999999992E-2</v>
      </c>
      <c r="AO11">
        <f>IF(AND(COUNTIF(Control!$E$20:$E$100,$B11)=0,COUNTIF(Control!$E$20:$E$100,AO$2)=0),VISUM_Arterial_OD!AO11*Control!$B$3,0)</f>
        <v>0</v>
      </c>
      <c r="AP11">
        <f>IF(AND(COUNTIF(Control!$E$20:$E$100,$B11)=0,COUNTIF(Control!$E$20:$E$100,AP$2)=0),VISUM_Arterial_OD!AP11*Control!$B$3,0)</f>
        <v>0</v>
      </c>
      <c r="AQ11">
        <f>IF(AND(COUNTIF(Control!$E$20:$E$100,$B11)=0,COUNTIF(Control!$E$20:$E$100,AQ$2)=0),VISUM_Arterial_OD!AQ11*Control!$B$3,0)</f>
        <v>0</v>
      </c>
      <c r="AR11">
        <f>IF(AND(COUNTIF(Control!$E$20:$E$100,$B11)=0,COUNTIF(Control!$E$20:$E$100,AR$2)=0),VISUM_Arterial_OD!AR11*Control!$B$3,0)</f>
        <v>0</v>
      </c>
      <c r="AS11">
        <f>IF(AND(COUNTIF(Control!$E$20:$E$100,$B11)=0,COUNTIF(Control!$E$20:$E$100,AS$2)=0),VISUM_Arterial_OD!AS11*Control!$B$3,0)</f>
        <v>0.19066682999999998</v>
      </c>
      <c r="AT11">
        <f>IF(AND(COUNTIF(Control!$E$20:$E$100,$B11)=0,COUNTIF(Control!$E$20:$E$100,AT$2)=0),VISUM_Arterial_OD!AT11*Control!$B$3,0)</f>
        <v>0</v>
      </c>
      <c r="AU11">
        <f>IF(AND(COUNTIF(Control!$E$20:$E$100,$B11)=0,COUNTIF(Control!$E$20:$E$100,AU$2)=0),VISUM_Arterial_OD!AU11*Control!$B$3,0)</f>
        <v>9.855002279999999</v>
      </c>
      <c r="AV11">
        <f>IF(AND(COUNTIF(Control!$E$20:$E$100,$B11)=0,COUNTIF(Control!$E$20:$E$100,AV$2)=0),VISUM_Arterial_OD!AV11*Control!$B$3,0)</f>
        <v>0</v>
      </c>
      <c r="AW11">
        <f>IF(AND(COUNTIF(Control!$E$20:$E$100,$B11)=0,COUNTIF(Control!$E$20:$E$100,AW$2)=0),VISUM_Arterial_OD!AW11*Control!$B$3,0)</f>
        <v>0</v>
      </c>
      <c r="AX11">
        <f>IF(AND(COUNTIF(Control!$E$20:$E$100,$B11)=0,COUNTIF(Control!$E$20:$E$100,AX$2)=0),VISUM_Arterial_OD!AX11*Control!$B$3,0)</f>
        <v>0</v>
      </c>
      <c r="AY11">
        <f>IF(AND(COUNTIF(Control!$E$20:$E$100,$B11)=0,COUNTIF(Control!$E$20:$E$100,AY$2)=0),VISUM_Arterial_OD!AY11*Control!$B$3,0)</f>
        <v>0</v>
      </c>
      <c r="AZ11">
        <f>IF(AND(COUNTIF(Control!$E$20:$E$100,$B11)=0,COUNTIF(Control!$E$20:$E$100,AZ$2)=0),VISUM_Arterial_OD!AZ11*Control!$B$3,0)</f>
        <v>0</v>
      </c>
      <c r="BA11">
        <f>IF(AND(COUNTIF(Control!$E$20:$E$100,$B11)=0,COUNTIF(Control!$E$20:$E$100,BA$2)=0),VISUM_Arterial_OD!BA11*Control!$B$3,0)</f>
        <v>0</v>
      </c>
      <c r="BB11">
        <f>IF(AND(COUNTIF(Control!$E$20:$E$100,$B11)=0,COUNTIF(Control!$E$20:$E$100,BB$2)=0),VISUM_Arterial_OD!BB11*Control!$B$3,0)</f>
        <v>0</v>
      </c>
      <c r="BC11">
        <f>IF(AND(COUNTIF(Control!$E$20:$E$100,$B11)=0,COUNTIF(Control!$E$20:$E$100,BC$2)=0),VISUM_Arterial_OD!BC11*Control!$B$3,0)</f>
        <v>0</v>
      </c>
      <c r="BD11">
        <f>IF(AND(COUNTIF(Control!$E$20:$E$100,$B11)=0,COUNTIF(Control!$E$20:$E$100,BD$2)=0),VISUM_Arterial_OD!BD11*Control!$B$3,0)</f>
        <v>0</v>
      </c>
      <c r="BE11">
        <f>IF(AND(COUNTIF(Control!$E$20:$E$100,$B11)=0,COUNTIF(Control!$E$20:$E$100,BE$2)=0),VISUM_Arterial_OD!BE11*Control!$B$3,0)</f>
        <v>0</v>
      </c>
      <c r="BF11">
        <f>IF(AND(COUNTIF(Control!$E$20:$E$100,$B11)=0,COUNTIF(Control!$E$20:$E$100,BF$2)=0),VISUM_Arterial_OD!BF11*Control!$B$3,0)</f>
        <v>0</v>
      </c>
      <c r="BG11">
        <f>IF(AND(COUNTIF(Control!$E$20:$E$100,$B11)=0,COUNTIF(Control!$E$20:$E$100,BG$2)=0),VISUM_Arterial_OD!BG11*Control!$B$3,0)</f>
        <v>0</v>
      </c>
      <c r="BH11">
        <f>IF(AND(COUNTIF(Control!$E$20:$E$100,$B11)=0,COUNTIF(Control!$E$20:$E$100,BH$2)=0),VISUM_Arterial_OD!BH11*Control!$B$3,0)</f>
        <v>0</v>
      </c>
      <c r="BI11">
        <f>IF(AND(COUNTIF(Control!$E$20:$E$100,$B11)=0,COUNTIF(Control!$E$20:$E$100,BI$2)=0),VISUM_Arterial_OD!BI11*Control!$B$3,0)</f>
        <v>0</v>
      </c>
      <c r="BJ11">
        <f>IF(AND(COUNTIF(Control!$E$20:$E$100,$B11)=0,COUNTIF(Control!$E$20:$E$100,BJ$2)=0),VISUM_Arterial_OD!BJ11*Control!$B$3,0)</f>
        <v>0</v>
      </c>
      <c r="BK11">
        <f>IF(AND(COUNTIF(Control!$E$20:$E$100,$B11)=0,COUNTIF(Control!$E$20:$E$100,BK$2)=0),VISUM_Arterial_OD!BK11*Control!$B$3,0)</f>
        <v>0</v>
      </c>
      <c r="BL11">
        <f>IF(AND(COUNTIF(Control!$E$20:$E$100,$B11)=0,COUNTIF(Control!$E$20:$E$100,BL$2)=0),VISUM_Arterial_OD!BL11*Control!$B$3,0)</f>
        <v>0</v>
      </c>
      <c r="BM11">
        <f>IF(AND(COUNTIF(Control!$E$20:$E$100,$B11)=0,COUNTIF(Control!$E$20:$E$100,BM$2)=0),VISUM_Arterial_OD!BM11*Control!$B$3,0)</f>
        <v>0</v>
      </c>
      <c r="BN11">
        <f>IF(AND(COUNTIF(Control!$E$20:$E$100,$B11)=0,COUNTIF(Control!$E$20:$E$100,BN$2)=0),VISUM_Arterial_OD!BN11*Control!$B$3,0)</f>
        <v>0</v>
      </c>
      <c r="BO11">
        <f>IF(AND(COUNTIF(Control!$E$20:$E$100,$B11)=0,COUNTIF(Control!$E$20:$E$100,BO$2)=0),VISUM_Arterial_OD!BO11*Control!$B$3,0)</f>
        <v>0.31090436999999999</v>
      </c>
      <c r="BP11">
        <f>IF(AND(COUNTIF(Control!$E$20:$E$100,$B11)=0,COUNTIF(Control!$E$20:$E$100,BP$2)=0),VISUM_Arterial_OD!BP11*Control!$B$3,0)</f>
        <v>0</v>
      </c>
      <c r="BQ11">
        <f>IF(AND(COUNTIF(Control!$E$20:$E$100,$B11)=0,COUNTIF(Control!$E$20:$E$100,BQ$2)=0),VISUM_Arterial_OD!BQ11*Control!$B$3,0)</f>
        <v>0.14823198000000001</v>
      </c>
    </row>
    <row r="12" spans="1:69" x14ac:dyDescent="0.25">
      <c r="A12" s="5">
        <f>IF(VLOOKUP(B12,Arterial_Zone_Link_Mapping!$A:$C,2,FALSE)&lt;&gt;"",VLOOKUP(B12,Arterial_Zone_Link_Mapping!$A:$C,2,FALSE),"")</f>
        <v>29</v>
      </c>
      <c r="B12" s="5">
        <v>22</v>
      </c>
      <c r="C12">
        <f>IF(AND(COUNTIF(Control!$E$20:$E$100,$B12)=0,COUNTIF(Control!$E$20:$E$100,C$2)=0),VISUM_Arterial_OD!C12*Control!$B$3,0)</f>
        <v>2.8658618100000002</v>
      </c>
      <c r="D12">
        <f>IF(AND(COUNTIF(Control!$E$20:$E$100,$B12)=0,COUNTIF(Control!$E$20:$E$100,D$2)=0),VISUM_Arterial_OD!D12*Control!$B$3,0)</f>
        <v>0.32970291000000002</v>
      </c>
      <c r="E12">
        <f>IF(AND(COUNTIF(Control!$E$20:$E$100,$B12)=0,COUNTIF(Control!$E$20:$E$100,E$2)=0),VISUM_Arterial_OD!E12*Control!$B$3,0)</f>
        <v>0</v>
      </c>
      <c r="F12">
        <f>IF(AND(COUNTIF(Control!$E$20:$E$100,$B12)=0,COUNTIF(Control!$E$20:$E$100,F$2)=0),VISUM_Arterial_OD!F12*Control!$B$3,0)</f>
        <v>0</v>
      </c>
      <c r="G12">
        <f>IF(AND(COUNTIF(Control!$E$20:$E$100,$B12)=0,COUNTIF(Control!$E$20:$E$100,G$2)=0),VISUM_Arterial_OD!G12*Control!$B$3,0)</f>
        <v>0</v>
      </c>
      <c r="H12">
        <f>IF(AND(COUNTIF(Control!$E$20:$E$100,$B12)=0,COUNTIF(Control!$E$20:$E$100,H$2)=0),VISUM_Arterial_OD!H12*Control!$B$3,0)</f>
        <v>0</v>
      </c>
      <c r="I12">
        <f>IF(AND(COUNTIF(Control!$E$20:$E$100,$B12)=0,COUNTIF(Control!$E$20:$E$100,I$2)=0),VISUM_Arterial_OD!I12*Control!$B$3,0)</f>
        <v>0</v>
      </c>
      <c r="J12">
        <f>IF(AND(COUNTIF(Control!$E$20:$E$100,$B12)=0,COUNTIF(Control!$E$20:$E$100,J$2)=0),VISUM_Arterial_OD!J12*Control!$B$3,0)</f>
        <v>3.2134097100000001</v>
      </c>
      <c r="K12">
        <f>IF(AND(COUNTIF(Control!$E$20:$E$100,$B12)=0,COUNTIF(Control!$E$20:$E$100,K$2)=0),VISUM_Arterial_OD!K12*Control!$B$3,0)</f>
        <v>2.3999790599999997</v>
      </c>
      <c r="L12">
        <f>IF(AND(COUNTIF(Control!$E$20:$E$100,$B12)=0,COUNTIF(Control!$E$20:$E$100,L$2)=0),VISUM_Arterial_OD!L12*Control!$B$3,0)</f>
        <v>0</v>
      </c>
      <c r="M12">
        <f>IF(AND(COUNTIF(Control!$E$20:$E$100,$B12)=0,COUNTIF(Control!$E$20:$E$100,M$2)=0),VISUM_Arterial_OD!M12*Control!$B$3,0)</f>
        <v>0</v>
      </c>
      <c r="N12">
        <f>IF(AND(COUNTIF(Control!$E$20:$E$100,$B12)=0,COUNTIF(Control!$E$20:$E$100,N$2)=0),VISUM_Arterial_OD!N12*Control!$B$3,0)</f>
        <v>0</v>
      </c>
      <c r="O12">
        <f>IF(AND(COUNTIF(Control!$E$20:$E$100,$B12)=0,COUNTIF(Control!$E$20:$E$100,O$2)=0),VISUM_Arterial_OD!O12*Control!$B$3,0)</f>
        <v>5.9897309400000003</v>
      </c>
      <c r="P12">
        <f>IF(AND(COUNTIF(Control!$E$20:$E$100,$B12)=0,COUNTIF(Control!$E$20:$E$100,P$2)=0),VISUM_Arterial_OD!P12*Control!$B$3,0)</f>
        <v>11.93959194</v>
      </c>
      <c r="Q12">
        <f>IF(AND(COUNTIF(Control!$E$20:$E$100,$B12)=0,COUNTIF(Control!$E$20:$E$100,Q$2)=0),VISUM_Arterial_OD!Q12*Control!$B$3,0)</f>
        <v>0</v>
      </c>
      <c r="R12">
        <f>IF(AND(COUNTIF(Control!$E$20:$E$100,$B12)=0,COUNTIF(Control!$E$20:$E$100,R$2)=0),VISUM_Arterial_OD!R12*Control!$B$3,0)</f>
        <v>0</v>
      </c>
      <c r="S12">
        <f>IF(AND(COUNTIF(Control!$E$20:$E$100,$B12)=0,COUNTIF(Control!$E$20:$E$100,S$2)=0),VISUM_Arterial_OD!S12*Control!$B$3,0)</f>
        <v>3.1133864999999998</v>
      </c>
      <c r="T12">
        <f>IF(AND(COUNTIF(Control!$E$20:$E$100,$B12)=0,COUNTIF(Control!$E$20:$E$100,T$2)=0),VISUM_Arterial_OD!T12*Control!$B$3,0)</f>
        <v>0</v>
      </c>
      <c r="U12">
        <f>IF(AND(COUNTIF(Control!$E$20:$E$100,$B12)=0,COUNTIF(Control!$E$20:$E$100,U$2)=0),VISUM_Arterial_OD!U12*Control!$B$3,0)</f>
        <v>0</v>
      </c>
      <c r="V12">
        <f>IF(AND(COUNTIF(Control!$E$20:$E$100,$B12)=0,COUNTIF(Control!$E$20:$E$100,V$2)=0),VISUM_Arterial_OD!V12*Control!$B$3,0)</f>
        <v>0</v>
      </c>
      <c r="W12">
        <f>IF(AND(COUNTIF(Control!$E$20:$E$100,$B12)=0,COUNTIF(Control!$E$20:$E$100,W$2)=0),VISUM_Arterial_OD!W12*Control!$B$3,0)</f>
        <v>0</v>
      </c>
      <c r="X12">
        <f>IF(AND(COUNTIF(Control!$E$20:$E$100,$B12)=0,COUNTIF(Control!$E$20:$E$100,X$2)=0),VISUM_Arterial_OD!X12*Control!$B$3,0)</f>
        <v>0</v>
      </c>
      <c r="Y12">
        <f>IF(AND(COUNTIF(Control!$E$20:$E$100,$B12)=0,COUNTIF(Control!$E$20:$E$100,Y$2)=0),VISUM_Arterial_OD!Y12*Control!$B$3,0)</f>
        <v>0</v>
      </c>
      <c r="Z12">
        <f>IF(AND(COUNTIF(Control!$E$20:$E$100,$B12)=0,COUNTIF(Control!$E$20:$E$100,Z$2)=0),VISUM_Arterial_OD!Z12*Control!$B$3,0)</f>
        <v>1.6217666399999999</v>
      </c>
      <c r="AA12">
        <f>IF(AND(COUNTIF(Control!$E$20:$E$100,$B12)=0,COUNTIF(Control!$E$20:$E$100,AA$2)=0),VISUM_Arterial_OD!AA12*Control!$B$3,0)</f>
        <v>0</v>
      </c>
      <c r="AB12">
        <f>IF(AND(COUNTIF(Control!$E$20:$E$100,$B12)=0,COUNTIF(Control!$E$20:$E$100,AB$2)=0),VISUM_Arterial_OD!AB12*Control!$B$3,0)</f>
        <v>1.8381074399999999</v>
      </c>
      <c r="AC12">
        <f>IF(AND(COUNTIF(Control!$E$20:$E$100,$B12)=0,COUNTIF(Control!$E$20:$E$100,AC$2)=0),VISUM_Arterial_OD!AC12*Control!$B$3,0)</f>
        <v>2.3103808199999998</v>
      </c>
      <c r="AD12">
        <f>IF(AND(COUNTIF(Control!$E$20:$E$100,$B12)=0,COUNTIF(Control!$E$20:$E$100,AD$2)=0),VISUM_Arterial_OD!AD12*Control!$B$3,0)</f>
        <v>0</v>
      </c>
      <c r="AE12">
        <f>IF(AND(COUNTIF(Control!$E$20:$E$100,$B12)=0,COUNTIF(Control!$E$20:$E$100,AE$2)=0),VISUM_Arterial_OD!AE12*Control!$B$3,0)</f>
        <v>0</v>
      </c>
      <c r="AF12">
        <f>IF(AND(COUNTIF(Control!$E$20:$E$100,$B12)=0,COUNTIF(Control!$E$20:$E$100,AF$2)=0),VISUM_Arterial_OD!AF12*Control!$B$3,0)</f>
        <v>0</v>
      </c>
      <c r="AG12">
        <f>IF(AND(COUNTIF(Control!$E$20:$E$100,$B12)=0,COUNTIF(Control!$E$20:$E$100,AG$2)=0),VISUM_Arterial_OD!AG12*Control!$B$3,0)</f>
        <v>0</v>
      </c>
      <c r="AH12">
        <f>IF(AND(COUNTIF(Control!$E$20:$E$100,$B12)=0,COUNTIF(Control!$E$20:$E$100,AH$2)=0),VISUM_Arterial_OD!AH12*Control!$B$3,0)</f>
        <v>0</v>
      </c>
      <c r="AI12">
        <f>IF(AND(COUNTIF(Control!$E$20:$E$100,$B12)=0,COUNTIF(Control!$E$20:$E$100,AI$2)=0),VISUM_Arterial_OD!AI12*Control!$B$3,0)</f>
        <v>0</v>
      </c>
      <c r="AJ12">
        <f>IF(AND(COUNTIF(Control!$E$20:$E$100,$B12)=0,COUNTIF(Control!$E$20:$E$100,AJ$2)=0),VISUM_Arterial_OD!AJ12*Control!$B$3,0)</f>
        <v>0</v>
      </c>
      <c r="AK12">
        <f>IF(AND(COUNTIF(Control!$E$20:$E$100,$B12)=0,COUNTIF(Control!$E$20:$E$100,AK$2)=0),VISUM_Arterial_OD!AK12*Control!$B$3,0)</f>
        <v>0</v>
      </c>
      <c r="AL12">
        <f>IF(AND(COUNTIF(Control!$E$20:$E$100,$B12)=0,COUNTIF(Control!$E$20:$E$100,AL$2)=0),VISUM_Arterial_OD!AL12*Control!$B$3,0)</f>
        <v>2.6150586599999999</v>
      </c>
      <c r="AM12">
        <f>IF(AND(COUNTIF(Control!$E$20:$E$100,$B12)=0,COUNTIF(Control!$E$20:$E$100,AM$2)=0),VISUM_Arterial_OD!AM12*Control!$B$3,0)</f>
        <v>0</v>
      </c>
      <c r="AN12">
        <f>IF(AND(COUNTIF(Control!$E$20:$E$100,$B12)=0,COUNTIF(Control!$E$20:$E$100,AN$2)=0),VISUM_Arterial_OD!AN12*Control!$B$3,0)</f>
        <v>0.18663267</v>
      </c>
      <c r="AO12">
        <f>IF(AND(COUNTIF(Control!$E$20:$E$100,$B12)=0,COUNTIF(Control!$E$20:$E$100,AO$2)=0),VISUM_Arterial_OD!AO12*Control!$B$3,0)</f>
        <v>0</v>
      </c>
      <c r="AP12">
        <f>IF(AND(COUNTIF(Control!$E$20:$E$100,$B12)=0,COUNTIF(Control!$E$20:$E$100,AP$2)=0),VISUM_Arterial_OD!AP12*Control!$B$3,0)</f>
        <v>0</v>
      </c>
      <c r="AQ12">
        <f>IF(AND(COUNTIF(Control!$E$20:$E$100,$B12)=0,COUNTIF(Control!$E$20:$E$100,AQ$2)=0),VISUM_Arterial_OD!AQ12*Control!$B$3,0)</f>
        <v>0</v>
      </c>
      <c r="AR12">
        <f>IF(AND(COUNTIF(Control!$E$20:$E$100,$B12)=0,COUNTIF(Control!$E$20:$E$100,AR$2)=0),VISUM_Arterial_OD!AR12*Control!$B$3,0)</f>
        <v>0</v>
      </c>
      <c r="AS12">
        <f>IF(AND(COUNTIF(Control!$E$20:$E$100,$B12)=0,COUNTIF(Control!$E$20:$E$100,AS$2)=0),VISUM_Arterial_OD!AS12*Control!$B$3,0)</f>
        <v>0.67509401999999996</v>
      </c>
      <c r="AT12">
        <f>IF(AND(COUNTIF(Control!$E$20:$E$100,$B12)=0,COUNTIF(Control!$E$20:$E$100,AT$2)=0),VISUM_Arterial_OD!AT12*Control!$B$3,0)</f>
        <v>0</v>
      </c>
      <c r="AU12">
        <f>IF(AND(COUNTIF(Control!$E$20:$E$100,$B12)=0,COUNTIF(Control!$E$20:$E$100,AU$2)=0),VISUM_Arterial_OD!AU12*Control!$B$3,0)</f>
        <v>9.0296324699999992</v>
      </c>
      <c r="AV12">
        <f>IF(AND(COUNTIF(Control!$E$20:$E$100,$B12)=0,COUNTIF(Control!$E$20:$E$100,AV$2)=0),VISUM_Arterial_OD!AV12*Control!$B$3,0)</f>
        <v>0</v>
      </c>
      <c r="AW12">
        <f>IF(AND(COUNTIF(Control!$E$20:$E$100,$B12)=0,COUNTIF(Control!$E$20:$E$100,AW$2)=0),VISUM_Arterial_OD!AW12*Control!$B$3,0)</f>
        <v>0</v>
      </c>
      <c r="AX12">
        <f>IF(AND(COUNTIF(Control!$E$20:$E$100,$B12)=0,COUNTIF(Control!$E$20:$E$100,AX$2)=0),VISUM_Arterial_OD!AX12*Control!$B$3,0)</f>
        <v>0</v>
      </c>
      <c r="AY12">
        <f>IF(AND(COUNTIF(Control!$E$20:$E$100,$B12)=0,COUNTIF(Control!$E$20:$E$100,AY$2)=0),VISUM_Arterial_OD!AY12*Control!$B$3,0)</f>
        <v>0</v>
      </c>
      <c r="AZ12">
        <f>IF(AND(COUNTIF(Control!$E$20:$E$100,$B12)=0,COUNTIF(Control!$E$20:$E$100,AZ$2)=0),VISUM_Arterial_OD!AZ12*Control!$B$3,0)</f>
        <v>0</v>
      </c>
      <c r="BA12">
        <f>IF(AND(COUNTIF(Control!$E$20:$E$100,$B12)=0,COUNTIF(Control!$E$20:$E$100,BA$2)=0),VISUM_Arterial_OD!BA12*Control!$B$3,0)</f>
        <v>0</v>
      </c>
      <c r="BB12">
        <f>IF(AND(COUNTIF(Control!$E$20:$E$100,$B12)=0,COUNTIF(Control!$E$20:$E$100,BB$2)=0),VISUM_Arterial_OD!BB12*Control!$B$3,0)</f>
        <v>0</v>
      </c>
      <c r="BC12">
        <f>IF(AND(COUNTIF(Control!$E$20:$E$100,$B12)=0,COUNTIF(Control!$E$20:$E$100,BC$2)=0),VISUM_Arterial_OD!BC12*Control!$B$3,0)</f>
        <v>0</v>
      </c>
      <c r="BD12">
        <f>IF(AND(COUNTIF(Control!$E$20:$E$100,$B12)=0,COUNTIF(Control!$E$20:$E$100,BD$2)=0),VISUM_Arterial_OD!BD12*Control!$B$3,0)</f>
        <v>0</v>
      </c>
      <c r="BE12">
        <f>IF(AND(COUNTIF(Control!$E$20:$E$100,$B12)=0,COUNTIF(Control!$E$20:$E$100,BE$2)=0),VISUM_Arterial_OD!BE12*Control!$B$3,0)</f>
        <v>0</v>
      </c>
      <c r="BF12">
        <f>IF(AND(COUNTIF(Control!$E$20:$E$100,$B12)=0,COUNTIF(Control!$E$20:$E$100,BF$2)=0),VISUM_Arterial_OD!BF12*Control!$B$3,0)</f>
        <v>0</v>
      </c>
      <c r="BG12">
        <f>IF(AND(COUNTIF(Control!$E$20:$E$100,$B12)=0,COUNTIF(Control!$E$20:$E$100,BG$2)=0),VISUM_Arterial_OD!BG12*Control!$B$3,0)</f>
        <v>0</v>
      </c>
      <c r="BH12">
        <f>IF(AND(COUNTIF(Control!$E$20:$E$100,$B12)=0,COUNTIF(Control!$E$20:$E$100,BH$2)=0),VISUM_Arterial_OD!BH12*Control!$B$3,0)</f>
        <v>0</v>
      </c>
      <c r="BI12">
        <f>IF(AND(COUNTIF(Control!$E$20:$E$100,$B12)=0,COUNTIF(Control!$E$20:$E$100,BI$2)=0),VISUM_Arterial_OD!BI12*Control!$B$3,0)</f>
        <v>0</v>
      </c>
      <c r="BJ12">
        <f>IF(AND(COUNTIF(Control!$E$20:$E$100,$B12)=0,COUNTIF(Control!$E$20:$E$100,BJ$2)=0),VISUM_Arterial_OD!BJ12*Control!$B$3,0)</f>
        <v>0</v>
      </c>
      <c r="BK12">
        <f>IF(AND(COUNTIF(Control!$E$20:$E$100,$B12)=0,COUNTIF(Control!$E$20:$E$100,BK$2)=0),VISUM_Arterial_OD!BK12*Control!$B$3,0)</f>
        <v>0</v>
      </c>
      <c r="BL12">
        <f>IF(AND(COUNTIF(Control!$E$20:$E$100,$B12)=0,COUNTIF(Control!$E$20:$E$100,BL$2)=0),VISUM_Arterial_OD!BL12*Control!$B$3,0)</f>
        <v>0</v>
      </c>
      <c r="BM12">
        <f>IF(AND(COUNTIF(Control!$E$20:$E$100,$B12)=0,COUNTIF(Control!$E$20:$E$100,BM$2)=0),VISUM_Arterial_OD!BM12*Control!$B$3,0)</f>
        <v>0</v>
      </c>
      <c r="BN12">
        <f>IF(AND(COUNTIF(Control!$E$20:$E$100,$B12)=0,COUNTIF(Control!$E$20:$E$100,BN$2)=0),VISUM_Arterial_OD!BN12*Control!$B$3,0)</f>
        <v>0</v>
      </c>
      <c r="BO12">
        <f>IF(AND(COUNTIF(Control!$E$20:$E$100,$B12)=0,COUNTIF(Control!$E$20:$E$100,BO$2)=0),VISUM_Arterial_OD!BO12*Control!$B$3,0)</f>
        <v>6.0070562999999995</v>
      </c>
      <c r="BP12">
        <f>IF(AND(COUNTIF(Control!$E$20:$E$100,$B12)=0,COUNTIF(Control!$E$20:$E$100,BP$2)=0),VISUM_Arterial_OD!BP12*Control!$B$3,0)</f>
        <v>0</v>
      </c>
      <c r="BQ12">
        <f>IF(AND(COUNTIF(Control!$E$20:$E$100,$B12)=0,COUNTIF(Control!$E$20:$E$100,BQ$2)=0),VISUM_Arterial_OD!BQ12*Control!$B$3,0)</f>
        <v>2.8640248499999998</v>
      </c>
    </row>
    <row r="13" spans="1:69" x14ac:dyDescent="0.25">
      <c r="A13" s="5">
        <f>IF(VLOOKUP(B13,Arterial_Zone_Link_Mapping!$A:$C,2,FALSE)&lt;&gt;"",VLOOKUP(B13,Arterial_Zone_Link_Mapping!$A:$C,2,FALSE),"")</f>
        <v>81</v>
      </c>
      <c r="B13" s="5">
        <v>23</v>
      </c>
      <c r="C13">
        <f>IF(AND(COUNTIF(Control!$E$20:$E$100,$B13)=0,COUNTIF(Control!$E$20:$E$100,C$2)=0),VISUM_Arterial_OD!C13*Control!$B$3,0)</f>
        <v>0</v>
      </c>
      <c r="D13">
        <f>IF(AND(COUNTIF(Control!$E$20:$E$100,$B13)=0,COUNTIF(Control!$E$20:$E$100,D$2)=0),VISUM_Arterial_OD!D13*Control!$B$3,0)</f>
        <v>0</v>
      </c>
      <c r="E13">
        <f>IF(AND(COUNTIF(Control!$E$20:$E$100,$B13)=0,COUNTIF(Control!$E$20:$E$100,E$2)=0),VISUM_Arterial_OD!E13*Control!$B$3,0)</f>
        <v>0.61915124999999993</v>
      </c>
      <c r="F13">
        <f>IF(AND(COUNTIF(Control!$E$20:$E$100,$B13)=0,COUNTIF(Control!$E$20:$E$100,F$2)=0),VISUM_Arterial_OD!F13*Control!$B$3,0)</f>
        <v>2.0999816699999996</v>
      </c>
      <c r="G13">
        <f>IF(AND(COUNTIF(Control!$E$20:$E$100,$B13)=0,COUNTIF(Control!$E$20:$E$100,G$2)=0),VISUM_Arterial_OD!G13*Control!$B$3,0)</f>
        <v>0</v>
      </c>
      <c r="H13">
        <f>IF(AND(COUNTIF(Control!$E$20:$E$100,$B13)=0,COUNTIF(Control!$E$20:$E$100,H$2)=0),VISUM_Arterial_OD!H13*Control!$B$3,0)</f>
        <v>0</v>
      </c>
      <c r="I13">
        <f>IF(AND(COUNTIF(Control!$E$20:$E$100,$B13)=0,COUNTIF(Control!$E$20:$E$100,I$2)=0),VISUM_Arterial_OD!I13*Control!$B$3,0)</f>
        <v>0</v>
      </c>
      <c r="J13">
        <f>IF(AND(COUNTIF(Control!$E$20:$E$100,$B13)=0,COUNTIF(Control!$E$20:$E$100,J$2)=0),VISUM_Arterial_OD!J13*Control!$B$3,0)</f>
        <v>0</v>
      </c>
      <c r="K13">
        <f>IF(AND(COUNTIF(Control!$E$20:$E$100,$B13)=0,COUNTIF(Control!$E$20:$E$100,K$2)=0),VISUM_Arterial_OD!K13*Control!$B$3,0)</f>
        <v>0</v>
      </c>
      <c r="L13">
        <f>IF(AND(COUNTIF(Control!$E$20:$E$100,$B13)=0,COUNTIF(Control!$E$20:$E$100,L$2)=0),VISUM_Arterial_OD!L13*Control!$B$3,0)</f>
        <v>0</v>
      </c>
      <c r="M13">
        <f>IF(AND(COUNTIF(Control!$E$20:$E$100,$B13)=0,COUNTIF(Control!$E$20:$E$100,M$2)=0),VISUM_Arterial_OD!M13*Control!$B$3,0)</f>
        <v>0</v>
      </c>
      <c r="N13">
        <f>IF(AND(COUNTIF(Control!$E$20:$E$100,$B13)=0,COUNTIF(Control!$E$20:$E$100,N$2)=0),VISUM_Arterial_OD!N13*Control!$B$3,0)</f>
        <v>5.4420750299999998</v>
      </c>
      <c r="O13">
        <f>IF(AND(COUNTIF(Control!$E$20:$E$100,$B13)=0,COUNTIF(Control!$E$20:$E$100,O$2)=0),VISUM_Arterial_OD!O13*Control!$B$3,0)</f>
        <v>0</v>
      </c>
      <c r="P13">
        <f>IF(AND(COUNTIF(Control!$E$20:$E$100,$B13)=0,COUNTIF(Control!$E$20:$E$100,P$2)=0),VISUM_Arterial_OD!P13*Control!$B$3,0)</f>
        <v>0</v>
      </c>
      <c r="Q13">
        <f>IF(AND(COUNTIF(Control!$E$20:$E$100,$B13)=0,COUNTIF(Control!$E$20:$E$100,Q$2)=0),VISUM_Arterial_OD!Q13*Control!$B$3,0)</f>
        <v>0</v>
      </c>
      <c r="R13">
        <f>IF(AND(COUNTIF(Control!$E$20:$E$100,$B13)=0,COUNTIF(Control!$E$20:$E$100,R$2)=0),VISUM_Arterial_OD!R13*Control!$B$3,0)</f>
        <v>0</v>
      </c>
      <c r="S13">
        <f>IF(AND(COUNTIF(Control!$E$20:$E$100,$B13)=0,COUNTIF(Control!$E$20:$E$100,S$2)=0),VISUM_Arterial_OD!S13*Control!$B$3,0)</f>
        <v>0</v>
      </c>
      <c r="T13">
        <f>IF(AND(COUNTIF(Control!$E$20:$E$100,$B13)=0,COUNTIF(Control!$E$20:$E$100,T$2)=0),VISUM_Arterial_OD!T13*Control!$B$3,0)</f>
        <v>0</v>
      </c>
      <c r="U13">
        <f>IF(AND(COUNTIF(Control!$E$20:$E$100,$B13)=0,COUNTIF(Control!$E$20:$E$100,U$2)=0),VISUM_Arterial_OD!U13*Control!$B$3,0)</f>
        <v>0</v>
      </c>
      <c r="V13">
        <f>IF(AND(COUNTIF(Control!$E$20:$E$100,$B13)=0,COUNTIF(Control!$E$20:$E$100,V$2)=0),VISUM_Arterial_OD!V13*Control!$B$3,0)</f>
        <v>0</v>
      </c>
      <c r="W13">
        <f>IF(AND(COUNTIF(Control!$E$20:$E$100,$B13)=0,COUNTIF(Control!$E$20:$E$100,W$2)=0),VISUM_Arterial_OD!W13*Control!$B$3,0)</f>
        <v>0</v>
      </c>
      <c r="X13">
        <f>IF(AND(COUNTIF(Control!$E$20:$E$100,$B13)=0,COUNTIF(Control!$E$20:$E$100,X$2)=0),VISUM_Arterial_OD!X13*Control!$B$3,0)</f>
        <v>0</v>
      </c>
      <c r="Y13">
        <f>IF(AND(COUNTIF(Control!$E$20:$E$100,$B13)=0,COUNTIF(Control!$E$20:$E$100,Y$2)=0),VISUM_Arterial_OD!Y13*Control!$B$3,0)</f>
        <v>1.4314270499999999</v>
      </c>
      <c r="Z13">
        <f>IF(AND(COUNTIF(Control!$E$20:$E$100,$B13)=0,COUNTIF(Control!$E$20:$E$100,Z$2)=0),VISUM_Arterial_OD!Z13*Control!$B$3,0)</f>
        <v>0</v>
      </c>
      <c r="AA13">
        <f>IF(AND(COUNTIF(Control!$E$20:$E$100,$B13)=0,COUNTIF(Control!$E$20:$E$100,AA$2)=0),VISUM_Arterial_OD!AA13*Control!$B$3,0)</f>
        <v>0</v>
      </c>
      <c r="AB13">
        <f>IF(AND(COUNTIF(Control!$E$20:$E$100,$B13)=0,COUNTIF(Control!$E$20:$E$100,AB$2)=0),VISUM_Arterial_OD!AB13*Control!$B$3,0)</f>
        <v>0</v>
      </c>
      <c r="AC13">
        <f>IF(AND(COUNTIF(Control!$E$20:$E$100,$B13)=0,COUNTIF(Control!$E$20:$E$100,AC$2)=0),VISUM_Arterial_OD!AC13*Control!$B$3,0)</f>
        <v>0</v>
      </c>
      <c r="AD13">
        <f>IF(AND(COUNTIF(Control!$E$20:$E$100,$B13)=0,COUNTIF(Control!$E$20:$E$100,AD$2)=0),VISUM_Arterial_OD!AD13*Control!$B$3,0)</f>
        <v>4.8555569999999999E-2</v>
      </c>
      <c r="AE13">
        <f>IF(AND(COUNTIF(Control!$E$20:$E$100,$B13)=0,COUNTIF(Control!$E$20:$E$100,AE$2)=0),VISUM_Arterial_OD!AE13*Control!$B$3,0)</f>
        <v>3.0457919999999996E-2</v>
      </c>
      <c r="AF13">
        <f>IF(AND(COUNTIF(Control!$E$20:$E$100,$B13)=0,COUNTIF(Control!$E$20:$E$100,AF$2)=0),VISUM_Arterial_OD!AF13*Control!$B$3,0)</f>
        <v>0</v>
      </c>
      <c r="AG13">
        <f>IF(AND(COUNTIF(Control!$E$20:$E$100,$B13)=0,COUNTIF(Control!$E$20:$E$100,AG$2)=0),VISUM_Arterial_OD!AG13*Control!$B$3,0)</f>
        <v>0</v>
      </c>
      <c r="AH13">
        <f>IF(AND(COUNTIF(Control!$E$20:$E$100,$B13)=0,COUNTIF(Control!$E$20:$E$100,AH$2)=0),VISUM_Arterial_OD!AH13*Control!$B$3,0)</f>
        <v>0</v>
      </c>
      <c r="AI13">
        <f>IF(AND(COUNTIF(Control!$E$20:$E$100,$B13)=0,COUNTIF(Control!$E$20:$E$100,AI$2)=0),VISUM_Arterial_OD!AI13*Control!$B$3,0)</f>
        <v>0</v>
      </c>
      <c r="AJ13">
        <f>IF(AND(COUNTIF(Control!$E$20:$E$100,$B13)=0,COUNTIF(Control!$E$20:$E$100,AJ$2)=0),VISUM_Arterial_OD!AJ13*Control!$B$3,0)</f>
        <v>0</v>
      </c>
      <c r="AK13">
        <f>IF(AND(COUNTIF(Control!$E$20:$E$100,$B13)=0,COUNTIF(Control!$E$20:$E$100,AK$2)=0),VISUM_Arterial_OD!AK13*Control!$B$3,0)</f>
        <v>0</v>
      </c>
      <c r="AL13">
        <f>IF(AND(COUNTIF(Control!$E$20:$E$100,$B13)=0,COUNTIF(Control!$E$20:$E$100,AL$2)=0),VISUM_Arterial_OD!AL13*Control!$B$3,0)</f>
        <v>0</v>
      </c>
      <c r="AM13">
        <f>IF(AND(COUNTIF(Control!$E$20:$E$100,$B13)=0,COUNTIF(Control!$E$20:$E$100,AM$2)=0),VISUM_Arterial_OD!AM13*Control!$B$3,0)</f>
        <v>0</v>
      </c>
      <c r="AN13">
        <f>IF(AND(COUNTIF(Control!$E$20:$E$100,$B13)=0,COUNTIF(Control!$E$20:$E$100,AN$2)=0),VISUM_Arterial_OD!AN13*Control!$B$3,0)</f>
        <v>0</v>
      </c>
      <c r="AO13">
        <f>IF(AND(COUNTIF(Control!$E$20:$E$100,$B13)=0,COUNTIF(Control!$E$20:$E$100,AO$2)=0),VISUM_Arterial_OD!AO13*Control!$B$3,0)</f>
        <v>0</v>
      </c>
      <c r="AP13">
        <f>IF(AND(COUNTIF(Control!$E$20:$E$100,$B13)=0,COUNTIF(Control!$E$20:$E$100,AP$2)=0),VISUM_Arterial_OD!AP13*Control!$B$3,0)</f>
        <v>0</v>
      </c>
      <c r="AQ13">
        <f>IF(AND(COUNTIF(Control!$E$20:$E$100,$B13)=0,COUNTIF(Control!$E$20:$E$100,AQ$2)=0),VISUM_Arterial_OD!AQ13*Control!$B$3,0)</f>
        <v>0</v>
      </c>
      <c r="AR13">
        <f>IF(AND(COUNTIF(Control!$E$20:$E$100,$B13)=0,COUNTIF(Control!$E$20:$E$100,AR$2)=0),VISUM_Arterial_OD!AR13*Control!$B$3,0)</f>
        <v>0</v>
      </c>
      <c r="AS13">
        <f>IF(AND(COUNTIF(Control!$E$20:$E$100,$B13)=0,COUNTIF(Control!$E$20:$E$100,AS$2)=0),VISUM_Arterial_OD!AS13*Control!$B$3,0)</f>
        <v>0</v>
      </c>
      <c r="AT13">
        <f>IF(AND(COUNTIF(Control!$E$20:$E$100,$B13)=0,COUNTIF(Control!$E$20:$E$100,AT$2)=0),VISUM_Arterial_OD!AT13*Control!$B$3,0)</f>
        <v>0</v>
      </c>
      <c r="AU13">
        <f>IF(AND(COUNTIF(Control!$E$20:$E$100,$B13)=0,COUNTIF(Control!$E$20:$E$100,AU$2)=0),VISUM_Arterial_OD!AU13*Control!$B$3,0)</f>
        <v>0</v>
      </c>
      <c r="AV13">
        <f>IF(AND(COUNTIF(Control!$E$20:$E$100,$B13)=0,COUNTIF(Control!$E$20:$E$100,AV$2)=0),VISUM_Arterial_OD!AV13*Control!$B$3,0)</f>
        <v>0</v>
      </c>
      <c r="AW13">
        <f>IF(AND(COUNTIF(Control!$E$20:$E$100,$B13)=0,COUNTIF(Control!$E$20:$E$100,AW$2)=0),VISUM_Arterial_OD!AW13*Control!$B$3,0)</f>
        <v>0</v>
      </c>
      <c r="AX13">
        <f>IF(AND(COUNTIF(Control!$E$20:$E$100,$B13)=0,COUNTIF(Control!$E$20:$E$100,AX$2)=0),VISUM_Arterial_OD!AX13*Control!$B$3,0)</f>
        <v>0</v>
      </c>
      <c r="AY13">
        <f>IF(AND(COUNTIF(Control!$E$20:$E$100,$B13)=0,COUNTIF(Control!$E$20:$E$100,AY$2)=0),VISUM_Arterial_OD!AY13*Control!$B$3,0)</f>
        <v>0</v>
      </c>
      <c r="AZ13">
        <f>IF(AND(COUNTIF(Control!$E$20:$E$100,$B13)=0,COUNTIF(Control!$E$20:$E$100,AZ$2)=0),VISUM_Arterial_OD!AZ13*Control!$B$3,0)</f>
        <v>0</v>
      </c>
      <c r="BA13">
        <f>IF(AND(COUNTIF(Control!$E$20:$E$100,$B13)=0,COUNTIF(Control!$E$20:$E$100,BA$2)=0),VISUM_Arterial_OD!BA13*Control!$B$3,0)</f>
        <v>0</v>
      </c>
      <c r="BB13">
        <f>IF(AND(COUNTIF(Control!$E$20:$E$100,$B13)=0,COUNTIF(Control!$E$20:$E$100,BB$2)=0),VISUM_Arterial_OD!BB13*Control!$B$3,0)</f>
        <v>0</v>
      </c>
      <c r="BC13">
        <f>IF(AND(COUNTIF(Control!$E$20:$E$100,$B13)=0,COUNTIF(Control!$E$20:$E$100,BC$2)=0),VISUM_Arterial_OD!BC13*Control!$B$3,0)</f>
        <v>0</v>
      </c>
      <c r="BD13">
        <f>IF(AND(COUNTIF(Control!$E$20:$E$100,$B13)=0,COUNTIF(Control!$E$20:$E$100,BD$2)=0),VISUM_Arterial_OD!BD13*Control!$B$3,0)</f>
        <v>0</v>
      </c>
      <c r="BE13">
        <f>IF(AND(COUNTIF(Control!$E$20:$E$100,$B13)=0,COUNTIF(Control!$E$20:$E$100,BE$2)=0),VISUM_Arterial_OD!BE13*Control!$B$3,0)</f>
        <v>0</v>
      </c>
      <c r="BF13">
        <f>IF(AND(COUNTIF(Control!$E$20:$E$100,$B13)=0,COUNTIF(Control!$E$20:$E$100,BF$2)=0),VISUM_Arterial_OD!BF13*Control!$B$3,0)</f>
        <v>0</v>
      </c>
      <c r="BG13">
        <f>IF(AND(COUNTIF(Control!$E$20:$E$100,$B13)=0,COUNTIF(Control!$E$20:$E$100,BG$2)=0),VISUM_Arterial_OD!BG13*Control!$B$3,0)</f>
        <v>3.2023517699999999</v>
      </c>
      <c r="BH13">
        <f>IF(AND(COUNTIF(Control!$E$20:$E$100,$B13)=0,COUNTIF(Control!$E$20:$E$100,BH$2)=0),VISUM_Arterial_OD!BH13*Control!$B$3,0)</f>
        <v>6.1790066399999999</v>
      </c>
      <c r="BI13">
        <f>IF(AND(COUNTIF(Control!$E$20:$E$100,$B13)=0,COUNTIF(Control!$E$20:$E$100,BI$2)=0),VISUM_Arterial_OD!BI13*Control!$B$3,0)</f>
        <v>0</v>
      </c>
      <c r="BJ13">
        <f>IF(AND(COUNTIF(Control!$E$20:$E$100,$B13)=0,COUNTIF(Control!$E$20:$E$100,BJ$2)=0),VISUM_Arterial_OD!BJ13*Control!$B$3,0)</f>
        <v>0</v>
      </c>
      <c r="BK13">
        <f>IF(AND(COUNTIF(Control!$E$20:$E$100,$B13)=0,COUNTIF(Control!$E$20:$E$100,BK$2)=0),VISUM_Arterial_OD!BK13*Control!$B$3,0)</f>
        <v>0</v>
      </c>
      <c r="BL13">
        <f>IF(AND(COUNTIF(Control!$E$20:$E$100,$B13)=0,COUNTIF(Control!$E$20:$E$100,BL$2)=0),VISUM_Arterial_OD!BL13*Control!$B$3,0)</f>
        <v>0</v>
      </c>
      <c r="BM13">
        <f>IF(AND(COUNTIF(Control!$E$20:$E$100,$B13)=0,COUNTIF(Control!$E$20:$E$100,BM$2)=0),VISUM_Arterial_OD!BM13*Control!$B$3,0)</f>
        <v>0</v>
      </c>
      <c r="BN13">
        <f>IF(AND(COUNTIF(Control!$E$20:$E$100,$B13)=0,COUNTIF(Control!$E$20:$E$100,BN$2)=0),VISUM_Arterial_OD!BN13*Control!$B$3,0)</f>
        <v>0</v>
      </c>
      <c r="BO13">
        <f>IF(AND(COUNTIF(Control!$E$20:$E$100,$B13)=0,COUNTIF(Control!$E$20:$E$100,BO$2)=0),VISUM_Arterial_OD!BO13*Control!$B$3,0)</f>
        <v>0</v>
      </c>
      <c r="BP13">
        <f>IF(AND(COUNTIF(Control!$E$20:$E$100,$B13)=0,COUNTIF(Control!$E$20:$E$100,BP$2)=0),VISUM_Arterial_OD!BP13*Control!$B$3,0)</f>
        <v>0</v>
      </c>
      <c r="BQ13">
        <f>IF(AND(COUNTIF(Control!$E$20:$E$100,$B13)=0,COUNTIF(Control!$E$20:$E$100,BQ$2)=0),VISUM_Arterial_OD!BQ13*Control!$B$3,0)</f>
        <v>0</v>
      </c>
    </row>
    <row r="14" spans="1:69" x14ac:dyDescent="0.25">
      <c r="A14" s="5">
        <f>IF(VLOOKUP(B14,Arterial_Zone_Link_Mapping!$A:$C,2,FALSE)&lt;&gt;"",VLOOKUP(B14,Arterial_Zone_Link_Mapping!$A:$C,2,FALSE),"")</f>
        <v>480</v>
      </c>
      <c r="B14" s="5">
        <v>25</v>
      </c>
      <c r="C14">
        <f>IF(AND(COUNTIF(Control!$E$20:$E$100,$B14)=0,COUNTIF(Control!$E$20:$E$100,C$2)=0),VISUM_Arterial_OD!C14*Control!$B$3,0)</f>
        <v>0</v>
      </c>
      <c r="D14">
        <f>IF(AND(COUNTIF(Control!$E$20:$E$100,$B14)=0,COUNTIF(Control!$E$20:$E$100,D$2)=0),VISUM_Arterial_OD!D14*Control!$B$3,0)</f>
        <v>0</v>
      </c>
      <c r="E14">
        <f>IF(AND(COUNTIF(Control!$E$20:$E$100,$B14)=0,COUNTIF(Control!$E$20:$E$100,E$2)=0),VISUM_Arterial_OD!E14*Control!$B$3,0)</f>
        <v>0.60486048000000003</v>
      </c>
      <c r="F14">
        <f>IF(AND(COUNTIF(Control!$E$20:$E$100,$B14)=0,COUNTIF(Control!$E$20:$E$100,F$2)=0),VISUM_Arterial_OD!F14*Control!$B$3,0)</f>
        <v>0.78433832999999997</v>
      </c>
      <c r="G14">
        <f>IF(AND(COUNTIF(Control!$E$20:$E$100,$B14)=0,COUNTIF(Control!$E$20:$E$100,G$2)=0),VISUM_Arterial_OD!G14*Control!$B$3,0)</f>
        <v>0</v>
      </c>
      <c r="H14">
        <f>IF(AND(COUNTIF(Control!$E$20:$E$100,$B14)=0,COUNTIF(Control!$E$20:$E$100,H$2)=0),VISUM_Arterial_OD!H14*Control!$B$3,0)</f>
        <v>0</v>
      </c>
      <c r="I14">
        <f>IF(AND(COUNTIF(Control!$E$20:$E$100,$B14)=0,COUNTIF(Control!$E$20:$E$100,I$2)=0),VISUM_Arterial_OD!I14*Control!$B$3,0)</f>
        <v>0</v>
      </c>
      <c r="J14">
        <f>IF(AND(COUNTIF(Control!$E$20:$E$100,$B14)=0,COUNTIF(Control!$E$20:$E$100,J$2)=0),VISUM_Arterial_OD!J14*Control!$B$3,0)</f>
        <v>0</v>
      </c>
      <c r="K14">
        <f>IF(AND(COUNTIF(Control!$E$20:$E$100,$B14)=0,COUNTIF(Control!$E$20:$E$100,K$2)=0),VISUM_Arterial_OD!K14*Control!$B$3,0)</f>
        <v>0</v>
      </c>
      <c r="L14">
        <f>IF(AND(COUNTIF(Control!$E$20:$E$100,$B14)=0,COUNTIF(Control!$E$20:$E$100,L$2)=0),VISUM_Arterial_OD!L14*Control!$B$3,0)</f>
        <v>0</v>
      </c>
      <c r="M14">
        <f>IF(AND(COUNTIF(Control!$E$20:$E$100,$B14)=0,COUNTIF(Control!$E$20:$E$100,M$2)=0),VISUM_Arterial_OD!M14*Control!$B$3,0)</f>
        <v>8.9397432299999995</v>
      </c>
      <c r="N14">
        <f>IF(AND(COUNTIF(Control!$E$20:$E$100,$B14)=0,COUNTIF(Control!$E$20:$E$100,N$2)=0),VISUM_Arterial_OD!N14*Control!$B$3,0)</f>
        <v>0</v>
      </c>
      <c r="O14">
        <f>IF(AND(COUNTIF(Control!$E$20:$E$100,$B14)=0,COUNTIF(Control!$E$20:$E$100,O$2)=0),VISUM_Arterial_OD!O14*Control!$B$3,0)</f>
        <v>0</v>
      </c>
      <c r="P14">
        <f>IF(AND(COUNTIF(Control!$E$20:$E$100,$B14)=0,COUNTIF(Control!$E$20:$E$100,P$2)=0),VISUM_Arterial_OD!P14*Control!$B$3,0)</f>
        <v>0</v>
      </c>
      <c r="Q14">
        <f>IF(AND(COUNTIF(Control!$E$20:$E$100,$B14)=0,COUNTIF(Control!$E$20:$E$100,Q$2)=0),VISUM_Arterial_OD!Q14*Control!$B$3,0)</f>
        <v>0</v>
      </c>
      <c r="R14">
        <f>IF(AND(COUNTIF(Control!$E$20:$E$100,$B14)=0,COUNTIF(Control!$E$20:$E$100,R$2)=0),VISUM_Arterial_OD!R14*Control!$B$3,0)</f>
        <v>0</v>
      </c>
      <c r="S14">
        <f>IF(AND(COUNTIF(Control!$E$20:$E$100,$B14)=0,COUNTIF(Control!$E$20:$E$100,S$2)=0),VISUM_Arterial_OD!S14*Control!$B$3,0)</f>
        <v>0</v>
      </c>
      <c r="T14">
        <f>IF(AND(COUNTIF(Control!$E$20:$E$100,$B14)=0,COUNTIF(Control!$E$20:$E$100,T$2)=0),VISUM_Arterial_OD!T14*Control!$B$3,0)</f>
        <v>0</v>
      </c>
      <c r="U14">
        <f>IF(AND(COUNTIF(Control!$E$20:$E$100,$B14)=0,COUNTIF(Control!$E$20:$E$100,U$2)=0),VISUM_Arterial_OD!U14*Control!$B$3,0)</f>
        <v>0</v>
      </c>
      <c r="V14">
        <f>IF(AND(COUNTIF(Control!$E$20:$E$100,$B14)=0,COUNTIF(Control!$E$20:$E$100,V$2)=0),VISUM_Arterial_OD!V14*Control!$B$3,0)</f>
        <v>0</v>
      </c>
      <c r="W14">
        <f>IF(AND(COUNTIF(Control!$E$20:$E$100,$B14)=0,COUNTIF(Control!$E$20:$E$100,W$2)=0),VISUM_Arterial_OD!W14*Control!$B$3,0)</f>
        <v>0</v>
      </c>
      <c r="X14">
        <f>IF(AND(COUNTIF(Control!$E$20:$E$100,$B14)=0,COUNTIF(Control!$E$20:$E$100,X$2)=0),VISUM_Arterial_OD!X14*Control!$B$3,0)</f>
        <v>0</v>
      </c>
      <c r="Y14">
        <f>IF(AND(COUNTIF(Control!$E$20:$E$100,$B14)=0,COUNTIF(Control!$E$20:$E$100,Y$2)=0),VISUM_Arterial_OD!Y14*Control!$B$3,0)</f>
        <v>1.5075719699999999</v>
      </c>
      <c r="Z14">
        <f>IF(AND(COUNTIF(Control!$E$20:$E$100,$B14)=0,COUNTIF(Control!$E$20:$E$100,Z$2)=0),VISUM_Arterial_OD!Z14*Control!$B$3,0)</f>
        <v>0</v>
      </c>
      <c r="AA14">
        <f>IF(AND(COUNTIF(Control!$E$20:$E$100,$B14)=0,COUNTIF(Control!$E$20:$E$100,AA$2)=0),VISUM_Arterial_OD!AA14*Control!$B$3,0)</f>
        <v>0</v>
      </c>
      <c r="AB14">
        <f>IF(AND(COUNTIF(Control!$E$20:$E$100,$B14)=0,COUNTIF(Control!$E$20:$E$100,AB$2)=0),VISUM_Arterial_OD!AB14*Control!$B$3,0)</f>
        <v>0</v>
      </c>
      <c r="AC14">
        <f>IF(AND(COUNTIF(Control!$E$20:$E$100,$B14)=0,COUNTIF(Control!$E$20:$E$100,AC$2)=0),VISUM_Arterial_OD!AC14*Control!$B$3,0)</f>
        <v>0</v>
      </c>
      <c r="AD14">
        <f>IF(AND(COUNTIF(Control!$E$20:$E$100,$B14)=0,COUNTIF(Control!$E$20:$E$100,AD$2)=0),VISUM_Arterial_OD!AD14*Control!$B$3,0)</f>
        <v>0</v>
      </c>
      <c r="AE14">
        <f>IF(AND(COUNTIF(Control!$E$20:$E$100,$B14)=0,COUNTIF(Control!$E$20:$E$100,AE$2)=0),VISUM_Arterial_OD!AE14*Control!$B$3,0)</f>
        <v>1.4676750000000001E-2</v>
      </c>
      <c r="AF14">
        <f>IF(AND(COUNTIF(Control!$E$20:$E$100,$B14)=0,COUNTIF(Control!$E$20:$E$100,AF$2)=0),VISUM_Arterial_OD!AF14*Control!$B$3,0)</f>
        <v>0</v>
      </c>
      <c r="AG14">
        <f>IF(AND(COUNTIF(Control!$E$20:$E$100,$B14)=0,COUNTIF(Control!$E$20:$E$100,AG$2)=0),VISUM_Arterial_OD!AG14*Control!$B$3,0)</f>
        <v>0</v>
      </c>
      <c r="AH14">
        <f>IF(AND(COUNTIF(Control!$E$20:$E$100,$B14)=0,COUNTIF(Control!$E$20:$E$100,AH$2)=0),VISUM_Arterial_OD!AH14*Control!$B$3,0)</f>
        <v>0</v>
      </c>
      <c r="AI14">
        <f>IF(AND(COUNTIF(Control!$E$20:$E$100,$B14)=0,COUNTIF(Control!$E$20:$E$100,AI$2)=0),VISUM_Arterial_OD!AI14*Control!$B$3,0)</f>
        <v>0</v>
      </c>
      <c r="AJ14">
        <f>IF(AND(COUNTIF(Control!$E$20:$E$100,$B14)=0,COUNTIF(Control!$E$20:$E$100,AJ$2)=0),VISUM_Arterial_OD!AJ14*Control!$B$3,0)</f>
        <v>0</v>
      </c>
      <c r="AK14">
        <f>IF(AND(COUNTIF(Control!$E$20:$E$100,$B14)=0,COUNTIF(Control!$E$20:$E$100,AK$2)=0),VISUM_Arterial_OD!AK14*Control!$B$3,0)</f>
        <v>0</v>
      </c>
      <c r="AL14">
        <f>IF(AND(COUNTIF(Control!$E$20:$E$100,$B14)=0,COUNTIF(Control!$E$20:$E$100,AL$2)=0),VISUM_Arterial_OD!AL14*Control!$B$3,0)</f>
        <v>0</v>
      </c>
      <c r="AM14">
        <f>IF(AND(COUNTIF(Control!$E$20:$E$100,$B14)=0,COUNTIF(Control!$E$20:$E$100,AM$2)=0),VISUM_Arterial_OD!AM14*Control!$B$3,0)</f>
        <v>0</v>
      </c>
      <c r="AN14">
        <f>IF(AND(COUNTIF(Control!$E$20:$E$100,$B14)=0,COUNTIF(Control!$E$20:$E$100,AN$2)=0),VISUM_Arterial_OD!AN14*Control!$B$3,0)</f>
        <v>0</v>
      </c>
      <c r="AO14">
        <f>IF(AND(COUNTIF(Control!$E$20:$E$100,$B14)=0,COUNTIF(Control!$E$20:$E$100,AO$2)=0),VISUM_Arterial_OD!AO14*Control!$B$3,0)</f>
        <v>0</v>
      </c>
      <c r="AP14">
        <f>IF(AND(COUNTIF(Control!$E$20:$E$100,$B14)=0,COUNTIF(Control!$E$20:$E$100,AP$2)=0),VISUM_Arterial_OD!AP14*Control!$B$3,0)</f>
        <v>0</v>
      </c>
      <c r="AQ14">
        <f>IF(AND(COUNTIF(Control!$E$20:$E$100,$B14)=0,COUNTIF(Control!$E$20:$E$100,AQ$2)=0),VISUM_Arterial_OD!AQ14*Control!$B$3,0)</f>
        <v>0</v>
      </c>
      <c r="AR14">
        <f>IF(AND(COUNTIF(Control!$E$20:$E$100,$B14)=0,COUNTIF(Control!$E$20:$E$100,AR$2)=0),VISUM_Arterial_OD!AR14*Control!$B$3,0)</f>
        <v>0</v>
      </c>
      <c r="AS14">
        <f>IF(AND(COUNTIF(Control!$E$20:$E$100,$B14)=0,COUNTIF(Control!$E$20:$E$100,AS$2)=0),VISUM_Arterial_OD!AS14*Control!$B$3,0)</f>
        <v>0</v>
      </c>
      <c r="AT14">
        <f>IF(AND(COUNTIF(Control!$E$20:$E$100,$B14)=0,COUNTIF(Control!$E$20:$E$100,AT$2)=0),VISUM_Arterial_OD!AT14*Control!$B$3,0)</f>
        <v>0</v>
      </c>
      <c r="AU14">
        <f>IF(AND(COUNTIF(Control!$E$20:$E$100,$B14)=0,COUNTIF(Control!$E$20:$E$100,AU$2)=0),VISUM_Arterial_OD!AU14*Control!$B$3,0)</f>
        <v>0</v>
      </c>
      <c r="AV14">
        <f>IF(AND(COUNTIF(Control!$E$20:$E$100,$B14)=0,COUNTIF(Control!$E$20:$E$100,AV$2)=0),VISUM_Arterial_OD!AV14*Control!$B$3,0)</f>
        <v>0</v>
      </c>
      <c r="AW14">
        <f>IF(AND(COUNTIF(Control!$E$20:$E$100,$B14)=0,COUNTIF(Control!$E$20:$E$100,AW$2)=0),VISUM_Arterial_OD!AW14*Control!$B$3,0)</f>
        <v>0</v>
      </c>
      <c r="AX14">
        <f>IF(AND(COUNTIF(Control!$E$20:$E$100,$B14)=0,COUNTIF(Control!$E$20:$E$100,AX$2)=0),VISUM_Arterial_OD!AX14*Control!$B$3,0)</f>
        <v>0</v>
      </c>
      <c r="AY14">
        <f>IF(AND(COUNTIF(Control!$E$20:$E$100,$B14)=0,COUNTIF(Control!$E$20:$E$100,AY$2)=0),VISUM_Arterial_OD!AY14*Control!$B$3,0)</f>
        <v>0</v>
      </c>
      <c r="AZ14">
        <f>IF(AND(COUNTIF(Control!$E$20:$E$100,$B14)=0,COUNTIF(Control!$E$20:$E$100,AZ$2)=0),VISUM_Arterial_OD!AZ14*Control!$B$3,0)</f>
        <v>0</v>
      </c>
      <c r="BA14">
        <f>IF(AND(COUNTIF(Control!$E$20:$E$100,$B14)=0,COUNTIF(Control!$E$20:$E$100,BA$2)=0),VISUM_Arterial_OD!BA14*Control!$B$3,0)</f>
        <v>0</v>
      </c>
      <c r="BB14">
        <f>IF(AND(COUNTIF(Control!$E$20:$E$100,$B14)=0,COUNTIF(Control!$E$20:$E$100,BB$2)=0),VISUM_Arterial_OD!BB14*Control!$B$3,0)</f>
        <v>0</v>
      </c>
      <c r="BC14">
        <f>IF(AND(COUNTIF(Control!$E$20:$E$100,$B14)=0,COUNTIF(Control!$E$20:$E$100,BC$2)=0),VISUM_Arterial_OD!BC14*Control!$B$3,0)</f>
        <v>0</v>
      </c>
      <c r="BD14">
        <f>IF(AND(COUNTIF(Control!$E$20:$E$100,$B14)=0,COUNTIF(Control!$E$20:$E$100,BD$2)=0),VISUM_Arterial_OD!BD14*Control!$B$3,0)</f>
        <v>0</v>
      </c>
      <c r="BE14">
        <f>IF(AND(COUNTIF(Control!$E$20:$E$100,$B14)=0,COUNTIF(Control!$E$20:$E$100,BE$2)=0),VISUM_Arterial_OD!BE14*Control!$B$3,0)</f>
        <v>0</v>
      </c>
      <c r="BF14">
        <f>IF(AND(COUNTIF(Control!$E$20:$E$100,$B14)=0,COUNTIF(Control!$E$20:$E$100,BF$2)=0),VISUM_Arterial_OD!BF14*Control!$B$3,0)</f>
        <v>0</v>
      </c>
      <c r="BG14">
        <f>IF(AND(COUNTIF(Control!$E$20:$E$100,$B14)=0,COUNTIF(Control!$E$20:$E$100,BG$2)=0),VISUM_Arterial_OD!BG14*Control!$B$3,0)</f>
        <v>18.315843299999997</v>
      </c>
      <c r="BH14">
        <f>IF(AND(COUNTIF(Control!$E$20:$E$100,$B14)=0,COUNTIF(Control!$E$20:$E$100,BH$2)=0),VISUM_Arterial_OD!BH14*Control!$B$3,0)</f>
        <v>0.75004128000000003</v>
      </c>
      <c r="BI14">
        <f>IF(AND(COUNTIF(Control!$E$20:$E$100,$B14)=0,COUNTIF(Control!$E$20:$E$100,BI$2)=0),VISUM_Arterial_OD!BI14*Control!$B$3,0)</f>
        <v>0</v>
      </c>
      <c r="BJ14">
        <f>IF(AND(COUNTIF(Control!$E$20:$E$100,$B14)=0,COUNTIF(Control!$E$20:$E$100,BJ$2)=0),VISUM_Arterial_OD!BJ14*Control!$B$3,0)</f>
        <v>0</v>
      </c>
      <c r="BK14">
        <f>IF(AND(COUNTIF(Control!$E$20:$E$100,$B14)=0,COUNTIF(Control!$E$20:$E$100,BK$2)=0),VISUM_Arterial_OD!BK14*Control!$B$3,0)</f>
        <v>0</v>
      </c>
      <c r="BL14">
        <f>IF(AND(COUNTIF(Control!$E$20:$E$100,$B14)=0,COUNTIF(Control!$E$20:$E$100,BL$2)=0),VISUM_Arterial_OD!BL14*Control!$B$3,0)</f>
        <v>0</v>
      </c>
      <c r="BM14">
        <f>IF(AND(COUNTIF(Control!$E$20:$E$100,$B14)=0,COUNTIF(Control!$E$20:$E$100,BM$2)=0),VISUM_Arterial_OD!BM14*Control!$B$3,0)</f>
        <v>0</v>
      </c>
      <c r="BN14">
        <f>IF(AND(COUNTIF(Control!$E$20:$E$100,$B14)=0,COUNTIF(Control!$E$20:$E$100,BN$2)=0),VISUM_Arterial_OD!BN14*Control!$B$3,0)</f>
        <v>0</v>
      </c>
      <c r="BO14">
        <f>IF(AND(COUNTIF(Control!$E$20:$E$100,$B14)=0,COUNTIF(Control!$E$20:$E$100,BO$2)=0),VISUM_Arterial_OD!BO14*Control!$B$3,0)</f>
        <v>0</v>
      </c>
      <c r="BP14">
        <f>IF(AND(COUNTIF(Control!$E$20:$E$100,$B14)=0,COUNTIF(Control!$E$20:$E$100,BP$2)=0),VISUM_Arterial_OD!BP14*Control!$B$3,0)</f>
        <v>0</v>
      </c>
      <c r="BQ14">
        <f>IF(AND(COUNTIF(Control!$E$20:$E$100,$B14)=0,COUNTIF(Control!$E$20:$E$100,BQ$2)=0),VISUM_Arterial_OD!BQ14*Control!$B$3,0)</f>
        <v>0</v>
      </c>
    </row>
    <row r="15" spans="1:69" x14ac:dyDescent="0.25">
      <c r="A15" s="5">
        <f>IF(VLOOKUP(B15,Arterial_Zone_Link_Mapping!$A:$C,2,FALSE)&lt;&gt;"",VLOOKUP(B15,Arterial_Zone_Link_Mapping!$A:$C,2,FALSE),"")</f>
        <v>147</v>
      </c>
      <c r="B15" s="5">
        <v>26</v>
      </c>
      <c r="C15">
        <f>IF(AND(COUNTIF(Control!$E$20:$E$100,$B15)=0,COUNTIF(Control!$E$20:$E$100,C$2)=0),VISUM_Arterial_OD!C15*Control!$B$3,0)</f>
        <v>3.7705762199999997</v>
      </c>
      <c r="D15">
        <f>IF(AND(COUNTIF(Control!$E$20:$E$100,$B15)=0,COUNTIF(Control!$E$20:$E$100,D$2)=0),VISUM_Arterial_OD!D15*Control!$B$3,0)</f>
        <v>6.8999397900000004</v>
      </c>
      <c r="E15">
        <f>IF(AND(COUNTIF(Control!$E$20:$E$100,$B15)=0,COUNTIF(Control!$E$20:$E$100,E$2)=0),VISUM_Arterial_OD!E15*Control!$B$3,0)</f>
        <v>0</v>
      </c>
      <c r="F15">
        <f>IF(AND(COUNTIF(Control!$E$20:$E$100,$B15)=0,COUNTIF(Control!$E$20:$E$100,F$2)=0),VISUM_Arterial_OD!F15*Control!$B$3,0)</f>
        <v>0</v>
      </c>
      <c r="G15">
        <f>IF(AND(COUNTIF(Control!$E$20:$E$100,$B15)=0,COUNTIF(Control!$E$20:$E$100,G$2)=0),VISUM_Arterial_OD!G15*Control!$B$3,0)</f>
        <v>0</v>
      </c>
      <c r="H15">
        <f>IF(AND(COUNTIF(Control!$E$20:$E$100,$B15)=0,COUNTIF(Control!$E$20:$E$100,H$2)=0),VISUM_Arterial_OD!H15*Control!$B$3,0)</f>
        <v>0</v>
      </c>
      <c r="I15">
        <f>IF(AND(COUNTIF(Control!$E$20:$E$100,$B15)=0,COUNTIF(Control!$E$20:$E$100,I$2)=0),VISUM_Arterial_OD!I15*Control!$B$3,0)</f>
        <v>0</v>
      </c>
      <c r="J15">
        <f>IF(AND(COUNTIF(Control!$E$20:$E$100,$B15)=0,COUNTIF(Control!$E$20:$E$100,J$2)=0),VISUM_Arterial_OD!J15*Control!$B$3,0)</f>
        <v>6.7499410800000001</v>
      </c>
      <c r="K15">
        <f>IF(AND(COUNTIF(Control!$E$20:$E$100,$B15)=0,COUNTIF(Control!$E$20:$E$100,K$2)=0),VISUM_Arterial_OD!K15*Control!$B$3,0)</f>
        <v>0.90178391999999996</v>
      </c>
      <c r="L15">
        <f>IF(AND(COUNTIF(Control!$E$20:$E$100,$B15)=0,COUNTIF(Control!$E$20:$E$100,L$2)=0),VISUM_Arterial_OD!L15*Control!$B$3,0)</f>
        <v>4.7978178600000003</v>
      </c>
      <c r="M15">
        <f>IF(AND(COUNTIF(Control!$E$20:$E$100,$B15)=0,COUNTIF(Control!$E$20:$E$100,M$2)=0),VISUM_Arterial_OD!M15*Control!$B$3,0)</f>
        <v>0</v>
      </c>
      <c r="N15">
        <f>IF(AND(COUNTIF(Control!$E$20:$E$100,$B15)=0,COUNTIF(Control!$E$20:$E$100,N$2)=0),VISUM_Arterial_OD!N15*Control!$B$3,0)</f>
        <v>0</v>
      </c>
      <c r="O15">
        <f>IF(AND(COUNTIF(Control!$E$20:$E$100,$B15)=0,COUNTIF(Control!$E$20:$E$100,O$2)=0),VISUM_Arterial_OD!O15*Control!$B$3,0)</f>
        <v>0</v>
      </c>
      <c r="P15">
        <f>IF(AND(COUNTIF(Control!$E$20:$E$100,$B15)=0,COUNTIF(Control!$E$20:$E$100,P$2)=0),VISUM_Arterial_OD!P15*Control!$B$3,0)</f>
        <v>0.7219310699999999</v>
      </c>
      <c r="Q15">
        <f>IF(AND(COUNTIF(Control!$E$20:$E$100,$B15)=0,COUNTIF(Control!$E$20:$E$100,Q$2)=0),VISUM_Arterial_OD!Q15*Control!$B$3,0)</f>
        <v>0</v>
      </c>
      <c r="R15">
        <f>IF(AND(COUNTIF(Control!$E$20:$E$100,$B15)=0,COUNTIF(Control!$E$20:$E$100,R$2)=0),VISUM_Arterial_OD!R15*Control!$B$3,0)</f>
        <v>0</v>
      </c>
      <c r="S15">
        <f>IF(AND(COUNTIF(Control!$E$20:$E$100,$B15)=0,COUNTIF(Control!$E$20:$E$100,S$2)=0),VISUM_Arterial_OD!S15*Control!$B$3,0)</f>
        <v>1.8265334699999998</v>
      </c>
      <c r="T15">
        <f>IF(AND(COUNTIF(Control!$E$20:$E$100,$B15)=0,COUNTIF(Control!$E$20:$E$100,T$2)=0),VISUM_Arterial_OD!T15*Control!$B$3,0)</f>
        <v>0</v>
      </c>
      <c r="U15">
        <f>IF(AND(COUNTIF(Control!$E$20:$E$100,$B15)=0,COUNTIF(Control!$E$20:$E$100,U$2)=0),VISUM_Arterial_OD!U15*Control!$B$3,0)</f>
        <v>0</v>
      </c>
      <c r="V15">
        <f>IF(AND(COUNTIF(Control!$E$20:$E$100,$B15)=0,COUNTIF(Control!$E$20:$E$100,V$2)=0),VISUM_Arterial_OD!V15*Control!$B$3,0)</f>
        <v>0</v>
      </c>
      <c r="W15">
        <f>IF(AND(COUNTIF(Control!$E$20:$E$100,$B15)=0,COUNTIF(Control!$E$20:$E$100,W$2)=0),VISUM_Arterial_OD!W15*Control!$B$3,0)</f>
        <v>0</v>
      </c>
      <c r="X15">
        <f>IF(AND(COUNTIF(Control!$E$20:$E$100,$B15)=0,COUNTIF(Control!$E$20:$E$100,X$2)=0),VISUM_Arterial_OD!X15*Control!$B$3,0)</f>
        <v>0</v>
      </c>
      <c r="Y15">
        <f>IF(AND(COUNTIF(Control!$E$20:$E$100,$B15)=0,COUNTIF(Control!$E$20:$E$100,Y$2)=0),VISUM_Arterial_OD!Y15*Control!$B$3,0)</f>
        <v>0</v>
      </c>
      <c r="Z15">
        <f>IF(AND(COUNTIF(Control!$E$20:$E$100,$B15)=0,COUNTIF(Control!$E$20:$E$100,Z$2)=0),VISUM_Arterial_OD!Z15*Control!$B$3,0)</f>
        <v>5.2827768599999994</v>
      </c>
      <c r="AA15">
        <f>IF(AND(COUNTIF(Control!$E$20:$E$100,$B15)=0,COUNTIF(Control!$E$20:$E$100,AA$2)=0),VISUM_Arterial_OD!AA15*Control!$B$3,0)</f>
        <v>0</v>
      </c>
      <c r="AB15">
        <f>IF(AND(COUNTIF(Control!$E$20:$E$100,$B15)=0,COUNTIF(Control!$E$20:$E$100,AB$2)=0),VISUM_Arterial_OD!AB15*Control!$B$3,0)</f>
        <v>6.1707908999999992</v>
      </c>
      <c r="AC15">
        <f>IF(AND(COUNTIF(Control!$E$20:$E$100,$B15)=0,COUNTIF(Control!$E$20:$E$100,AC$2)=0),VISUM_Arterial_OD!AC15*Control!$B$3,0)</f>
        <v>0.51611156999999996</v>
      </c>
      <c r="AD15">
        <f>IF(AND(COUNTIF(Control!$E$20:$E$100,$B15)=0,COUNTIF(Control!$E$20:$E$100,AD$2)=0),VISUM_Arterial_OD!AD15*Control!$B$3,0)</f>
        <v>0</v>
      </c>
      <c r="AE15">
        <f>IF(AND(COUNTIF(Control!$E$20:$E$100,$B15)=0,COUNTIF(Control!$E$20:$E$100,AE$2)=0),VISUM_Arterial_OD!AE15*Control!$B$3,0)</f>
        <v>0</v>
      </c>
      <c r="AF15">
        <f>IF(AND(COUNTIF(Control!$E$20:$E$100,$B15)=0,COUNTIF(Control!$E$20:$E$100,AF$2)=0),VISUM_Arterial_OD!AF15*Control!$B$3,0)</f>
        <v>10.71851646</v>
      </c>
      <c r="AG15">
        <f>IF(AND(COUNTIF(Control!$E$20:$E$100,$B15)=0,COUNTIF(Control!$E$20:$E$100,AG$2)=0),VISUM_Arterial_OD!AG15*Control!$B$3,0)</f>
        <v>0</v>
      </c>
      <c r="AH15">
        <f>IF(AND(COUNTIF(Control!$E$20:$E$100,$B15)=0,COUNTIF(Control!$E$20:$E$100,AH$2)=0),VISUM_Arterial_OD!AH15*Control!$B$3,0)</f>
        <v>0</v>
      </c>
      <c r="AI15">
        <f>IF(AND(COUNTIF(Control!$E$20:$E$100,$B15)=0,COUNTIF(Control!$E$20:$E$100,AI$2)=0),VISUM_Arterial_OD!AI15*Control!$B$3,0)</f>
        <v>0</v>
      </c>
      <c r="AJ15">
        <f>IF(AND(COUNTIF(Control!$E$20:$E$100,$B15)=0,COUNTIF(Control!$E$20:$E$100,AJ$2)=0),VISUM_Arterial_OD!AJ15*Control!$B$3,0)</f>
        <v>14.89676601</v>
      </c>
      <c r="AK15">
        <f>IF(AND(COUNTIF(Control!$E$20:$E$100,$B15)=0,COUNTIF(Control!$E$20:$E$100,AK$2)=0),VISUM_Arterial_OD!AK15*Control!$B$3,0)</f>
        <v>0</v>
      </c>
      <c r="AL15">
        <f>IF(AND(COUNTIF(Control!$E$20:$E$100,$B15)=0,COUNTIF(Control!$E$20:$E$100,AL$2)=0),VISUM_Arterial_OD!AL15*Control!$B$3,0)</f>
        <v>0</v>
      </c>
      <c r="AM15">
        <f>IF(AND(COUNTIF(Control!$E$20:$E$100,$B15)=0,COUNTIF(Control!$E$20:$E$100,AM$2)=0),VISUM_Arterial_OD!AM15*Control!$B$3,0)</f>
        <v>0</v>
      </c>
      <c r="AN15">
        <f>IF(AND(COUNTIF(Control!$E$20:$E$100,$B15)=0,COUNTIF(Control!$E$20:$E$100,AN$2)=0),VISUM_Arterial_OD!AN15*Control!$B$3,0)</f>
        <v>0</v>
      </c>
      <c r="AO15">
        <f>IF(AND(COUNTIF(Control!$E$20:$E$100,$B15)=0,COUNTIF(Control!$E$20:$E$100,AO$2)=0),VISUM_Arterial_OD!AO15*Control!$B$3,0)</f>
        <v>0</v>
      </c>
      <c r="AP15">
        <f>IF(AND(COUNTIF(Control!$E$20:$E$100,$B15)=0,COUNTIF(Control!$E$20:$E$100,AP$2)=0),VISUM_Arterial_OD!AP15*Control!$B$3,0)</f>
        <v>0</v>
      </c>
      <c r="AQ15">
        <f>IF(AND(COUNTIF(Control!$E$20:$E$100,$B15)=0,COUNTIF(Control!$E$20:$E$100,AQ$2)=0),VISUM_Arterial_OD!AQ15*Control!$B$3,0)</f>
        <v>0</v>
      </c>
      <c r="AR15">
        <f>IF(AND(COUNTIF(Control!$E$20:$E$100,$B15)=0,COUNTIF(Control!$E$20:$E$100,AR$2)=0),VISUM_Arterial_OD!AR15*Control!$B$3,0)</f>
        <v>0</v>
      </c>
      <c r="AS15">
        <f>IF(AND(COUNTIF(Control!$E$20:$E$100,$B15)=0,COUNTIF(Control!$E$20:$E$100,AS$2)=0),VISUM_Arterial_OD!AS15*Control!$B$3,0)</f>
        <v>0</v>
      </c>
      <c r="AT15">
        <f>IF(AND(COUNTIF(Control!$E$20:$E$100,$B15)=0,COUNTIF(Control!$E$20:$E$100,AT$2)=0),VISUM_Arterial_OD!AT15*Control!$B$3,0)</f>
        <v>0</v>
      </c>
      <c r="AU15">
        <f>IF(AND(COUNTIF(Control!$E$20:$E$100,$B15)=0,COUNTIF(Control!$E$20:$E$100,AU$2)=0),VISUM_Arterial_OD!AU15*Control!$B$3,0)</f>
        <v>0</v>
      </c>
      <c r="AV15">
        <f>IF(AND(COUNTIF(Control!$E$20:$E$100,$B15)=0,COUNTIF(Control!$E$20:$E$100,AV$2)=0),VISUM_Arterial_OD!AV15*Control!$B$3,0)</f>
        <v>0</v>
      </c>
      <c r="AW15">
        <f>IF(AND(COUNTIF(Control!$E$20:$E$100,$B15)=0,COUNTIF(Control!$E$20:$E$100,AW$2)=0),VISUM_Arterial_OD!AW15*Control!$B$3,0)</f>
        <v>0</v>
      </c>
      <c r="AX15">
        <f>IF(AND(COUNTIF(Control!$E$20:$E$100,$B15)=0,COUNTIF(Control!$E$20:$E$100,AX$2)=0),VISUM_Arterial_OD!AX15*Control!$B$3,0)</f>
        <v>3.3612105299999997</v>
      </c>
      <c r="AY15">
        <f>IF(AND(COUNTIF(Control!$E$20:$E$100,$B15)=0,COUNTIF(Control!$E$20:$E$100,AY$2)=0),VISUM_Arterial_OD!AY15*Control!$B$3,0)</f>
        <v>0</v>
      </c>
      <c r="AZ15">
        <f>IF(AND(COUNTIF(Control!$E$20:$E$100,$B15)=0,COUNTIF(Control!$E$20:$E$100,AZ$2)=0),VISUM_Arterial_OD!AZ15*Control!$B$3,0)</f>
        <v>0</v>
      </c>
      <c r="BA15">
        <f>IF(AND(COUNTIF(Control!$E$20:$E$100,$B15)=0,COUNTIF(Control!$E$20:$E$100,BA$2)=0),VISUM_Arterial_OD!BA15*Control!$B$3,0)</f>
        <v>0</v>
      </c>
      <c r="BB15">
        <f>IF(AND(COUNTIF(Control!$E$20:$E$100,$B15)=0,COUNTIF(Control!$E$20:$E$100,BB$2)=0),VISUM_Arterial_OD!BB15*Control!$B$3,0)</f>
        <v>0</v>
      </c>
      <c r="BC15">
        <f>IF(AND(COUNTIF(Control!$E$20:$E$100,$B15)=0,COUNTIF(Control!$E$20:$E$100,BC$2)=0),VISUM_Arterial_OD!BC15*Control!$B$3,0)</f>
        <v>0</v>
      </c>
      <c r="BD15">
        <f>IF(AND(COUNTIF(Control!$E$20:$E$100,$B15)=0,COUNTIF(Control!$E$20:$E$100,BD$2)=0),VISUM_Arterial_OD!BD15*Control!$B$3,0)</f>
        <v>0</v>
      </c>
      <c r="BE15">
        <f>IF(AND(COUNTIF(Control!$E$20:$E$100,$B15)=0,COUNTIF(Control!$E$20:$E$100,BE$2)=0),VISUM_Arterial_OD!BE15*Control!$B$3,0)</f>
        <v>0</v>
      </c>
      <c r="BF15">
        <f>IF(AND(COUNTIF(Control!$E$20:$E$100,$B15)=0,COUNTIF(Control!$E$20:$E$100,BF$2)=0),VISUM_Arterial_OD!BF15*Control!$B$3,0)</f>
        <v>0</v>
      </c>
      <c r="BG15">
        <f>IF(AND(COUNTIF(Control!$E$20:$E$100,$B15)=0,COUNTIF(Control!$E$20:$E$100,BG$2)=0),VISUM_Arterial_OD!BG15*Control!$B$3,0)</f>
        <v>0</v>
      </c>
      <c r="BH15">
        <f>IF(AND(COUNTIF(Control!$E$20:$E$100,$B15)=0,COUNTIF(Control!$E$20:$E$100,BH$2)=0),VISUM_Arterial_OD!BH15*Control!$B$3,0)</f>
        <v>0</v>
      </c>
      <c r="BI15">
        <f>IF(AND(COUNTIF(Control!$E$20:$E$100,$B15)=0,COUNTIF(Control!$E$20:$E$100,BI$2)=0),VISUM_Arterial_OD!BI15*Control!$B$3,0)</f>
        <v>0</v>
      </c>
      <c r="BJ15">
        <f>IF(AND(COUNTIF(Control!$E$20:$E$100,$B15)=0,COUNTIF(Control!$E$20:$E$100,BJ$2)=0),VISUM_Arterial_OD!BJ15*Control!$B$3,0)</f>
        <v>0</v>
      </c>
      <c r="BK15">
        <f>IF(AND(COUNTIF(Control!$E$20:$E$100,$B15)=0,COUNTIF(Control!$E$20:$E$100,BK$2)=0),VISUM_Arterial_OD!BK15*Control!$B$3,0)</f>
        <v>0</v>
      </c>
      <c r="BL15">
        <f>IF(AND(COUNTIF(Control!$E$20:$E$100,$B15)=0,COUNTIF(Control!$E$20:$E$100,BL$2)=0),VISUM_Arterial_OD!BL15*Control!$B$3,0)</f>
        <v>0</v>
      </c>
      <c r="BM15">
        <f>IF(AND(COUNTIF(Control!$E$20:$E$100,$B15)=0,COUNTIF(Control!$E$20:$E$100,BM$2)=0),VISUM_Arterial_OD!BM15*Control!$B$3,0)</f>
        <v>0</v>
      </c>
      <c r="BN15">
        <f>IF(AND(COUNTIF(Control!$E$20:$E$100,$B15)=0,COUNTIF(Control!$E$20:$E$100,BN$2)=0),VISUM_Arterial_OD!BN15*Control!$B$3,0)</f>
        <v>0</v>
      </c>
      <c r="BO15">
        <f>IF(AND(COUNTIF(Control!$E$20:$E$100,$B15)=0,COUNTIF(Control!$E$20:$E$100,BO$2)=0),VISUM_Arterial_OD!BO15*Control!$B$3,0)</f>
        <v>2.4177224399999999</v>
      </c>
      <c r="BP15">
        <f>IF(AND(COUNTIF(Control!$E$20:$E$100,$B15)=0,COUNTIF(Control!$E$20:$E$100,BP$2)=0),VISUM_Arterial_OD!BP15*Control!$B$3,0)</f>
        <v>1.9173499199999999</v>
      </c>
      <c r="BQ15">
        <f>IF(AND(COUNTIF(Control!$E$20:$E$100,$B15)=0,COUNTIF(Control!$E$20:$E$100,BQ$2)=0),VISUM_Arterial_OD!BQ15*Control!$B$3,0)</f>
        <v>0</v>
      </c>
    </row>
    <row r="16" spans="1:69" x14ac:dyDescent="0.25">
      <c r="A16" s="5">
        <f>IF(VLOOKUP(B16,Arterial_Zone_Link_Mapping!$A:$C,2,FALSE)&lt;&gt;"",VLOOKUP(B16,Arterial_Zone_Link_Mapping!$A:$C,2,FALSE),"")</f>
        <v>91</v>
      </c>
      <c r="B16" s="5">
        <v>27</v>
      </c>
      <c r="C16">
        <f>IF(AND(COUNTIF(Control!$E$20:$E$100,$B16)=0,COUNTIF(Control!$E$20:$E$100,C$2)=0),VISUM_Arterial_OD!C16*Control!$B$3,0)</f>
        <v>0.29887358999999997</v>
      </c>
      <c r="D16">
        <f>IF(AND(COUNTIF(Control!$E$20:$E$100,$B16)=0,COUNTIF(Control!$E$20:$E$100,D$2)=0),VISUM_Arterial_OD!D16*Control!$B$3,0)</f>
        <v>1.8364559999999999E-2</v>
      </c>
      <c r="E16">
        <f>IF(AND(COUNTIF(Control!$E$20:$E$100,$B16)=0,COUNTIF(Control!$E$20:$E$100,E$2)=0),VISUM_Arterial_OD!E16*Control!$B$3,0)</f>
        <v>0</v>
      </c>
      <c r="F16">
        <f>IF(AND(COUNTIF(Control!$E$20:$E$100,$B16)=0,COUNTIF(Control!$E$20:$E$100,F$2)=0),VISUM_Arterial_OD!F16*Control!$B$3,0)</f>
        <v>0</v>
      </c>
      <c r="G16">
        <f>IF(AND(COUNTIF(Control!$E$20:$E$100,$B16)=0,COUNTIF(Control!$E$20:$E$100,G$2)=0),VISUM_Arterial_OD!G16*Control!$B$3,0)</f>
        <v>0</v>
      </c>
      <c r="H16">
        <f>IF(AND(COUNTIF(Control!$E$20:$E$100,$B16)=0,COUNTIF(Control!$E$20:$E$100,H$2)=0),VISUM_Arterial_OD!H16*Control!$B$3,0)</f>
        <v>0</v>
      </c>
      <c r="I16">
        <f>IF(AND(COUNTIF(Control!$E$20:$E$100,$B16)=0,COUNTIF(Control!$E$20:$E$100,I$2)=0),VISUM_Arterial_OD!I16*Control!$B$3,0)</f>
        <v>0</v>
      </c>
      <c r="J16">
        <f>IF(AND(COUNTIF(Control!$E$20:$E$100,$B16)=0,COUNTIF(Control!$E$20:$E$100,J$2)=0),VISUM_Arterial_OD!J16*Control!$B$3,0)</f>
        <v>0.11732724</v>
      </c>
      <c r="K16">
        <f>IF(AND(COUNTIF(Control!$E$20:$E$100,$B16)=0,COUNTIF(Control!$E$20:$E$100,K$2)=0),VISUM_Arterial_OD!K16*Control!$B$3,0)</f>
        <v>6.9046807799999996</v>
      </c>
      <c r="L16">
        <f>IF(AND(COUNTIF(Control!$E$20:$E$100,$B16)=0,COUNTIF(Control!$E$20:$E$100,L$2)=0),VISUM_Arterial_OD!L16*Control!$B$3,0)</f>
        <v>8.6619938699999999</v>
      </c>
      <c r="M16">
        <f>IF(AND(COUNTIF(Control!$E$20:$E$100,$B16)=0,COUNTIF(Control!$E$20:$E$100,M$2)=0),VISUM_Arterial_OD!M16*Control!$B$3,0)</f>
        <v>0</v>
      </c>
      <c r="N16">
        <f>IF(AND(COUNTIF(Control!$E$20:$E$100,$B16)=0,COUNTIF(Control!$E$20:$E$100,N$2)=0),VISUM_Arterial_OD!N16*Control!$B$3,0)</f>
        <v>0</v>
      </c>
      <c r="O16">
        <f>IF(AND(COUNTIF(Control!$E$20:$E$100,$B16)=0,COUNTIF(Control!$E$20:$E$100,O$2)=0),VISUM_Arterial_OD!O16*Control!$B$3,0)</f>
        <v>0.12322944</v>
      </c>
      <c r="P16">
        <f>IF(AND(COUNTIF(Control!$E$20:$E$100,$B16)=0,COUNTIF(Control!$E$20:$E$100,P$2)=0),VISUM_Arterial_OD!P16*Control!$B$3,0)</f>
        <v>0</v>
      </c>
      <c r="Q16">
        <f>IF(AND(COUNTIF(Control!$E$20:$E$100,$B16)=0,COUNTIF(Control!$E$20:$E$100,Q$2)=0),VISUM_Arterial_OD!Q16*Control!$B$3,0)</f>
        <v>0</v>
      </c>
      <c r="R16">
        <f>IF(AND(COUNTIF(Control!$E$20:$E$100,$B16)=0,COUNTIF(Control!$E$20:$E$100,R$2)=0),VISUM_Arterial_OD!R16*Control!$B$3,0)</f>
        <v>0</v>
      </c>
      <c r="S16">
        <f>IF(AND(COUNTIF(Control!$E$20:$E$100,$B16)=0,COUNTIF(Control!$E$20:$E$100,S$2)=0),VISUM_Arterial_OD!S16*Control!$B$3,0)</f>
        <v>0.35313933000000003</v>
      </c>
      <c r="T16">
        <f>IF(AND(COUNTIF(Control!$E$20:$E$100,$B16)=0,COUNTIF(Control!$E$20:$E$100,T$2)=0),VISUM_Arterial_OD!T16*Control!$B$3,0)</f>
        <v>0</v>
      </c>
      <c r="U16">
        <f>IF(AND(COUNTIF(Control!$E$20:$E$100,$B16)=0,COUNTIF(Control!$E$20:$E$100,U$2)=0),VISUM_Arterial_OD!U16*Control!$B$3,0)</f>
        <v>0</v>
      </c>
      <c r="V16">
        <f>IF(AND(COUNTIF(Control!$E$20:$E$100,$B16)=0,COUNTIF(Control!$E$20:$E$100,V$2)=0),VISUM_Arterial_OD!V16*Control!$B$3,0)</f>
        <v>0</v>
      </c>
      <c r="W16">
        <f>IF(AND(COUNTIF(Control!$E$20:$E$100,$B16)=0,COUNTIF(Control!$E$20:$E$100,W$2)=0),VISUM_Arterial_OD!W16*Control!$B$3,0)</f>
        <v>0</v>
      </c>
      <c r="X16">
        <f>IF(AND(COUNTIF(Control!$E$20:$E$100,$B16)=0,COUNTIF(Control!$E$20:$E$100,X$2)=0),VISUM_Arterial_OD!X16*Control!$B$3,0)</f>
        <v>0</v>
      </c>
      <c r="Y16">
        <f>IF(AND(COUNTIF(Control!$E$20:$E$100,$B16)=0,COUNTIF(Control!$E$20:$E$100,Y$2)=0),VISUM_Arterial_OD!Y16*Control!$B$3,0)</f>
        <v>0</v>
      </c>
      <c r="Z16">
        <f>IF(AND(COUNTIF(Control!$E$20:$E$100,$B16)=0,COUNTIF(Control!$E$20:$E$100,Z$2)=0),VISUM_Arterial_OD!Z16*Control!$B$3,0)</f>
        <v>0.16003710000000002</v>
      </c>
      <c r="AA16">
        <f>IF(AND(COUNTIF(Control!$E$20:$E$100,$B16)=0,COUNTIF(Control!$E$20:$E$100,AA$2)=0),VISUM_Arterial_OD!AA16*Control!$B$3,0)</f>
        <v>0</v>
      </c>
      <c r="AB16">
        <f>IF(AND(COUNTIF(Control!$E$20:$E$100,$B16)=0,COUNTIF(Control!$E$20:$E$100,AB$2)=0),VISUM_Arterial_OD!AB16*Control!$B$3,0)</f>
        <v>6.3010110000000008E-2</v>
      </c>
      <c r="AC16">
        <f>IF(AND(COUNTIF(Control!$E$20:$E$100,$B16)=0,COUNTIF(Control!$E$20:$E$100,AC$2)=0),VISUM_Arterial_OD!AC16*Control!$B$3,0)</f>
        <v>1.49998692</v>
      </c>
      <c r="AD16">
        <f>IF(AND(COUNTIF(Control!$E$20:$E$100,$B16)=0,COUNTIF(Control!$E$20:$E$100,AD$2)=0),VISUM_Arterial_OD!AD16*Control!$B$3,0)</f>
        <v>0</v>
      </c>
      <c r="AE16">
        <f>IF(AND(COUNTIF(Control!$E$20:$E$100,$B16)=0,COUNTIF(Control!$E$20:$E$100,AE$2)=0),VISUM_Arterial_OD!AE16*Control!$B$3,0)</f>
        <v>0</v>
      </c>
      <c r="AF16">
        <f>IF(AND(COUNTIF(Control!$E$20:$E$100,$B16)=0,COUNTIF(Control!$E$20:$E$100,AF$2)=0),VISUM_Arterial_OD!AF16*Control!$B$3,0)</f>
        <v>0</v>
      </c>
      <c r="AG16">
        <f>IF(AND(COUNTIF(Control!$E$20:$E$100,$B16)=0,COUNTIF(Control!$E$20:$E$100,AG$2)=0),VISUM_Arterial_OD!AG16*Control!$B$3,0)</f>
        <v>0</v>
      </c>
      <c r="AH16">
        <f>IF(AND(COUNTIF(Control!$E$20:$E$100,$B16)=0,COUNTIF(Control!$E$20:$E$100,AH$2)=0),VISUM_Arterial_OD!AH16*Control!$B$3,0)</f>
        <v>0</v>
      </c>
      <c r="AI16">
        <f>IF(AND(COUNTIF(Control!$E$20:$E$100,$B16)=0,COUNTIF(Control!$E$20:$E$100,AI$2)=0),VISUM_Arterial_OD!AI16*Control!$B$3,0)</f>
        <v>0</v>
      </c>
      <c r="AJ16">
        <f>IF(AND(COUNTIF(Control!$E$20:$E$100,$B16)=0,COUNTIF(Control!$E$20:$E$100,AJ$2)=0),VISUM_Arterial_OD!AJ16*Control!$B$3,0)</f>
        <v>0</v>
      </c>
      <c r="AK16">
        <f>IF(AND(COUNTIF(Control!$E$20:$E$100,$B16)=0,COUNTIF(Control!$E$20:$E$100,AK$2)=0),VISUM_Arterial_OD!AK16*Control!$B$3,0)</f>
        <v>0</v>
      </c>
      <c r="AL16">
        <f>IF(AND(COUNTIF(Control!$E$20:$E$100,$B16)=0,COUNTIF(Control!$E$20:$E$100,AL$2)=0),VISUM_Arterial_OD!AL16*Control!$B$3,0)</f>
        <v>0.28012893</v>
      </c>
      <c r="AM16">
        <f>IF(AND(COUNTIF(Control!$E$20:$E$100,$B16)=0,COUNTIF(Control!$E$20:$E$100,AM$2)=0),VISUM_Arterial_OD!AM16*Control!$B$3,0)</f>
        <v>0</v>
      </c>
      <c r="AN16">
        <f>IF(AND(COUNTIF(Control!$E$20:$E$100,$B16)=0,COUNTIF(Control!$E$20:$E$100,AN$2)=0),VISUM_Arterial_OD!AN16*Control!$B$3,0)</f>
        <v>0</v>
      </c>
      <c r="AO16">
        <f>IF(AND(COUNTIF(Control!$E$20:$E$100,$B16)=0,COUNTIF(Control!$E$20:$E$100,AO$2)=0),VISUM_Arterial_OD!AO16*Control!$B$3,0)</f>
        <v>0</v>
      </c>
      <c r="AP16">
        <f>IF(AND(COUNTIF(Control!$E$20:$E$100,$B16)=0,COUNTIF(Control!$E$20:$E$100,AP$2)=0),VISUM_Arterial_OD!AP16*Control!$B$3,0)</f>
        <v>0</v>
      </c>
      <c r="AQ16">
        <f>IF(AND(COUNTIF(Control!$E$20:$E$100,$B16)=0,COUNTIF(Control!$E$20:$E$100,AQ$2)=0),VISUM_Arterial_OD!AQ16*Control!$B$3,0)</f>
        <v>0</v>
      </c>
      <c r="AR16">
        <f>IF(AND(COUNTIF(Control!$E$20:$E$100,$B16)=0,COUNTIF(Control!$E$20:$E$100,AR$2)=0),VISUM_Arterial_OD!AR16*Control!$B$3,0)</f>
        <v>0</v>
      </c>
      <c r="AS16">
        <f>IF(AND(COUNTIF(Control!$E$20:$E$100,$B16)=0,COUNTIF(Control!$E$20:$E$100,AS$2)=0),VISUM_Arterial_OD!AS16*Control!$B$3,0)</f>
        <v>0.63965103000000001</v>
      </c>
      <c r="AT16">
        <f>IF(AND(COUNTIF(Control!$E$20:$E$100,$B16)=0,COUNTIF(Control!$E$20:$E$100,AT$2)=0),VISUM_Arterial_OD!AT16*Control!$B$3,0)</f>
        <v>0</v>
      </c>
      <c r="AU16">
        <f>IF(AND(COUNTIF(Control!$E$20:$E$100,$B16)=0,COUNTIF(Control!$E$20:$E$100,AU$2)=0),VISUM_Arterial_OD!AU16*Control!$B$3,0)</f>
        <v>0.35436968999999996</v>
      </c>
      <c r="AV16">
        <f>IF(AND(COUNTIF(Control!$E$20:$E$100,$B16)=0,COUNTIF(Control!$E$20:$E$100,AV$2)=0),VISUM_Arterial_OD!AV16*Control!$B$3,0)</f>
        <v>0</v>
      </c>
      <c r="AW16">
        <f>IF(AND(COUNTIF(Control!$E$20:$E$100,$B16)=0,COUNTIF(Control!$E$20:$E$100,AW$2)=0),VISUM_Arterial_OD!AW16*Control!$B$3,0)</f>
        <v>0</v>
      </c>
      <c r="AX16">
        <f>IF(AND(COUNTIF(Control!$E$20:$E$100,$B16)=0,COUNTIF(Control!$E$20:$E$100,AX$2)=0),VISUM_Arterial_OD!AX16*Control!$B$3,0)</f>
        <v>0</v>
      </c>
      <c r="AY16">
        <f>IF(AND(COUNTIF(Control!$E$20:$E$100,$B16)=0,COUNTIF(Control!$E$20:$E$100,AY$2)=0),VISUM_Arterial_OD!AY16*Control!$B$3,0)</f>
        <v>0</v>
      </c>
      <c r="AZ16">
        <f>IF(AND(COUNTIF(Control!$E$20:$E$100,$B16)=0,COUNTIF(Control!$E$20:$E$100,AZ$2)=0),VISUM_Arterial_OD!AZ16*Control!$B$3,0)</f>
        <v>0</v>
      </c>
      <c r="BA16">
        <f>IF(AND(COUNTIF(Control!$E$20:$E$100,$B16)=0,COUNTIF(Control!$E$20:$E$100,BA$2)=0),VISUM_Arterial_OD!BA16*Control!$B$3,0)</f>
        <v>0</v>
      </c>
      <c r="BB16">
        <f>IF(AND(COUNTIF(Control!$E$20:$E$100,$B16)=0,COUNTIF(Control!$E$20:$E$100,BB$2)=0),VISUM_Arterial_OD!BB16*Control!$B$3,0)</f>
        <v>0</v>
      </c>
      <c r="BC16">
        <f>IF(AND(COUNTIF(Control!$E$20:$E$100,$B16)=0,COUNTIF(Control!$E$20:$E$100,BC$2)=0),VISUM_Arterial_OD!BC16*Control!$B$3,0)</f>
        <v>0</v>
      </c>
      <c r="BD16">
        <f>IF(AND(COUNTIF(Control!$E$20:$E$100,$B16)=0,COUNTIF(Control!$E$20:$E$100,BD$2)=0),VISUM_Arterial_OD!BD16*Control!$B$3,0)</f>
        <v>0</v>
      </c>
      <c r="BE16">
        <f>IF(AND(COUNTIF(Control!$E$20:$E$100,$B16)=0,COUNTIF(Control!$E$20:$E$100,BE$2)=0),VISUM_Arterial_OD!BE16*Control!$B$3,0)</f>
        <v>0</v>
      </c>
      <c r="BF16">
        <f>IF(AND(COUNTIF(Control!$E$20:$E$100,$B16)=0,COUNTIF(Control!$E$20:$E$100,BF$2)=0),VISUM_Arterial_OD!BF16*Control!$B$3,0)</f>
        <v>0</v>
      </c>
      <c r="BG16">
        <f>IF(AND(COUNTIF(Control!$E$20:$E$100,$B16)=0,COUNTIF(Control!$E$20:$E$100,BG$2)=0),VISUM_Arterial_OD!BG16*Control!$B$3,0)</f>
        <v>0</v>
      </c>
      <c r="BH16">
        <f>IF(AND(COUNTIF(Control!$E$20:$E$100,$B16)=0,COUNTIF(Control!$E$20:$E$100,BH$2)=0),VISUM_Arterial_OD!BH16*Control!$B$3,0)</f>
        <v>0</v>
      </c>
      <c r="BI16">
        <f>IF(AND(COUNTIF(Control!$E$20:$E$100,$B16)=0,COUNTIF(Control!$E$20:$E$100,BI$2)=0),VISUM_Arterial_OD!BI16*Control!$B$3,0)</f>
        <v>0</v>
      </c>
      <c r="BJ16">
        <f>IF(AND(COUNTIF(Control!$E$20:$E$100,$B16)=0,COUNTIF(Control!$E$20:$E$100,BJ$2)=0),VISUM_Arterial_OD!BJ16*Control!$B$3,0)</f>
        <v>0</v>
      </c>
      <c r="BK16">
        <f>IF(AND(COUNTIF(Control!$E$20:$E$100,$B16)=0,COUNTIF(Control!$E$20:$E$100,BK$2)=0),VISUM_Arterial_OD!BK16*Control!$B$3,0)</f>
        <v>0</v>
      </c>
      <c r="BL16">
        <f>IF(AND(COUNTIF(Control!$E$20:$E$100,$B16)=0,COUNTIF(Control!$E$20:$E$100,BL$2)=0),VISUM_Arterial_OD!BL16*Control!$B$3,0)</f>
        <v>0</v>
      </c>
      <c r="BM16">
        <f>IF(AND(COUNTIF(Control!$E$20:$E$100,$B16)=0,COUNTIF(Control!$E$20:$E$100,BM$2)=0),VISUM_Arterial_OD!BM16*Control!$B$3,0)</f>
        <v>0</v>
      </c>
      <c r="BN16">
        <f>IF(AND(COUNTIF(Control!$E$20:$E$100,$B16)=0,COUNTIF(Control!$E$20:$E$100,BN$2)=0),VISUM_Arterial_OD!BN16*Control!$B$3,0)</f>
        <v>0</v>
      </c>
      <c r="BO16">
        <f>IF(AND(COUNTIF(Control!$E$20:$E$100,$B16)=0,COUNTIF(Control!$E$20:$E$100,BO$2)=0),VISUM_Arterial_OD!BO16*Control!$B$3,0)</f>
        <v>0.62646095999999996</v>
      </c>
      <c r="BP16">
        <f>IF(AND(COUNTIF(Control!$E$20:$E$100,$B16)=0,COUNTIF(Control!$E$20:$E$100,BP$2)=0),VISUM_Arterial_OD!BP16*Control!$B$3,0)</f>
        <v>0</v>
      </c>
      <c r="BQ16">
        <f>IF(AND(COUNTIF(Control!$E$20:$E$100,$B16)=0,COUNTIF(Control!$E$20:$E$100,BQ$2)=0),VISUM_Arterial_OD!BQ16*Control!$B$3,0)</f>
        <v>0.29868203999999998</v>
      </c>
    </row>
    <row r="17" spans="1:69" x14ac:dyDescent="0.25">
      <c r="A17" s="5" t="str">
        <f>IF(VLOOKUP(B17,Arterial_Zone_Link_Mapping!$A:$C,2,FALSE)&lt;&gt;"",VLOOKUP(B17,Arterial_Zone_Link_Mapping!$A:$C,2,FALSE),"")</f>
        <v/>
      </c>
      <c r="B17" s="5">
        <v>34</v>
      </c>
      <c r="C17">
        <f>IF(AND(COUNTIF(Control!$E$20:$E$100,$B17)=0,COUNTIF(Control!$E$20:$E$100,C$2)=0),VISUM_Arterial_OD!C17*Control!$B$3,0)</f>
        <v>0</v>
      </c>
      <c r="D17">
        <f>IF(AND(COUNTIF(Control!$E$20:$E$100,$B17)=0,COUNTIF(Control!$E$20:$E$100,D$2)=0),VISUM_Arterial_OD!D17*Control!$B$3,0)</f>
        <v>0</v>
      </c>
      <c r="E17">
        <f>IF(AND(COUNTIF(Control!$E$20:$E$100,$B17)=0,COUNTIF(Control!$E$20:$E$100,E$2)=0),VISUM_Arterial_OD!E17*Control!$B$3,0)</f>
        <v>0</v>
      </c>
      <c r="F17">
        <f>IF(AND(COUNTIF(Control!$E$20:$E$100,$B17)=0,COUNTIF(Control!$E$20:$E$100,F$2)=0),VISUM_Arterial_OD!F17*Control!$B$3,0)</f>
        <v>0</v>
      </c>
      <c r="G17">
        <f>IF(AND(COUNTIF(Control!$E$20:$E$100,$B17)=0,COUNTIF(Control!$E$20:$E$100,G$2)=0),VISUM_Arterial_OD!G17*Control!$B$3,0)</f>
        <v>0</v>
      </c>
      <c r="H17">
        <f>IF(AND(COUNTIF(Control!$E$20:$E$100,$B17)=0,COUNTIF(Control!$E$20:$E$100,H$2)=0),VISUM_Arterial_OD!H17*Control!$B$3,0)</f>
        <v>0</v>
      </c>
      <c r="I17">
        <f>IF(AND(COUNTIF(Control!$E$20:$E$100,$B17)=0,COUNTIF(Control!$E$20:$E$100,I$2)=0),VISUM_Arterial_OD!I17*Control!$B$3,0)</f>
        <v>0</v>
      </c>
      <c r="J17">
        <f>IF(AND(COUNTIF(Control!$E$20:$E$100,$B17)=0,COUNTIF(Control!$E$20:$E$100,J$2)=0),VISUM_Arterial_OD!J17*Control!$B$3,0)</f>
        <v>0</v>
      </c>
      <c r="K17">
        <f>IF(AND(COUNTIF(Control!$E$20:$E$100,$B17)=0,COUNTIF(Control!$E$20:$E$100,K$2)=0),VISUM_Arterial_OD!K17*Control!$B$3,0)</f>
        <v>0</v>
      </c>
      <c r="L17">
        <f>IF(AND(COUNTIF(Control!$E$20:$E$100,$B17)=0,COUNTIF(Control!$E$20:$E$100,L$2)=0),VISUM_Arterial_OD!L17*Control!$B$3,0)</f>
        <v>0</v>
      </c>
      <c r="M17">
        <f>IF(AND(COUNTIF(Control!$E$20:$E$100,$B17)=0,COUNTIF(Control!$E$20:$E$100,M$2)=0),VISUM_Arterial_OD!M17*Control!$B$3,0)</f>
        <v>0</v>
      </c>
      <c r="N17">
        <f>IF(AND(COUNTIF(Control!$E$20:$E$100,$B17)=0,COUNTIF(Control!$E$20:$E$100,N$2)=0),VISUM_Arterial_OD!N17*Control!$B$3,0)</f>
        <v>0</v>
      </c>
      <c r="O17">
        <f>IF(AND(COUNTIF(Control!$E$20:$E$100,$B17)=0,COUNTIF(Control!$E$20:$E$100,O$2)=0),VISUM_Arterial_OD!O17*Control!$B$3,0)</f>
        <v>0</v>
      </c>
      <c r="P17">
        <f>IF(AND(COUNTIF(Control!$E$20:$E$100,$B17)=0,COUNTIF(Control!$E$20:$E$100,P$2)=0),VISUM_Arterial_OD!P17*Control!$B$3,0)</f>
        <v>0</v>
      </c>
      <c r="Q17">
        <f>IF(AND(COUNTIF(Control!$E$20:$E$100,$B17)=0,COUNTIF(Control!$E$20:$E$100,Q$2)=0),VISUM_Arterial_OD!Q17*Control!$B$3,0)</f>
        <v>0</v>
      </c>
      <c r="R17">
        <f>IF(AND(COUNTIF(Control!$E$20:$E$100,$B17)=0,COUNTIF(Control!$E$20:$E$100,R$2)=0),VISUM_Arterial_OD!R17*Control!$B$3,0)</f>
        <v>0</v>
      </c>
      <c r="S17">
        <f>IF(AND(COUNTIF(Control!$E$20:$E$100,$B17)=0,COUNTIF(Control!$E$20:$E$100,S$2)=0),VISUM_Arterial_OD!S17*Control!$B$3,0)</f>
        <v>0</v>
      </c>
      <c r="T17">
        <f>IF(AND(COUNTIF(Control!$E$20:$E$100,$B17)=0,COUNTIF(Control!$E$20:$E$100,T$2)=0),VISUM_Arterial_OD!T17*Control!$B$3,0)</f>
        <v>0</v>
      </c>
      <c r="U17">
        <f>IF(AND(COUNTIF(Control!$E$20:$E$100,$B17)=0,COUNTIF(Control!$E$20:$E$100,U$2)=0),VISUM_Arterial_OD!U17*Control!$B$3,0)</f>
        <v>0</v>
      </c>
      <c r="V17">
        <f>IF(AND(COUNTIF(Control!$E$20:$E$100,$B17)=0,COUNTIF(Control!$E$20:$E$100,V$2)=0),VISUM_Arterial_OD!V17*Control!$B$3,0)</f>
        <v>0</v>
      </c>
      <c r="W17">
        <f>IF(AND(COUNTIF(Control!$E$20:$E$100,$B17)=0,COUNTIF(Control!$E$20:$E$100,W$2)=0),VISUM_Arterial_OD!W17*Control!$B$3,0)</f>
        <v>0</v>
      </c>
      <c r="X17">
        <f>IF(AND(COUNTIF(Control!$E$20:$E$100,$B17)=0,COUNTIF(Control!$E$20:$E$100,X$2)=0),VISUM_Arterial_OD!X17*Control!$B$3,0)</f>
        <v>0</v>
      </c>
      <c r="Y17">
        <f>IF(AND(COUNTIF(Control!$E$20:$E$100,$B17)=0,COUNTIF(Control!$E$20:$E$100,Y$2)=0),VISUM_Arterial_OD!Y17*Control!$B$3,0)</f>
        <v>0</v>
      </c>
      <c r="Z17">
        <f>IF(AND(COUNTIF(Control!$E$20:$E$100,$B17)=0,COUNTIF(Control!$E$20:$E$100,Z$2)=0),VISUM_Arterial_OD!Z17*Control!$B$3,0)</f>
        <v>0</v>
      </c>
      <c r="AA17">
        <f>IF(AND(COUNTIF(Control!$E$20:$E$100,$B17)=0,COUNTIF(Control!$E$20:$E$100,AA$2)=0),VISUM_Arterial_OD!AA17*Control!$B$3,0)</f>
        <v>0</v>
      </c>
      <c r="AB17">
        <f>IF(AND(COUNTIF(Control!$E$20:$E$100,$B17)=0,COUNTIF(Control!$E$20:$E$100,AB$2)=0),VISUM_Arterial_OD!AB17*Control!$B$3,0)</f>
        <v>0</v>
      </c>
      <c r="AC17">
        <f>IF(AND(COUNTIF(Control!$E$20:$E$100,$B17)=0,COUNTIF(Control!$E$20:$E$100,AC$2)=0),VISUM_Arterial_OD!AC17*Control!$B$3,0)</f>
        <v>0</v>
      </c>
      <c r="AD17">
        <f>IF(AND(COUNTIF(Control!$E$20:$E$100,$B17)=0,COUNTIF(Control!$E$20:$E$100,AD$2)=0),VISUM_Arterial_OD!AD17*Control!$B$3,0)</f>
        <v>0</v>
      </c>
      <c r="AE17">
        <f>IF(AND(COUNTIF(Control!$E$20:$E$100,$B17)=0,COUNTIF(Control!$E$20:$E$100,AE$2)=0),VISUM_Arterial_OD!AE17*Control!$B$3,0)</f>
        <v>0</v>
      </c>
      <c r="AF17">
        <f>IF(AND(COUNTIF(Control!$E$20:$E$100,$B17)=0,COUNTIF(Control!$E$20:$E$100,AF$2)=0),VISUM_Arterial_OD!AF17*Control!$B$3,0)</f>
        <v>0</v>
      </c>
      <c r="AG17">
        <f>IF(AND(COUNTIF(Control!$E$20:$E$100,$B17)=0,COUNTIF(Control!$E$20:$E$100,AG$2)=0),VISUM_Arterial_OD!AG17*Control!$B$3,0)</f>
        <v>0</v>
      </c>
      <c r="AH17">
        <f>IF(AND(COUNTIF(Control!$E$20:$E$100,$B17)=0,COUNTIF(Control!$E$20:$E$100,AH$2)=0),VISUM_Arterial_OD!AH17*Control!$B$3,0)</f>
        <v>0</v>
      </c>
      <c r="AI17">
        <f>IF(AND(COUNTIF(Control!$E$20:$E$100,$B17)=0,COUNTIF(Control!$E$20:$E$100,AI$2)=0),VISUM_Arterial_OD!AI17*Control!$B$3,0)</f>
        <v>0</v>
      </c>
      <c r="AJ17">
        <f>IF(AND(COUNTIF(Control!$E$20:$E$100,$B17)=0,COUNTIF(Control!$E$20:$E$100,AJ$2)=0),VISUM_Arterial_OD!AJ17*Control!$B$3,0)</f>
        <v>0</v>
      </c>
      <c r="AK17">
        <f>IF(AND(COUNTIF(Control!$E$20:$E$100,$B17)=0,COUNTIF(Control!$E$20:$E$100,AK$2)=0),VISUM_Arterial_OD!AK17*Control!$B$3,0)</f>
        <v>0</v>
      </c>
      <c r="AL17">
        <f>IF(AND(COUNTIF(Control!$E$20:$E$100,$B17)=0,COUNTIF(Control!$E$20:$E$100,AL$2)=0),VISUM_Arterial_OD!AL17*Control!$B$3,0)</f>
        <v>0</v>
      </c>
      <c r="AM17">
        <f>IF(AND(COUNTIF(Control!$E$20:$E$100,$B17)=0,COUNTIF(Control!$E$20:$E$100,AM$2)=0),VISUM_Arterial_OD!AM17*Control!$B$3,0)</f>
        <v>0</v>
      </c>
      <c r="AN17">
        <f>IF(AND(COUNTIF(Control!$E$20:$E$100,$B17)=0,COUNTIF(Control!$E$20:$E$100,AN$2)=0),VISUM_Arterial_OD!AN17*Control!$B$3,0)</f>
        <v>0</v>
      </c>
      <c r="AO17">
        <f>IF(AND(COUNTIF(Control!$E$20:$E$100,$B17)=0,COUNTIF(Control!$E$20:$E$100,AO$2)=0),VISUM_Arterial_OD!AO17*Control!$B$3,0)</f>
        <v>0</v>
      </c>
      <c r="AP17">
        <f>IF(AND(COUNTIF(Control!$E$20:$E$100,$B17)=0,COUNTIF(Control!$E$20:$E$100,AP$2)=0),VISUM_Arterial_OD!AP17*Control!$B$3,0)</f>
        <v>0</v>
      </c>
      <c r="AQ17">
        <f>IF(AND(COUNTIF(Control!$E$20:$E$100,$B17)=0,COUNTIF(Control!$E$20:$E$100,AQ$2)=0),VISUM_Arterial_OD!AQ17*Control!$B$3,0)</f>
        <v>0</v>
      </c>
      <c r="AR17">
        <f>IF(AND(COUNTIF(Control!$E$20:$E$100,$B17)=0,COUNTIF(Control!$E$20:$E$100,AR$2)=0),VISUM_Arterial_OD!AR17*Control!$B$3,0)</f>
        <v>0</v>
      </c>
      <c r="AS17">
        <f>IF(AND(COUNTIF(Control!$E$20:$E$100,$B17)=0,COUNTIF(Control!$E$20:$E$100,AS$2)=0),VISUM_Arterial_OD!AS17*Control!$B$3,0)</f>
        <v>0</v>
      </c>
      <c r="AT17">
        <f>IF(AND(COUNTIF(Control!$E$20:$E$100,$B17)=0,COUNTIF(Control!$E$20:$E$100,AT$2)=0),VISUM_Arterial_OD!AT17*Control!$B$3,0)</f>
        <v>0</v>
      </c>
      <c r="AU17">
        <f>IF(AND(COUNTIF(Control!$E$20:$E$100,$B17)=0,COUNTIF(Control!$E$20:$E$100,AU$2)=0),VISUM_Arterial_OD!AU17*Control!$B$3,0)</f>
        <v>0</v>
      </c>
      <c r="AV17">
        <f>IF(AND(COUNTIF(Control!$E$20:$E$100,$B17)=0,COUNTIF(Control!$E$20:$E$100,AV$2)=0),VISUM_Arterial_OD!AV17*Control!$B$3,0)</f>
        <v>0</v>
      </c>
      <c r="AW17">
        <f>IF(AND(COUNTIF(Control!$E$20:$E$100,$B17)=0,COUNTIF(Control!$E$20:$E$100,AW$2)=0),VISUM_Arterial_OD!AW17*Control!$B$3,0)</f>
        <v>0</v>
      </c>
      <c r="AX17">
        <f>IF(AND(COUNTIF(Control!$E$20:$E$100,$B17)=0,COUNTIF(Control!$E$20:$E$100,AX$2)=0),VISUM_Arterial_OD!AX17*Control!$B$3,0)</f>
        <v>0</v>
      </c>
      <c r="AY17">
        <f>IF(AND(COUNTIF(Control!$E$20:$E$100,$B17)=0,COUNTIF(Control!$E$20:$E$100,AY$2)=0),VISUM_Arterial_OD!AY17*Control!$B$3,0)</f>
        <v>0</v>
      </c>
      <c r="AZ17">
        <f>IF(AND(COUNTIF(Control!$E$20:$E$100,$B17)=0,COUNTIF(Control!$E$20:$E$100,AZ$2)=0),VISUM_Arterial_OD!AZ17*Control!$B$3,0)</f>
        <v>0</v>
      </c>
      <c r="BA17">
        <f>IF(AND(COUNTIF(Control!$E$20:$E$100,$B17)=0,COUNTIF(Control!$E$20:$E$100,BA$2)=0),VISUM_Arterial_OD!BA17*Control!$B$3,0)</f>
        <v>0</v>
      </c>
      <c r="BB17">
        <f>IF(AND(COUNTIF(Control!$E$20:$E$100,$B17)=0,COUNTIF(Control!$E$20:$E$100,BB$2)=0),VISUM_Arterial_OD!BB17*Control!$B$3,0)</f>
        <v>0</v>
      </c>
      <c r="BC17">
        <f>IF(AND(COUNTIF(Control!$E$20:$E$100,$B17)=0,COUNTIF(Control!$E$20:$E$100,BC$2)=0),VISUM_Arterial_OD!BC17*Control!$B$3,0)</f>
        <v>0</v>
      </c>
      <c r="BD17">
        <f>IF(AND(COUNTIF(Control!$E$20:$E$100,$B17)=0,COUNTIF(Control!$E$20:$E$100,BD$2)=0),VISUM_Arterial_OD!BD17*Control!$B$3,0)</f>
        <v>0</v>
      </c>
      <c r="BE17">
        <f>IF(AND(COUNTIF(Control!$E$20:$E$100,$B17)=0,COUNTIF(Control!$E$20:$E$100,BE$2)=0),VISUM_Arterial_OD!BE17*Control!$B$3,0)</f>
        <v>0</v>
      </c>
      <c r="BF17">
        <f>IF(AND(COUNTIF(Control!$E$20:$E$100,$B17)=0,COUNTIF(Control!$E$20:$E$100,BF$2)=0),VISUM_Arterial_OD!BF17*Control!$B$3,0)</f>
        <v>0</v>
      </c>
      <c r="BG17">
        <f>IF(AND(COUNTIF(Control!$E$20:$E$100,$B17)=0,COUNTIF(Control!$E$20:$E$100,BG$2)=0),VISUM_Arterial_OD!BG17*Control!$B$3,0)</f>
        <v>0</v>
      </c>
      <c r="BH17">
        <f>IF(AND(COUNTIF(Control!$E$20:$E$100,$B17)=0,COUNTIF(Control!$E$20:$E$100,BH$2)=0),VISUM_Arterial_OD!BH17*Control!$B$3,0)</f>
        <v>0</v>
      </c>
      <c r="BI17">
        <f>IF(AND(COUNTIF(Control!$E$20:$E$100,$B17)=0,COUNTIF(Control!$E$20:$E$100,BI$2)=0),VISUM_Arterial_OD!BI17*Control!$B$3,0)</f>
        <v>0</v>
      </c>
      <c r="BJ17">
        <f>IF(AND(COUNTIF(Control!$E$20:$E$100,$B17)=0,COUNTIF(Control!$E$20:$E$100,BJ$2)=0),VISUM_Arterial_OD!BJ17*Control!$B$3,0)</f>
        <v>0</v>
      </c>
      <c r="BK17">
        <f>IF(AND(COUNTIF(Control!$E$20:$E$100,$B17)=0,COUNTIF(Control!$E$20:$E$100,BK$2)=0),VISUM_Arterial_OD!BK17*Control!$B$3,0)</f>
        <v>0</v>
      </c>
      <c r="BL17">
        <f>IF(AND(COUNTIF(Control!$E$20:$E$100,$B17)=0,COUNTIF(Control!$E$20:$E$100,BL$2)=0),VISUM_Arterial_OD!BL17*Control!$B$3,0)</f>
        <v>0</v>
      </c>
      <c r="BM17">
        <f>IF(AND(COUNTIF(Control!$E$20:$E$100,$B17)=0,COUNTIF(Control!$E$20:$E$100,BM$2)=0),VISUM_Arterial_OD!BM17*Control!$B$3,0)</f>
        <v>0</v>
      </c>
      <c r="BN17">
        <f>IF(AND(COUNTIF(Control!$E$20:$E$100,$B17)=0,COUNTIF(Control!$E$20:$E$100,BN$2)=0),VISUM_Arterial_OD!BN17*Control!$B$3,0)</f>
        <v>0</v>
      </c>
      <c r="BO17">
        <f>IF(AND(COUNTIF(Control!$E$20:$E$100,$B17)=0,COUNTIF(Control!$E$20:$E$100,BO$2)=0),VISUM_Arterial_OD!BO17*Control!$B$3,0)</f>
        <v>0</v>
      </c>
      <c r="BP17">
        <f>IF(AND(COUNTIF(Control!$E$20:$E$100,$B17)=0,COUNTIF(Control!$E$20:$E$100,BP$2)=0),VISUM_Arterial_OD!BP17*Control!$B$3,0)</f>
        <v>0</v>
      </c>
      <c r="BQ17">
        <f>IF(AND(COUNTIF(Control!$E$20:$E$100,$B17)=0,COUNTIF(Control!$E$20:$E$100,BQ$2)=0),VISUM_Arterial_OD!BQ17*Control!$B$3,0)</f>
        <v>0</v>
      </c>
    </row>
    <row r="18" spans="1:69" x14ac:dyDescent="0.25">
      <c r="A18" s="5">
        <f>IF(VLOOKUP(B18,Arterial_Zone_Link_Mapping!$A:$C,2,FALSE)&lt;&gt;"",VLOOKUP(B18,Arterial_Zone_Link_Mapping!$A:$C,2,FALSE),"")</f>
        <v>205</v>
      </c>
      <c r="B18" s="5">
        <v>38</v>
      </c>
      <c r="C18">
        <f>IF(AND(COUNTIF(Control!$E$20:$E$100,$B18)=0,COUNTIF(Control!$E$20:$E$100,C$2)=0),VISUM_Arterial_OD!C18*Control!$B$3,0)</f>
        <v>0</v>
      </c>
      <c r="D18">
        <f>IF(AND(COUNTIF(Control!$E$20:$E$100,$B18)=0,COUNTIF(Control!$E$20:$E$100,D$2)=0),VISUM_Arterial_OD!D18*Control!$B$3,0)</f>
        <v>0</v>
      </c>
      <c r="E18">
        <f>IF(AND(COUNTIF(Control!$E$20:$E$100,$B18)=0,COUNTIF(Control!$E$20:$E$100,E$2)=0),VISUM_Arterial_OD!E18*Control!$B$3,0)</f>
        <v>0</v>
      </c>
      <c r="F18">
        <f>IF(AND(COUNTIF(Control!$E$20:$E$100,$B18)=0,COUNTIF(Control!$E$20:$E$100,F$2)=0),VISUM_Arterial_OD!F18*Control!$B$3,0)</f>
        <v>0</v>
      </c>
      <c r="G18">
        <f>IF(AND(COUNTIF(Control!$E$20:$E$100,$B18)=0,COUNTIF(Control!$E$20:$E$100,G$2)=0),VISUM_Arterial_OD!G18*Control!$B$3,0)</f>
        <v>0</v>
      </c>
      <c r="H18">
        <f>IF(AND(COUNTIF(Control!$E$20:$E$100,$B18)=0,COUNTIF(Control!$E$20:$E$100,H$2)=0),VISUM_Arterial_OD!H18*Control!$B$3,0)</f>
        <v>0</v>
      </c>
      <c r="I18">
        <f>IF(AND(COUNTIF(Control!$E$20:$E$100,$B18)=0,COUNTIF(Control!$E$20:$E$100,I$2)=0),VISUM_Arterial_OD!I18*Control!$B$3,0)</f>
        <v>0</v>
      </c>
      <c r="J18">
        <f>IF(AND(COUNTIF(Control!$E$20:$E$100,$B18)=0,COUNTIF(Control!$E$20:$E$100,J$2)=0),VISUM_Arterial_OD!J18*Control!$B$3,0)</f>
        <v>0</v>
      </c>
      <c r="K18">
        <f>IF(AND(COUNTIF(Control!$E$20:$E$100,$B18)=0,COUNTIF(Control!$E$20:$E$100,K$2)=0),VISUM_Arterial_OD!K18*Control!$B$3,0)</f>
        <v>0</v>
      </c>
      <c r="L18">
        <f>IF(AND(COUNTIF(Control!$E$20:$E$100,$B18)=0,COUNTIF(Control!$E$20:$E$100,L$2)=0),VISUM_Arterial_OD!L18*Control!$B$3,0)</f>
        <v>0</v>
      </c>
      <c r="M18">
        <f>IF(AND(COUNTIF(Control!$E$20:$E$100,$B18)=0,COUNTIF(Control!$E$20:$E$100,M$2)=0),VISUM_Arterial_OD!M18*Control!$B$3,0)</f>
        <v>0</v>
      </c>
      <c r="N18">
        <f>IF(AND(COUNTIF(Control!$E$20:$E$100,$B18)=0,COUNTIF(Control!$E$20:$E$100,N$2)=0),VISUM_Arterial_OD!N18*Control!$B$3,0)</f>
        <v>0</v>
      </c>
      <c r="O18">
        <f>IF(AND(COUNTIF(Control!$E$20:$E$100,$B18)=0,COUNTIF(Control!$E$20:$E$100,O$2)=0),VISUM_Arterial_OD!O18*Control!$B$3,0)</f>
        <v>0</v>
      </c>
      <c r="P18">
        <f>IF(AND(COUNTIF(Control!$E$20:$E$100,$B18)=0,COUNTIF(Control!$E$20:$E$100,P$2)=0),VISUM_Arterial_OD!P18*Control!$B$3,0)</f>
        <v>0</v>
      </c>
      <c r="Q18">
        <f>IF(AND(COUNTIF(Control!$E$20:$E$100,$B18)=0,COUNTIF(Control!$E$20:$E$100,Q$2)=0),VISUM_Arterial_OD!Q18*Control!$B$3,0)</f>
        <v>0</v>
      </c>
      <c r="R18">
        <f>IF(AND(COUNTIF(Control!$E$20:$E$100,$B18)=0,COUNTIF(Control!$E$20:$E$100,R$2)=0),VISUM_Arterial_OD!R18*Control!$B$3,0)</f>
        <v>0</v>
      </c>
      <c r="S18">
        <f>IF(AND(COUNTIF(Control!$E$20:$E$100,$B18)=0,COUNTIF(Control!$E$20:$E$100,S$2)=0),VISUM_Arterial_OD!S18*Control!$B$3,0)</f>
        <v>0</v>
      </c>
      <c r="T18">
        <f>IF(AND(COUNTIF(Control!$E$20:$E$100,$B18)=0,COUNTIF(Control!$E$20:$E$100,T$2)=0),VISUM_Arterial_OD!T18*Control!$B$3,0)</f>
        <v>6.1499463299999997</v>
      </c>
      <c r="U18">
        <f>IF(AND(COUNTIF(Control!$E$20:$E$100,$B18)=0,COUNTIF(Control!$E$20:$E$100,U$2)=0),VISUM_Arterial_OD!U18*Control!$B$3,0)</f>
        <v>0</v>
      </c>
      <c r="V18">
        <f>IF(AND(COUNTIF(Control!$E$20:$E$100,$B18)=0,COUNTIF(Control!$E$20:$E$100,V$2)=0),VISUM_Arterial_OD!V18*Control!$B$3,0)</f>
        <v>0</v>
      </c>
      <c r="W18">
        <f>IF(AND(COUNTIF(Control!$E$20:$E$100,$B18)=0,COUNTIF(Control!$E$20:$E$100,W$2)=0),VISUM_Arterial_OD!W18*Control!$B$3,0)</f>
        <v>0</v>
      </c>
      <c r="X18">
        <f>IF(AND(COUNTIF(Control!$E$20:$E$100,$B18)=0,COUNTIF(Control!$E$20:$E$100,X$2)=0),VISUM_Arterial_OD!X18*Control!$B$3,0)</f>
        <v>0</v>
      </c>
      <c r="Y18">
        <f>IF(AND(COUNTIF(Control!$E$20:$E$100,$B18)=0,COUNTIF(Control!$E$20:$E$100,Y$2)=0),VISUM_Arterial_OD!Y18*Control!$B$3,0)</f>
        <v>0</v>
      </c>
      <c r="Z18">
        <f>IF(AND(COUNTIF(Control!$E$20:$E$100,$B18)=0,COUNTIF(Control!$E$20:$E$100,Z$2)=0),VISUM_Arterial_OD!Z18*Control!$B$3,0)</f>
        <v>0</v>
      </c>
      <c r="AA18">
        <f>IF(AND(COUNTIF(Control!$E$20:$E$100,$B18)=0,COUNTIF(Control!$E$20:$E$100,AA$2)=0),VISUM_Arterial_OD!AA18*Control!$B$3,0)</f>
        <v>0</v>
      </c>
      <c r="AB18">
        <f>IF(AND(COUNTIF(Control!$E$20:$E$100,$B18)=0,COUNTIF(Control!$E$20:$E$100,AB$2)=0),VISUM_Arterial_OD!AB18*Control!$B$3,0)</f>
        <v>0</v>
      </c>
      <c r="AC18">
        <f>IF(AND(COUNTIF(Control!$E$20:$E$100,$B18)=0,COUNTIF(Control!$E$20:$E$100,AC$2)=0),VISUM_Arterial_OD!AC18*Control!$B$3,0)</f>
        <v>0</v>
      </c>
      <c r="AD18">
        <f>IF(AND(COUNTIF(Control!$E$20:$E$100,$B18)=0,COUNTIF(Control!$E$20:$E$100,AD$2)=0),VISUM_Arterial_OD!AD18*Control!$B$3,0)</f>
        <v>0</v>
      </c>
      <c r="AE18">
        <f>IF(AND(COUNTIF(Control!$E$20:$E$100,$B18)=0,COUNTIF(Control!$E$20:$E$100,AE$2)=0),VISUM_Arterial_OD!AE18*Control!$B$3,0)</f>
        <v>0</v>
      </c>
      <c r="AF18">
        <f>IF(AND(COUNTIF(Control!$E$20:$E$100,$B18)=0,COUNTIF(Control!$E$20:$E$100,AF$2)=0),VISUM_Arterial_OD!AF18*Control!$B$3,0)</f>
        <v>0</v>
      </c>
      <c r="AG18">
        <f>IF(AND(COUNTIF(Control!$E$20:$E$100,$B18)=0,COUNTIF(Control!$E$20:$E$100,AG$2)=0),VISUM_Arterial_OD!AG18*Control!$B$3,0)</f>
        <v>0</v>
      </c>
      <c r="AH18">
        <f>IF(AND(COUNTIF(Control!$E$20:$E$100,$B18)=0,COUNTIF(Control!$E$20:$E$100,AH$2)=0),VISUM_Arterial_OD!AH18*Control!$B$3,0)</f>
        <v>0</v>
      </c>
      <c r="AI18">
        <f>IF(AND(COUNTIF(Control!$E$20:$E$100,$B18)=0,COUNTIF(Control!$E$20:$E$100,AI$2)=0),VISUM_Arterial_OD!AI18*Control!$B$3,0)</f>
        <v>0</v>
      </c>
      <c r="AJ18">
        <f>IF(AND(COUNTIF(Control!$E$20:$E$100,$B18)=0,COUNTIF(Control!$E$20:$E$100,AJ$2)=0),VISUM_Arterial_OD!AJ18*Control!$B$3,0)</f>
        <v>0</v>
      </c>
      <c r="AK18">
        <f>IF(AND(COUNTIF(Control!$E$20:$E$100,$B18)=0,COUNTIF(Control!$E$20:$E$100,AK$2)=0),VISUM_Arterial_OD!AK18*Control!$B$3,0)</f>
        <v>0</v>
      </c>
      <c r="AL18">
        <f>IF(AND(COUNTIF(Control!$E$20:$E$100,$B18)=0,COUNTIF(Control!$E$20:$E$100,AL$2)=0),VISUM_Arterial_OD!AL18*Control!$B$3,0)</f>
        <v>0</v>
      </c>
      <c r="AM18">
        <f>IF(AND(COUNTIF(Control!$E$20:$E$100,$B18)=0,COUNTIF(Control!$E$20:$E$100,AM$2)=0),VISUM_Arterial_OD!AM18*Control!$B$3,0)</f>
        <v>0</v>
      </c>
      <c r="AN18">
        <f>IF(AND(COUNTIF(Control!$E$20:$E$100,$B18)=0,COUNTIF(Control!$E$20:$E$100,AN$2)=0),VISUM_Arterial_OD!AN18*Control!$B$3,0)</f>
        <v>0</v>
      </c>
      <c r="AO18">
        <f>IF(AND(COUNTIF(Control!$E$20:$E$100,$B18)=0,COUNTIF(Control!$E$20:$E$100,AO$2)=0),VISUM_Arterial_OD!AO18*Control!$B$3,0)</f>
        <v>0</v>
      </c>
      <c r="AP18">
        <f>IF(AND(COUNTIF(Control!$E$20:$E$100,$B18)=0,COUNTIF(Control!$E$20:$E$100,AP$2)=0),VISUM_Arterial_OD!AP18*Control!$B$3,0)</f>
        <v>0</v>
      </c>
      <c r="AQ18">
        <f>IF(AND(COUNTIF(Control!$E$20:$E$100,$B18)=0,COUNTIF(Control!$E$20:$E$100,AQ$2)=0),VISUM_Arterial_OD!AQ18*Control!$B$3,0)</f>
        <v>0</v>
      </c>
      <c r="AR18">
        <f>IF(AND(COUNTIF(Control!$E$20:$E$100,$B18)=0,COUNTIF(Control!$E$20:$E$100,AR$2)=0),VISUM_Arterial_OD!AR18*Control!$B$3,0)</f>
        <v>0</v>
      </c>
      <c r="AS18">
        <f>IF(AND(COUNTIF(Control!$E$20:$E$100,$B18)=0,COUNTIF(Control!$E$20:$E$100,AS$2)=0),VISUM_Arterial_OD!AS18*Control!$B$3,0)</f>
        <v>0</v>
      </c>
      <c r="AT18">
        <f>IF(AND(COUNTIF(Control!$E$20:$E$100,$B18)=0,COUNTIF(Control!$E$20:$E$100,AT$2)=0),VISUM_Arterial_OD!AT18*Control!$B$3,0)</f>
        <v>0</v>
      </c>
      <c r="AU18">
        <f>IF(AND(COUNTIF(Control!$E$20:$E$100,$B18)=0,COUNTIF(Control!$E$20:$E$100,AU$2)=0),VISUM_Arterial_OD!AU18*Control!$B$3,0)</f>
        <v>0</v>
      </c>
      <c r="AV18">
        <f>IF(AND(COUNTIF(Control!$E$20:$E$100,$B18)=0,COUNTIF(Control!$E$20:$E$100,AV$2)=0),VISUM_Arterial_OD!AV18*Control!$B$3,0)</f>
        <v>0</v>
      </c>
      <c r="AW18">
        <f>IF(AND(COUNTIF(Control!$E$20:$E$100,$B18)=0,COUNTIF(Control!$E$20:$E$100,AW$2)=0),VISUM_Arterial_OD!AW18*Control!$B$3,0)</f>
        <v>0</v>
      </c>
      <c r="AX18">
        <f>IF(AND(COUNTIF(Control!$E$20:$E$100,$B18)=0,COUNTIF(Control!$E$20:$E$100,AX$2)=0),VISUM_Arterial_OD!AX18*Control!$B$3,0)</f>
        <v>0</v>
      </c>
      <c r="AY18">
        <f>IF(AND(COUNTIF(Control!$E$20:$E$100,$B18)=0,COUNTIF(Control!$E$20:$E$100,AY$2)=0),VISUM_Arterial_OD!AY18*Control!$B$3,0)</f>
        <v>0</v>
      </c>
      <c r="AZ18">
        <f>IF(AND(COUNTIF(Control!$E$20:$E$100,$B18)=0,COUNTIF(Control!$E$20:$E$100,AZ$2)=0),VISUM_Arterial_OD!AZ18*Control!$B$3,0)</f>
        <v>0</v>
      </c>
      <c r="BA18">
        <f>IF(AND(COUNTIF(Control!$E$20:$E$100,$B18)=0,COUNTIF(Control!$E$20:$E$100,BA$2)=0),VISUM_Arterial_OD!BA18*Control!$B$3,0)</f>
        <v>0</v>
      </c>
      <c r="BB18">
        <f>IF(AND(COUNTIF(Control!$E$20:$E$100,$B18)=0,COUNTIF(Control!$E$20:$E$100,BB$2)=0),VISUM_Arterial_OD!BB18*Control!$B$3,0)</f>
        <v>0</v>
      </c>
      <c r="BC18">
        <f>IF(AND(COUNTIF(Control!$E$20:$E$100,$B18)=0,COUNTIF(Control!$E$20:$E$100,BC$2)=0),VISUM_Arterial_OD!BC18*Control!$B$3,0)</f>
        <v>0</v>
      </c>
      <c r="BD18">
        <f>IF(AND(COUNTIF(Control!$E$20:$E$100,$B18)=0,COUNTIF(Control!$E$20:$E$100,BD$2)=0),VISUM_Arterial_OD!BD18*Control!$B$3,0)</f>
        <v>0</v>
      </c>
      <c r="BE18">
        <f>IF(AND(COUNTIF(Control!$E$20:$E$100,$B18)=0,COUNTIF(Control!$E$20:$E$100,BE$2)=0),VISUM_Arterial_OD!BE18*Control!$B$3,0)</f>
        <v>0</v>
      </c>
      <c r="BF18">
        <f>IF(AND(COUNTIF(Control!$E$20:$E$100,$B18)=0,COUNTIF(Control!$E$20:$E$100,BF$2)=0),VISUM_Arterial_OD!BF18*Control!$B$3,0)</f>
        <v>0</v>
      </c>
      <c r="BG18">
        <f>IF(AND(COUNTIF(Control!$E$20:$E$100,$B18)=0,COUNTIF(Control!$E$20:$E$100,BG$2)=0),VISUM_Arterial_OD!BG18*Control!$B$3,0)</f>
        <v>0</v>
      </c>
      <c r="BH18">
        <f>IF(AND(COUNTIF(Control!$E$20:$E$100,$B18)=0,COUNTIF(Control!$E$20:$E$100,BH$2)=0),VISUM_Arterial_OD!BH18*Control!$B$3,0)</f>
        <v>0</v>
      </c>
      <c r="BI18">
        <f>IF(AND(COUNTIF(Control!$E$20:$E$100,$B18)=0,COUNTIF(Control!$E$20:$E$100,BI$2)=0),VISUM_Arterial_OD!BI18*Control!$B$3,0)</f>
        <v>0</v>
      </c>
      <c r="BJ18">
        <f>IF(AND(COUNTIF(Control!$E$20:$E$100,$B18)=0,COUNTIF(Control!$E$20:$E$100,BJ$2)=0),VISUM_Arterial_OD!BJ18*Control!$B$3,0)</f>
        <v>0</v>
      </c>
      <c r="BK18">
        <f>IF(AND(COUNTIF(Control!$E$20:$E$100,$B18)=0,COUNTIF(Control!$E$20:$E$100,BK$2)=0),VISUM_Arterial_OD!BK18*Control!$B$3,0)</f>
        <v>0</v>
      </c>
      <c r="BL18">
        <f>IF(AND(COUNTIF(Control!$E$20:$E$100,$B18)=0,COUNTIF(Control!$E$20:$E$100,BL$2)=0),VISUM_Arterial_OD!BL18*Control!$B$3,0)</f>
        <v>0</v>
      </c>
      <c r="BM18">
        <f>IF(AND(COUNTIF(Control!$E$20:$E$100,$B18)=0,COUNTIF(Control!$E$20:$E$100,BM$2)=0),VISUM_Arterial_OD!BM18*Control!$B$3,0)</f>
        <v>0</v>
      </c>
      <c r="BN18">
        <f>IF(AND(COUNTIF(Control!$E$20:$E$100,$B18)=0,COUNTIF(Control!$E$20:$E$100,BN$2)=0),VISUM_Arterial_OD!BN18*Control!$B$3,0)</f>
        <v>0</v>
      </c>
      <c r="BO18">
        <f>IF(AND(COUNTIF(Control!$E$20:$E$100,$B18)=0,COUNTIF(Control!$E$20:$E$100,BO$2)=0),VISUM_Arterial_OD!BO18*Control!$B$3,0)</f>
        <v>0</v>
      </c>
      <c r="BP18">
        <f>IF(AND(COUNTIF(Control!$E$20:$E$100,$B18)=0,COUNTIF(Control!$E$20:$E$100,BP$2)=0),VISUM_Arterial_OD!BP18*Control!$B$3,0)</f>
        <v>0</v>
      </c>
      <c r="BQ18">
        <f>IF(AND(COUNTIF(Control!$E$20:$E$100,$B18)=0,COUNTIF(Control!$E$20:$E$100,BQ$2)=0),VISUM_Arterial_OD!BQ18*Control!$B$3,0)</f>
        <v>0</v>
      </c>
    </row>
    <row r="19" spans="1:69" x14ac:dyDescent="0.25">
      <c r="A19" s="5">
        <f>IF(VLOOKUP(B19,Arterial_Zone_Link_Mapping!$A:$C,2,FALSE)&lt;&gt;"",VLOOKUP(B19,Arterial_Zone_Link_Mapping!$A:$C,2,FALSE),"")</f>
        <v>26</v>
      </c>
      <c r="B19" s="5">
        <v>39</v>
      </c>
      <c r="C19">
        <f>IF(AND(COUNTIF(Control!$E$20:$E$100,$B19)=0,COUNTIF(Control!$E$20:$E$100,C$2)=0),VISUM_Arterial_OD!C19*Control!$B$3,0)</f>
        <v>2.0388150600000001</v>
      </c>
      <c r="D19">
        <f>IF(AND(COUNTIF(Control!$E$20:$E$100,$B19)=0,COUNTIF(Control!$E$20:$E$100,D$2)=0),VISUM_Arterial_OD!D19*Control!$B$3,0)</f>
        <v>0.17739932999999999</v>
      </c>
      <c r="E19">
        <f>IF(AND(COUNTIF(Control!$E$20:$E$100,$B19)=0,COUNTIF(Control!$E$20:$E$100,E$2)=0),VISUM_Arterial_OD!E19*Control!$B$3,0)</f>
        <v>0</v>
      </c>
      <c r="F19">
        <f>IF(AND(COUNTIF(Control!$E$20:$E$100,$B19)=0,COUNTIF(Control!$E$20:$E$100,F$2)=0),VISUM_Arterial_OD!F19*Control!$B$3,0)</f>
        <v>0</v>
      </c>
      <c r="G19">
        <f>IF(AND(COUNTIF(Control!$E$20:$E$100,$B19)=0,COUNTIF(Control!$E$20:$E$100,G$2)=0),VISUM_Arterial_OD!G19*Control!$B$3,0)</f>
        <v>0</v>
      </c>
      <c r="H19">
        <f>IF(AND(COUNTIF(Control!$E$20:$E$100,$B19)=0,COUNTIF(Control!$E$20:$E$100,H$2)=0),VISUM_Arterial_OD!H19*Control!$B$3,0)</f>
        <v>0</v>
      </c>
      <c r="I19">
        <f>IF(AND(COUNTIF(Control!$E$20:$E$100,$B19)=0,COUNTIF(Control!$E$20:$E$100,I$2)=0),VISUM_Arterial_OD!I19*Control!$B$3,0)</f>
        <v>0</v>
      </c>
      <c r="J19">
        <f>IF(AND(COUNTIF(Control!$E$20:$E$100,$B19)=0,COUNTIF(Control!$E$20:$E$100,J$2)=0),VISUM_Arterial_OD!J19*Control!$B$3,0)</f>
        <v>4.4349107999999999</v>
      </c>
      <c r="K19">
        <f>IF(AND(COUNTIF(Control!$E$20:$E$100,$B19)=0,COUNTIF(Control!$E$20:$E$100,K$2)=0),VISUM_Arterial_OD!K19*Control!$B$3,0)</f>
        <v>0.11629133999999999</v>
      </c>
      <c r="L19">
        <f>IF(AND(COUNTIF(Control!$E$20:$E$100,$B19)=0,COUNTIF(Control!$E$20:$E$100,L$2)=0),VISUM_Arterial_OD!L19*Control!$B$3,0)</f>
        <v>0.43663937999999997</v>
      </c>
      <c r="M19">
        <f>IF(AND(COUNTIF(Control!$E$20:$E$100,$B19)=0,COUNTIF(Control!$E$20:$E$100,M$2)=0),VISUM_Arterial_OD!M19*Control!$B$3,0)</f>
        <v>0</v>
      </c>
      <c r="N19">
        <f>IF(AND(COUNTIF(Control!$E$20:$E$100,$B19)=0,COUNTIF(Control!$E$20:$E$100,N$2)=0),VISUM_Arterial_OD!N19*Control!$B$3,0)</f>
        <v>0</v>
      </c>
      <c r="O19">
        <f>IF(AND(COUNTIF(Control!$E$20:$E$100,$B19)=0,COUNTIF(Control!$E$20:$E$100,O$2)=0),VISUM_Arterial_OD!O19*Control!$B$3,0)</f>
        <v>4.0970509799999997</v>
      </c>
      <c r="P19">
        <f>IF(AND(COUNTIF(Control!$E$20:$E$100,$B19)=0,COUNTIF(Control!$E$20:$E$100,P$2)=0),VISUM_Arterial_OD!P19*Control!$B$3,0)</f>
        <v>0.18429383999999999</v>
      </c>
      <c r="Q19">
        <f>IF(AND(COUNTIF(Control!$E$20:$E$100,$B19)=0,COUNTIF(Control!$E$20:$E$100,Q$2)=0),VISUM_Arterial_OD!Q19*Control!$B$3,0)</f>
        <v>0</v>
      </c>
      <c r="R19">
        <f>IF(AND(COUNTIF(Control!$E$20:$E$100,$B19)=0,COUNTIF(Control!$E$20:$E$100,R$2)=0),VISUM_Arterial_OD!R19*Control!$B$3,0)</f>
        <v>0</v>
      </c>
      <c r="S19">
        <f>IF(AND(COUNTIF(Control!$E$20:$E$100,$B19)=0,COUNTIF(Control!$E$20:$E$100,S$2)=0),VISUM_Arterial_OD!S19*Control!$B$3,0)</f>
        <v>0</v>
      </c>
      <c r="T19">
        <f>IF(AND(COUNTIF(Control!$E$20:$E$100,$B19)=0,COUNTIF(Control!$E$20:$E$100,T$2)=0),VISUM_Arterial_OD!T19*Control!$B$3,0)</f>
        <v>0</v>
      </c>
      <c r="U19">
        <f>IF(AND(COUNTIF(Control!$E$20:$E$100,$B19)=0,COUNTIF(Control!$E$20:$E$100,U$2)=0),VISUM_Arterial_OD!U19*Control!$B$3,0)</f>
        <v>0</v>
      </c>
      <c r="V19">
        <f>IF(AND(COUNTIF(Control!$E$20:$E$100,$B19)=0,COUNTIF(Control!$E$20:$E$100,V$2)=0),VISUM_Arterial_OD!V19*Control!$B$3,0)</f>
        <v>0</v>
      </c>
      <c r="W19">
        <f>IF(AND(COUNTIF(Control!$E$20:$E$100,$B19)=0,COUNTIF(Control!$E$20:$E$100,W$2)=0),VISUM_Arterial_OD!W19*Control!$B$3,0)</f>
        <v>0</v>
      </c>
      <c r="X19">
        <f>IF(AND(COUNTIF(Control!$E$20:$E$100,$B19)=0,COUNTIF(Control!$E$20:$E$100,X$2)=0),VISUM_Arterial_OD!X19*Control!$B$3,0)</f>
        <v>0</v>
      </c>
      <c r="Y19">
        <f>IF(AND(COUNTIF(Control!$E$20:$E$100,$B19)=0,COUNTIF(Control!$E$20:$E$100,Y$2)=0),VISUM_Arterial_OD!Y19*Control!$B$3,0)</f>
        <v>0</v>
      </c>
      <c r="Z19">
        <f>IF(AND(COUNTIF(Control!$E$20:$E$100,$B19)=0,COUNTIF(Control!$E$20:$E$100,Z$2)=0),VISUM_Arterial_OD!Z19*Control!$B$3,0)</f>
        <v>1.9368649199999999</v>
      </c>
      <c r="AA19">
        <f>IF(AND(COUNTIF(Control!$E$20:$E$100,$B19)=0,COUNTIF(Control!$E$20:$E$100,AA$2)=0),VISUM_Arterial_OD!AA19*Control!$B$3,0)</f>
        <v>0</v>
      </c>
      <c r="AB19">
        <f>IF(AND(COUNTIF(Control!$E$20:$E$100,$B19)=0,COUNTIF(Control!$E$20:$E$100,AB$2)=0),VISUM_Arterial_OD!AB19*Control!$B$3,0)</f>
        <v>1.16810898</v>
      </c>
      <c r="AC19">
        <f>IF(AND(COUNTIF(Control!$E$20:$E$100,$B19)=0,COUNTIF(Control!$E$20:$E$100,AC$2)=0),VISUM_Arterial_OD!AC19*Control!$B$3,0)</f>
        <v>0.14110646999999998</v>
      </c>
      <c r="AD19">
        <f>IF(AND(COUNTIF(Control!$E$20:$E$100,$B19)=0,COUNTIF(Control!$E$20:$E$100,AD$2)=0),VISUM_Arterial_OD!AD19*Control!$B$3,0)</f>
        <v>0</v>
      </c>
      <c r="AE19">
        <f>IF(AND(COUNTIF(Control!$E$20:$E$100,$B19)=0,COUNTIF(Control!$E$20:$E$100,AE$2)=0),VISUM_Arterial_OD!AE19*Control!$B$3,0)</f>
        <v>0</v>
      </c>
      <c r="AF19">
        <f>IF(AND(COUNTIF(Control!$E$20:$E$100,$B19)=0,COUNTIF(Control!$E$20:$E$100,AF$2)=0),VISUM_Arterial_OD!AF19*Control!$B$3,0)</f>
        <v>0</v>
      </c>
      <c r="AG19">
        <f>IF(AND(COUNTIF(Control!$E$20:$E$100,$B19)=0,COUNTIF(Control!$E$20:$E$100,AG$2)=0),VISUM_Arterial_OD!AG19*Control!$B$3,0)</f>
        <v>0</v>
      </c>
      <c r="AH19">
        <f>IF(AND(COUNTIF(Control!$E$20:$E$100,$B19)=0,COUNTIF(Control!$E$20:$E$100,AH$2)=0),VISUM_Arterial_OD!AH19*Control!$B$3,0)</f>
        <v>0</v>
      </c>
      <c r="AI19">
        <f>IF(AND(COUNTIF(Control!$E$20:$E$100,$B19)=0,COUNTIF(Control!$E$20:$E$100,AI$2)=0),VISUM_Arterial_OD!AI19*Control!$B$3,0)</f>
        <v>0</v>
      </c>
      <c r="AJ19">
        <f>IF(AND(COUNTIF(Control!$E$20:$E$100,$B19)=0,COUNTIF(Control!$E$20:$E$100,AJ$2)=0),VISUM_Arterial_OD!AJ19*Control!$B$3,0)</f>
        <v>0</v>
      </c>
      <c r="AK19">
        <f>IF(AND(COUNTIF(Control!$E$20:$E$100,$B19)=0,COUNTIF(Control!$E$20:$E$100,AK$2)=0),VISUM_Arterial_OD!AK19*Control!$B$3,0)</f>
        <v>0</v>
      </c>
      <c r="AL19">
        <f>IF(AND(COUNTIF(Control!$E$20:$E$100,$B19)=0,COUNTIF(Control!$E$20:$E$100,AL$2)=0),VISUM_Arterial_OD!AL19*Control!$B$3,0)</f>
        <v>2.8037392199999998</v>
      </c>
      <c r="AM19">
        <f>IF(AND(COUNTIF(Control!$E$20:$E$100,$B19)=0,COUNTIF(Control!$E$20:$E$100,AM$2)=0),VISUM_Arterial_OD!AM19*Control!$B$3,0)</f>
        <v>0</v>
      </c>
      <c r="AN19">
        <f>IF(AND(COUNTIF(Control!$E$20:$E$100,$B19)=0,COUNTIF(Control!$E$20:$E$100,AN$2)=0),VISUM_Arterial_OD!AN19*Control!$B$3,0)</f>
        <v>1.3329030900000001</v>
      </c>
      <c r="AO19">
        <f>IF(AND(COUNTIF(Control!$E$20:$E$100,$B19)=0,COUNTIF(Control!$E$20:$E$100,AO$2)=0),VISUM_Arterial_OD!AO19*Control!$B$3,0)</f>
        <v>0</v>
      </c>
      <c r="AP19">
        <f>IF(AND(COUNTIF(Control!$E$20:$E$100,$B19)=0,COUNTIF(Control!$E$20:$E$100,AP$2)=0),VISUM_Arterial_OD!AP19*Control!$B$3,0)</f>
        <v>0</v>
      </c>
      <c r="AQ19">
        <f>IF(AND(COUNTIF(Control!$E$20:$E$100,$B19)=0,COUNTIF(Control!$E$20:$E$100,AQ$2)=0),VISUM_Arterial_OD!AQ19*Control!$B$3,0)</f>
        <v>0</v>
      </c>
      <c r="AR19">
        <f>IF(AND(COUNTIF(Control!$E$20:$E$100,$B19)=0,COUNTIF(Control!$E$20:$E$100,AR$2)=0),VISUM_Arterial_OD!AR19*Control!$B$3,0)</f>
        <v>0</v>
      </c>
      <c r="AS19">
        <f>IF(AND(COUNTIF(Control!$E$20:$E$100,$B19)=0,COUNTIF(Control!$E$20:$E$100,AS$2)=0),VISUM_Arterial_OD!AS19*Control!$B$3,0)</f>
        <v>0</v>
      </c>
      <c r="AT19">
        <f>IF(AND(COUNTIF(Control!$E$20:$E$100,$B19)=0,COUNTIF(Control!$E$20:$E$100,AT$2)=0),VISUM_Arterial_OD!AT19*Control!$B$3,0)</f>
        <v>0</v>
      </c>
      <c r="AU19">
        <f>IF(AND(COUNTIF(Control!$E$20:$E$100,$B19)=0,COUNTIF(Control!$E$20:$E$100,AU$2)=0),VISUM_Arterial_OD!AU19*Control!$B$3,0)</f>
        <v>0</v>
      </c>
      <c r="AV19">
        <f>IF(AND(COUNTIF(Control!$E$20:$E$100,$B19)=0,COUNTIF(Control!$E$20:$E$100,AV$2)=0),VISUM_Arterial_OD!AV19*Control!$B$3,0)</f>
        <v>0</v>
      </c>
      <c r="AW19">
        <f>IF(AND(COUNTIF(Control!$E$20:$E$100,$B19)=0,COUNTIF(Control!$E$20:$E$100,AW$2)=0),VISUM_Arterial_OD!AW19*Control!$B$3,0)</f>
        <v>0</v>
      </c>
      <c r="AX19">
        <f>IF(AND(COUNTIF(Control!$E$20:$E$100,$B19)=0,COUNTIF(Control!$E$20:$E$100,AX$2)=0),VISUM_Arterial_OD!AX19*Control!$B$3,0)</f>
        <v>4.6717025400000001</v>
      </c>
      <c r="AY19">
        <f>IF(AND(COUNTIF(Control!$E$20:$E$100,$B19)=0,COUNTIF(Control!$E$20:$E$100,AY$2)=0),VISUM_Arterial_OD!AY19*Control!$B$3,0)</f>
        <v>0</v>
      </c>
      <c r="AZ19">
        <f>IF(AND(COUNTIF(Control!$E$20:$E$100,$B19)=0,COUNTIF(Control!$E$20:$E$100,AZ$2)=0),VISUM_Arterial_OD!AZ19*Control!$B$3,0)</f>
        <v>0</v>
      </c>
      <c r="BA19">
        <f>IF(AND(COUNTIF(Control!$E$20:$E$100,$B19)=0,COUNTIF(Control!$E$20:$E$100,BA$2)=0),VISUM_Arterial_OD!BA19*Control!$B$3,0)</f>
        <v>0</v>
      </c>
      <c r="BB19">
        <f>IF(AND(COUNTIF(Control!$E$20:$E$100,$B19)=0,COUNTIF(Control!$E$20:$E$100,BB$2)=0),VISUM_Arterial_OD!BB19*Control!$B$3,0)</f>
        <v>0</v>
      </c>
      <c r="BC19">
        <f>IF(AND(COUNTIF(Control!$E$20:$E$100,$B19)=0,COUNTIF(Control!$E$20:$E$100,BC$2)=0),VISUM_Arterial_OD!BC19*Control!$B$3,0)</f>
        <v>0</v>
      </c>
      <c r="BD19">
        <f>IF(AND(COUNTIF(Control!$E$20:$E$100,$B19)=0,COUNTIF(Control!$E$20:$E$100,BD$2)=0),VISUM_Arterial_OD!BD19*Control!$B$3,0)</f>
        <v>0</v>
      </c>
      <c r="BE19">
        <f>IF(AND(COUNTIF(Control!$E$20:$E$100,$B19)=0,COUNTIF(Control!$E$20:$E$100,BE$2)=0),VISUM_Arterial_OD!BE19*Control!$B$3,0)</f>
        <v>0</v>
      </c>
      <c r="BF19">
        <f>IF(AND(COUNTIF(Control!$E$20:$E$100,$B19)=0,COUNTIF(Control!$E$20:$E$100,BF$2)=0),VISUM_Arterial_OD!BF19*Control!$B$3,0)</f>
        <v>0</v>
      </c>
      <c r="BG19">
        <f>IF(AND(COUNTIF(Control!$E$20:$E$100,$B19)=0,COUNTIF(Control!$E$20:$E$100,BG$2)=0),VISUM_Arterial_OD!BG19*Control!$B$3,0)</f>
        <v>0</v>
      </c>
      <c r="BH19">
        <f>IF(AND(COUNTIF(Control!$E$20:$E$100,$B19)=0,COUNTIF(Control!$E$20:$E$100,BH$2)=0),VISUM_Arterial_OD!BH19*Control!$B$3,0)</f>
        <v>0</v>
      </c>
      <c r="BI19">
        <f>IF(AND(COUNTIF(Control!$E$20:$E$100,$B19)=0,COUNTIF(Control!$E$20:$E$100,BI$2)=0),VISUM_Arterial_OD!BI19*Control!$B$3,0)</f>
        <v>0</v>
      </c>
      <c r="BJ19">
        <f>IF(AND(COUNTIF(Control!$E$20:$E$100,$B19)=0,COUNTIF(Control!$E$20:$E$100,BJ$2)=0),VISUM_Arterial_OD!BJ19*Control!$B$3,0)</f>
        <v>0</v>
      </c>
      <c r="BK19">
        <f>IF(AND(COUNTIF(Control!$E$20:$E$100,$B19)=0,COUNTIF(Control!$E$20:$E$100,BK$2)=0),VISUM_Arterial_OD!BK19*Control!$B$3,0)</f>
        <v>0</v>
      </c>
      <c r="BL19">
        <f>IF(AND(COUNTIF(Control!$E$20:$E$100,$B19)=0,COUNTIF(Control!$E$20:$E$100,BL$2)=0),VISUM_Arterial_OD!BL19*Control!$B$3,0)</f>
        <v>0</v>
      </c>
      <c r="BM19">
        <f>IF(AND(COUNTIF(Control!$E$20:$E$100,$B19)=0,COUNTIF(Control!$E$20:$E$100,BM$2)=0),VISUM_Arterial_OD!BM19*Control!$B$3,0)</f>
        <v>0</v>
      </c>
      <c r="BN19">
        <f>IF(AND(COUNTIF(Control!$E$20:$E$100,$B19)=0,COUNTIF(Control!$E$20:$E$100,BN$2)=0),VISUM_Arterial_OD!BN19*Control!$B$3,0)</f>
        <v>0</v>
      </c>
      <c r="BO19">
        <f>IF(AND(COUNTIF(Control!$E$20:$E$100,$B19)=0,COUNTIF(Control!$E$20:$E$100,BO$2)=0),VISUM_Arterial_OD!BO19*Control!$B$3,0)</f>
        <v>4.2735057299999992</v>
      </c>
      <c r="BP19">
        <f>IF(AND(COUNTIF(Control!$E$20:$E$100,$B19)=0,COUNTIF(Control!$E$20:$E$100,BP$2)=0),VISUM_Arterial_OD!BP19*Control!$B$3,0)</f>
        <v>0</v>
      </c>
      <c r="BQ19">
        <f>IF(AND(COUNTIF(Control!$E$20:$E$100,$B19)=0,COUNTIF(Control!$E$20:$E$100,BQ$2)=0),VISUM_Arterial_OD!BQ19*Control!$B$3,0)</f>
        <v>2.0375082299999998</v>
      </c>
    </row>
    <row r="20" spans="1:69" x14ac:dyDescent="0.25">
      <c r="A20" s="5">
        <f>IF(VLOOKUP(B20,Arterial_Zone_Link_Mapping!$A:$C,2,FALSE)&lt;&gt;"",VLOOKUP(B20,Arterial_Zone_Link_Mapping!$A:$C,2,FALSE),"")</f>
        <v>204</v>
      </c>
      <c r="B20" s="5">
        <v>40</v>
      </c>
      <c r="C20">
        <f>IF(AND(COUNTIF(Control!$E$20:$E$100,$B20)=0,COUNTIF(Control!$E$20:$E$100,C$2)=0),VISUM_Arterial_OD!C20*Control!$B$3,0)</f>
        <v>0</v>
      </c>
      <c r="D20">
        <f>IF(AND(COUNTIF(Control!$E$20:$E$100,$B20)=0,COUNTIF(Control!$E$20:$E$100,D$2)=0),VISUM_Arterial_OD!D20*Control!$B$3,0)</f>
        <v>0</v>
      </c>
      <c r="E20">
        <f>IF(AND(COUNTIF(Control!$E$20:$E$100,$B20)=0,COUNTIF(Control!$E$20:$E$100,E$2)=0),VISUM_Arterial_OD!E20*Control!$B$3,0)</f>
        <v>0</v>
      </c>
      <c r="F20">
        <f>IF(AND(COUNTIF(Control!$E$20:$E$100,$B20)=0,COUNTIF(Control!$E$20:$E$100,F$2)=0),VISUM_Arterial_OD!F20*Control!$B$3,0)</f>
        <v>0</v>
      </c>
      <c r="G20">
        <f>IF(AND(COUNTIF(Control!$E$20:$E$100,$B20)=0,COUNTIF(Control!$E$20:$E$100,G$2)=0),VISUM_Arterial_OD!G20*Control!$B$3,0)</f>
        <v>0</v>
      </c>
      <c r="H20">
        <f>IF(AND(COUNTIF(Control!$E$20:$E$100,$B20)=0,COUNTIF(Control!$E$20:$E$100,H$2)=0),VISUM_Arterial_OD!H20*Control!$B$3,0)</f>
        <v>0</v>
      </c>
      <c r="I20">
        <f>IF(AND(COUNTIF(Control!$E$20:$E$100,$B20)=0,COUNTIF(Control!$E$20:$E$100,I$2)=0),VISUM_Arterial_OD!I20*Control!$B$3,0)</f>
        <v>0</v>
      </c>
      <c r="J20">
        <f>IF(AND(COUNTIF(Control!$E$20:$E$100,$B20)=0,COUNTIF(Control!$E$20:$E$100,J$2)=0),VISUM_Arterial_OD!J20*Control!$B$3,0)</f>
        <v>0</v>
      </c>
      <c r="K20">
        <f>IF(AND(COUNTIF(Control!$E$20:$E$100,$B20)=0,COUNTIF(Control!$E$20:$E$100,K$2)=0),VISUM_Arterial_OD!K20*Control!$B$3,0)</f>
        <v>0</v>
      </c>
      <c r="L20">
        <f>IF(AND(COUNTIF(Control!$E$20:$E$100,$B20)=0,COUNTIF(Control!$E$20:$E$100,L$2)=0),VISUM_Arterial_OD!L20*Control!$B$3,0)</f>
        <v>0</v>
      </c>
      <c r="M20">
        <f>IF(AND(COUNTIF(Control!$E$20:$E$100,$B20)=0,COUNTIF(Control!$E$20:$E$100,M$2)=0),VISUM_Arterial_OD!M20*Control!$B$3,0)</f>
        <v>0</v>
      </c>
      <c r="N20">
        <f>IF(AND(COUNTIF(Control!$E$20:$E$100,$B20)=0,COUNTIF(Control!$E$20:$E$100,N$2)=0),VISUM_Arterial_OD!N20*Control!$B$3,0)</f>
        <v>0</v>
      </c>
      <c r="O20">
        <f>IF(AND(COUNTIF(Control!$E$20:$E$100,$B20)=0,COUNTIF(Control!$E$20:$E$100,O$2)=0),VISUM_Arterial_OD!O20*Control!$B$3,0)</f>
        <v>0</v>
      </c>
      <c r="P20">
        <f>IF(AND(COUNTIF(Control!$E$20:$E$100,$B20)=0,COUNTIF(Control!$E$20:$E$100,P$2)=0),VISUM_Arterial_OD!P20*Control!$B$3,0)</f>
        <v>0</v>
      </c>
      <c r="Q20">
        <f>IF(AND(COUNTIF(Control!$E$20:$E$100,$B20)=0,COUNTIF(Control!$E$20:$E$100,Q$2)=0),VISUM_Arterial_OD!Q20*Control!$B$3,0)</f>
        <v>0</v>
      </c>
      <c r="R20">
        <f>IF(AND(COUNTIF(Control!$E$20:$E$100,$B20)=0,COUNTIF(Control!$E$20:$E$100,R$2)=0),VISUM_Arterial_OD!R20*Control!$B$3,0)</f>
        <v>14.24987565</v>
      </c>
      <c r="S20">
        <f>IF(AND(COUNTIF(Control!$E$20:$E$100,$B20)=0,COUNTIF(Control!$E$20:$E$100,S$2)=0),VISUM_Arterial_OD!S20*Control!$B$3,0)</f>
        <v>0</v>
      </c>
      <c r="T20">
        <f>IF(AND(COUNTIF(Control!$E$20:$E$100,$B20)=0,COUNTIF(Control!$E$20:$E$100,T$2)=0),VISUM_Arterial_OD!T20*Control!$B$3,0)</f>
        <v>0</v>
      </c>
      <c r="U20">
        <f>IF(AND(COUNTIF(Control!$E$20:$E$100,$B20)=0,COUNTIF(Control!$E$20:$E$100,U$2)=0),VISUM_Arterial_OD!U20*Control!$B$3,0)</f>
        <v>0</v>
      </c>
      <c r="V20">
        <f>IF(AND(COUNTIF(Control!$E$20:$E$100,$B20)=0,COUNTIF(Control!$E$20:$E$100,V$2)=0),VISUM_Arterial_OD!V20*Control!$B$3,0)</f>
        <v>0</v>
      </c>
      <c r="W20">
        <f>IF(AND(COUNTIF(Control!$E$20:$E$100,$B20)=0,COUNTIF(Control!$E$20:$E$100,W$2)=0),VISUM_Arterial_OD!W20*Control!$B$3,0)</f>
        <v>0</v>
      </c>
      <c r="X20">
        <f>IF(AND(COUNTIF(Control!$E$20:$E$100,$B20)=0,COUNTIF(Control!$E$20:$E$100,X$2)=0),VISUM_Arterial_OD!X20*Control!$B$3,0)</f>
        <v>0</v>
      </c>
      <c r="Y20">
        <f>IF(AND(COUNTIF(Control!$E$20:$E$100,$B20)=0,COUNTIF(Control!$E$20:$E$100,Y$2)=0),VISUM_Arterial_OD!Y20*Control!$B$3,0)</f>
        <v>0</v>
      </c>
      <c r="Z20">
        <f>IF(AND(COUNTIF(Control!$E$20:$E$100,$B20)=0,COUNTIF(Control!$E$20:$E$100,Z$2)=0),VISUM_Arterial_OD!Z20*Control!$B$3,0)</f>
        <v>0</v>
      </c>
      <c r="AA20">
        <f>IF(AND(COUNTIF(Control!$E$20:$E$100,$B20)=0,COUNTIF(Control!$E$20:$E$100,AA$2)=0),VISUM_Arterial_OD!AA20*Control!$B$3,0)</f>
        <v>0</v>
      </c>
      <c r="AB20">
        <f>IF(AND(COUNTIF(Control!$E$20:$E$100,$B20)=0,COUNTIF(Control!$E$20:$E$100,AB$2)=0),VISUM_Arterial_OD!AB20*Control!$B$3,0)</f>
        <v>0</v>
      </c>
      <c r="AC20">
        <f>IF(AND(COUNTIF(Control!$E$20:$E$100,$B20)=0,COUNTIF(Control!$E$20:$E$100,AC$2)=0),VISUM_Arterial_OD!AC20*Control!$B$3,0)</f>
        <v>0</v>
      </c>
      <c r="AD20">
        <f>IF(AND(COUNTIF(Control!$E$20:$E$100,$B20)=0,COUNTIF(Control!$E$20:$E$100,AD$2)=0),VISUM_Arterial_OD!AD20*Control!$B$3,0)</f>
        <v>0</v>
      </c>
      <c r="AE20">
        <f>IF(AND(COUNTIF(Control!$E$20:$E$100,$B20)=0,COUNTIF(Control!$E$20:$E$100,AE$2)=0),VISUM_Arterial_OD!AE20*Control!$B$3,0)</f>
        <v>0</v>
      </c>
      <c r="AF20">
        <f>IF(AND(COUNTIF(Control!$E$20:$E$100,$B20)=0,COUNTIF(Control!$E$20:$E$100,AF$2)=0),VISUM_Arterial_OD!AF20*Control!$B$3,0)</f>
        <v>0</v>
      </c>
      <c r="AG20">
        <f>IF(AND(COUNTIF(Control!$E$20:$E$100,$B20)=0,COUNTIF(Control!$E$20:$E$100,AG$2)=0),VISUM_Arterial_OD!AG20*Control!$B$3,0)</f>
        <v>0</v>
      </c>
      <c r="AH20">
        <f>IF(AND(COUNTIF(Control!$E$20:$E$100,$B20)=0,COUNTIF(Control!$E$20:$E$100,AH$2)=0),VISUM_Arterial_OD!AH20*Control!$B$3,0)</f>
        <v>0</v>
      </c>
      <c r="AI20">
        <f>IF(AND(COUNTIF(Control!$E$20:$E$100,$B20)=0,COUNTIF(Control!$E$20:$E$100,AI$2)=0),VISUM_Arterial_OD!AI20*Control!$B$3,0)</f>
        <v>0</v>
      </c>
      <c r="AJ20">
        <f>IF(AND(COUNTIF(Control!$E$20:$E$100,$B20)=0,COUNTIF(Control!$E$20:$E$100,AJ$2)=0),VISUM_Arterial_OD!AJ20*Control!$B$3,0)</f>
        <v>0</v>
      </c>
      <c r="AK20">
        <f>IF(AND(COUNTIF(Control!$E$20:$E$100,$B20)=0,COUNTIF(Control!$E$20:$E$100,AK$2)=0),VISUM_Arterial_OD!AK20*Control!$B$3,0)</f>
        <v>0</v>
      </c>
      <c r="AL20">
        <f>IF(AND(COUNTIF(Control!$E$20:$E$100,$B20)=0,COUNTIF(Control!$E$20:$E$100,AL$2)=0),VISUM_Arterial_OD!AL20*Control!$B$3,0)</f>
        <v>0</v>
      </c>
      <c r="AM20">
        <f>IF(AND(COUNTIF(Control!$E$20:$E$100,$B20)=0,COUNTIF(Control!$E$20:$E$100,AM$2)=0),VISUM_Arterial_OD!AM20*Control!$B$3,0)</f>
        <v>0</v>
      </c>
      <c r="AN20">
        <f>IF(AND(COUNTIF(Control!$E$20:$E$100,$B20)=0,COUNTIF(Control!$E$20:$E$100,AN$2)=0),VISUM_Arterial_OD!AN20*Control!$B$3,0)</f>
        <v>0</v>
      </c>
      <c r="AO20">
        <f>IF(AND(COUNTIF(Control!$E$20:$E$100,$B20)=0,COUNTIF(Control!$E$20:$E$100,AO$2)=0),VISUM_Arterial_OD!AO20*Control!$B$3,0)</f>
        <v>0</v>
      </c>
      <c r="AP20">
        <f>IF(AND(COUNTIF(Control!$E$20:$E$100,$B20)=0,COUNTIF(Control!$E$20:$E$100,AP$2)=0),VISUM_Arterial_OD!AP20*Control!$B$3,0)</f>
        <v>0</v>
      </c>
      <c r="AQ20">
        <f>IF(AND(COUNTIF(Control!$E$20:$E$100,$B20)=0,COUNTIF(Control!$E$20:$E$100,AQ$2)=0),VISUM_Arterial_OD!AQ20*Control!$B$3,0)</f>
        <v>0</v>
      </c>
      <c r="AR20">
        <f>IF(AND(COUNTIF(Control!$E$20:$E$100,$B20)=0,COUNTIF(Control!$E$20:$E$100,AR$2)=0),VISUM_Arterial_OD!AR20*Control!$B$3,0)</f>
        <v>0</v>
      </c>
      <c r="AS20">
        <f>IF(AND(COUNTIF(Control!$E$20:$E$100,$B20)=0,COUNTIF(Control!$E$20:$E$100,AS$2)=0),VISUM_Arterial_OD!AS20*Control!$B$3,0)</f>
        <v>0</v>
      </c>
      <c r="AT20">
        <f>IF(AND(COUNTIF(Control!$E$20:$E$100,$B20)=0,COUNTIF(Control!$E$20:$E$100,AT$2)=0),VISUM_Arterial_OD!AT20*Control!$B$3,0)</f>
        <v>0</v>
      </c>
      <c r="AU20">
        <f>IF(AND(COUNTIF(Control!$E$20:$E$100,$B20)=0,COUNTIF(Control!$E$20:$E$100,AU$2)=0),VISUM_Arterial_OD!AU20*Control!$B$3,0)</f>
        <v>0</v>
      </c>
      <c r="AV20">
        <f>IF(AND(COUNTIF(Control!$E$20:$E$100,$B20)=0,COUNTIF(Control!$E$20:$E$100,AV$2)=0),VISUM_Arterial_OD!AV20*Control!$B$3,0)</f>
        <v>0</v>
      </c>
      <c r="AW20">
        <f>IF(AND(COUNTIF(Control!$E$20:$E$100,$B20)=0,COUNTIF(Control!$E$20:$E$100,AW$2)=0),VISUM_Arterial_OD!AW20*Control!$B$3,0)</f>
        <v>0</v>
      </c>
      <c r="AX20">
        <f>IF(AND(COUNTIF(Control!$E$20:$E$100,$B20)=0,COUNTIF(Control!$E$20:$E$100,AX$2)=0),VISUM_Arterial_OD!AX20*Control!$B$3,0)</f>
        <v>0</v>
      </c>
      <c r="AY20">
        <f>IF(AND(COUNTIF(Control!$E$20:$E$100,$B20)=0,COUNTIF(Control!$E$20:$E$100,AY$2)=0),VISUM_Arterial_OD!AY20*Control!$B$3,0)</f>
        <v>0</v>
      </c>
      <c r="AZ20">
        <f>IF(AND(COUNTIF(Control!$E$20:$E$100,$B20)=0,COUNTIF(Control!$E$20:$E$100,AZ$2)=0),VISUM_Arterial_OD!AZ20*Control!$B$3,0)</f>
        <v>0</v>
      </c>
      <c r="BA20">
        <f>IF(AND(COUNTIF(Control!$E$20:$E$100,$B20)=0,COUNTIF(Control!$E$20:$E$100,BA$2)=0),VISUM_Arterial_OD!BA20*Control!$B$3,0)</f>
        <v>0</v>
      </c>
      <c r="BB20">
        <f>IF(AND(COUNTIF(Control!$E$20:$E$100,$B20)=0,COUNTIF(Control!$E$20:$E$100,BB$2)=0),VISUM_Arterial_OD!BB20*Control!$B$3,0)</f>
        <v>0</v>
      </c>
      <c r="BC20">
        <f>IF(AND(COUNTIF(Control!$E$20:$E$100,$B20)=0,COUNTIF(Control!$E$20:$E$100,BC$2)=0),VISUM_Arterial_OD!BC20*Control!$B$3,0)</f>
        <v>0</v>
      </c>
      <c r="BD20">
        <f>IF(AND(COUNTIF(Control!$E$20:$E$100,$B20)=0,COUNTIF(Control!$E$20:$E$100,BD$2)=0),VISUM_Arterial_OD!BD20*Control!$B$3,0)</f>
        <v>0</v>
      </c>
      <c r="BE20">
        <f>IF(AND(COUNTIF(Control!$E$20:$E$100,$B20)=0,COUNTIF(Control!$E$20:$E$100,BE$2)=0),VISUM_Arterial_OD!BE20*Control!$B$3,0)</f>
        <v>0</v>
      </c>
      <c r="BF20">
        <f>IF(AND(COUNTIF(Control!$E$20:$E$100,$B20)=0,COUNTIF(Control!$E$20:$E$100,BF$2)=0),VISUM_Arterial_OD!BF20*Control!$B$3,0)</f>
        <v>0</v>
      </c>
      <c r="BG20">
        <f>IF(AND(COUNTIF(Control!$E$20:$E$100,$B20)=0,COUNTIF(Control!$E$20:$E$100,BG$2)=0),VISUM_Arterial_OD!BG20*Control!$B$3,0)</f>
        <v>0</v>
      </c>
      <c r="BH20">
        <f>IF(AND(COUNTIF(Control!$E$20:$E$100,$B20)=0,COUNTIF(Control!$E$20:$E$100,BH$2)=0),VISUM_Arterial_OD!BH20*Control!$B$3,0)</f>
        <v>0</v>
      </c>
      <c r="BI20">
        <f>IF(AND(COUNTIF(Control!$E$20:$E$100,$B20)=0,COUNTIF(Control!$E$20:$E$100,BI$2)=0),VISUM_Arterial_OD!BI20*Control!$B$3,0)</f>
        <v>0</v>
      </c>
      <c r="BJ20">
        <f>IF(AND(COUNTIF(Control!$E$20:$E$100,$B20)=0,COUNTIF(Control!$E$20:$E$100,BJ$2)=0),VISUM_Arterial_OD!BJ20*Control!$B$3,0)</f>
        <v>0</v>
      </c>
      <c r="BK20">
        <f>IF(AND(COUNTIF(Control!$E$20:$E$100,$B20)=0,COUNTIF(Control!$E$20:$E$100,BK$2)=0),VISUM_Arterial_OD!BK20*Control!$B$3,0)</f>
        <v>0</v>
      </c>
      <c r="BL20">
        <f>IF(AND(COUNTIF(Control!$E$20:$E$100,$B20)=0,COUNTIF(Control!$E$20:$E$100,BL$2)=0),VISUM_Arterial_OD!BL20*Control!$B$3,0)</f>
        <v>0</v>
      </c>
      <c r="BM20">
        <f>IF(AND(COUNTIF(Control!$E$20:$E$100,$B20)=0,COUNTIF(Control!$E$20:$E$100,BM$2)=0),VISUM_Arterial_OD!BM20*Control!$B$3,0)</f>
        <v>0</v>
      </c>
      <c r="BN20">
        <f>IF(AND(COUNTIF(Control!$E$20:$E$100,$B20)=0,COUNTIF(Control!$E$20:$E$100,BN$2)=0),VISUM_Arterial_OD!BN20*Control!$B$3,0)</f>
        <v>0</v>
      </c>
      <c r="BO20">
        <f>IF(AND(COUNTIF(Control!$E$20:$E$100,$B20)=0,COUNTIF(Control!$E$20:$E$100,BO$2)=0),VISUM_Arterial_OD!BO20*Control!$B$3,0)</f>
        <v>0</v>
      </c>
      <c r="BP20">
        <f>IF(AND(COUNTIF(Control!$E$20:$E$100,$B20)=0,COUNTIF(Control!$E$20:$E$100,BP$2)=0),VISUM_Arterial_OD!BP20*Control!$B$3,0)</f>
        <v>0</v>
      </c>
      <c r="BQ20">
        <f>IF(AND(COUNTIF(Control!$E$20:$E$100,$B20)=0,COUNTIF(Control!$E$20:$E$100,BQ$2)=0),VISUM_Arterial_OD!BQ20*Control!$B$3,0)</f>
        <v>0</v>
      </c>
    </row>
    <row r="21" spans="1:69" x14ac:dyDescent="0.25">
      <c r="A21" s="5">
        <f>IF(VLOOKUP(B21,Arterial_Zone_Link_Mapping!$A:$C,2,FALSE)&lt;&gt;"",VLOOKUP(B21,Arterial_Zone_Link_Mapping!$A:$C,2,FALSE),"")</f>
        <v>288</v>
      </c>
      <c r="B21" s="5">
        <v>41</v>
      </c>
      <c r="C21">
        <f>IF(AND(COUNTIF(Control!$E$20:$E$100,$B21)=0,COUNTIF(Control!$E$20:$E$100,C$2)=0),VISUM_Arterial_OD!C21*Control!$B$3,0)</f>
        <v>0</v>
      </c>
      <c r="D21">
        <f>IF(AND(COUNTIF(Control!$E$20:$E$100,$B21)=0,COUNTIF(Control!$E$20:$E$100,D$2)=0),VISUM_Arterial_OD!D21*Control!$B$3,0)</f>
        <v>0</v>
      </c>
      <c r="E21">
        <f>IF(AND(COUNTIF(Control!$E$20:$E$100,$B21)=0,COUNTIF(Control!$E$20:$E$100,E$2)=0),VISUM_Arterial_OD!E21*Control!$B$3,0)</f>
        <v>0</v>
      </c>
      <c r="F21">
        <f>IF(AND(COUNTIF(Control!$E$20:$E$100,$B21)=0,COUNTIF(Control!$E$20:$E$100,F$2)=0),VISUM_Arterial_OD!F21*Control!$B$3,0)</f>
        <v>0</v>
      </c>
      <c r="G21">
        <f>IF(AND(COUNTIF(Control!$E$20:$E$100,$B21)=0,COUNTIF(Control!$E$20:$E$100,G$2)=0),VISUM_Arterial_OD!G21*Control!$B$3,0)</f>
        <v>0.89999213999999994</v>
      </c>
      <c r="H21">
        <f>IF(AND(COUNTIF(Control!$E$20:$E$100,$B21)=0,COUNTIF(Control!$E$20:$E$100,H$2)=0),VISUM_Arterial_OD!H21*Control!$B$3,0)</f>
        <v>0</v>
      </c>
      <c r="I21">
        <f>IF(AND(COUNTIF(Control!$E$20:$E$100,$B21)=0,COUNTIF(Control!$E$20:$E$100,I$2)=0),VISUM_Arterial_OD!I21*Control!$B$3,0)</f>
        <v>0</v>
      </c>
      <c r="J21">
        <f>IF(AND(COUNTIF(Control!$E$20:$E$100,$B21)=0,COUNTIF(Control!$E$20:$E$100,J$2)=0),VISUM_Arterial_OD!J21*Control!$B$3,0)</f>
        <v>0</v>
      </c>
      <c r="K21">
        <f>IF(AND(COUNTIF(Control!$E$20:$E$100,$B21)=0,COUNTIF(Control!$E$20:$E$100,K$2)=0),VISUM_Arterial_OD!K21*Control!$B$3,0)</f>
        <v>0</v>
      </c>
      <c r="L21">
        <f>IF(AND(COUNTIF(Control!$E$20:$E$100,$B21)=0,COUNTIF(Control!$E$20:$E$100,L$2)=0),VISUM_Arterial_OD!L21*Control!$B$3,0)</f>
        <v>0</v>
      </c>
      <c r="M21">
        <f>IF(AND(COUNTIF(Control!$E$20:$E$100,$B21)=0,COUNTIF(Control!$E$20:$E$100,M$2)=0),VISUM_Arterial_OD!M21*Control!$B$3,0)</f>
        <v>0</v>
      </c>
      <c r="N21">
        <f>IF(AND(COUNTIF(Control!$E$20:$E$100,$B21)=0,COUNTIF(Control!$E$20:$E$100,N$2)=0),VISUM_Arterial_OD!N21*Control!$B$3,0)</f>
        <v>0</v>
      </c>
      <c r="O21">
        <f>IF(AND(COUNTIF(Control!$E$20:$E$100,$B21)=0,COUNTIF(Control!$E$20:$E$100,O$2)=0),VISUM_Arterial_OD!O21*Control!$B$3,0)</f>
        <v>0</v>
      </c>
      <c r="P21">
        <f>IF(AND(COUNTIF(Control!$E$20:$E$100,$B21)=0,COUNTIF(Control!$E$20:$E$100,P$2)=0),VISUM_Arterial_OD!P21*Control!$B$3,0)</f>
        <v>0</v>
      </c>
      <c r="Q21">
        <f>IF(AND(COUNTIF(Control!$E$20:$E$100,$B21)=0,COUNTIF(Control!$E$20:$E$100,Q$2)=0),VISUM_Arterial_OD!Q21*Control!$B$3,0)</f>
        <v>0.52861091999999998</v>
      </c>
      <c r="R21">
        <f>IF(AND(COUNTIF(Control!$E$20:$E$100,$B21)=0,COUNTIF(Control!$E$20:$E$100,R$2)=0),VISUM_Arterial_OD!R21*Control!$B$3,0)</f>
        <v>0</v>
      </c>
      <c r="S21">
        <f>IF(AND(COUNTIF(Control!$E$20:$E$100,$B21)=0,COUNTIF(Control!$E$20:$E$100,S$2)=0),VISUM_Arterial_OD!S21*Control!$B$3,0)</f>
        <v>0</v>
      </c>
      <c r="T21">
        <f>IF(AND(COUNTIF(Control!$E$20:$E$100,$B21)=0,COUNTIF(Control!$E$20:$E$100,T$2)=0),VISUM_Arterial_OD!T21*Control!$B$3,0)</f>
        <v>0</v>
      </c>
      <c r="U21">
        <f>IF(AND(COUNTIF(Control!$E$20:$E$100,$B21)=0,COUNTIF(Control!$E$20:$E$100,U$2)=0),VISUM_Arterial_OD!U21*Control!$B$3,0)</f>
        <v>0</v>
      </c>
      <c r="V21">
        <f>IF(AND(COUNTIF(Control!$E$20:$E$100,$B21)=0,COUNTIF(Control!$E$20:$E$100,V$2)=0),VISUM_Arterial_OD!V21*Control!$B$3,0)</f>
        <v>2.9559418200000001</v>
      </c>
      <c r="W21">
        <f>IF(AND(COUNTIF(Control!$E$20:$E$100,$B21)=0,COUNTIF(Control!$E$20:$E$100,W$2)=0),VISUM_Arterial_OD!W21*Control!$B$3,0)</f>
        <v>0.42948863999999998</v>
      </c>
      <c r="X21">
        <f>IF(AND(COUNTIF(Control!$E$20:$E$100,$B21)=0,COUNTIF(Control!$E$20:$E$100,X$2)=0),VISUM_Arterial_OD!X21*Control!$B$3,0)</f>
        <v>0.99361193999999997</v>
      </c>
      <c r="Y21">
        <f>IF(AND(COUNTIF(Control!$E$20:$E$100,$B21)=0,COUNTIF(Control!$E$20:$E$100,Y$2)=0),VISUM_Arterial_OD!Y21*Control!$B$3,0)</f>
        <v>0</v>
      </c>
      <c r="Z21">
        <f>IF(AND(COUNTIF(Control!$E$20:$E$100,$B21)=0,COUNTIF(Control!$E$20:$E$100,Z$2)=0),VISUM_Arterial_OD!Z21*Control!$B$3,0)</f>
        <v>0</v>
      </c>
      <c r="AA21">
        <f>IF(AND(COUNTIF(Control!$E$20:$E$100,$B21)=0,COUNTIF(Control!$E$20:$E$100,AA$2)=0),VISUM_Arterial_OD!AA21*Control!$B$3,0)</f>
        <v>5.2499541899999995</v>
      </c>
      <c r="AB21">
        <f>IF(AND(COUNTIF(Control!$E$20:$E$100,$B21)=0,COUNTIF(Control!$E$20:$E$100,AB$2)=0),VISUM_Arterial_OD!AB21*Control!$B$3,0)</f>
        <v>0</v>
      </c>
      <c r="AC21">
        <f>IF(AND(COUNTIF(Control!$E$20:$E$100,$B21)=0,COUNTIF(Control!$E$20:$E$100,AC$2)=0),VISUM_Arterial_OD!AC21*Control!$B$3,0)</f>
        <v>0</v>
      </c>
      <c r="AD21">
        <f>IF(AND(COUNTIF(Control!$E$20:$E$100,$B21)=0,COUNTIF(Control!$E$20:$E$100,AD$2)=0),VISUM_Arterial_OD!AD21*Control!$B$3,0)</f>
        <v>0</v>
      </c>
      <c r="AE21">
        <f>IF(AND(COUNTIF(Control!$E$20:$E$100,$B21)=0,COUNTIF(Control!$E$20:$E$100,AE$2)=0),VISUM_Arterial_OD!AE21*Control!$B$3,0)</f>
        <v>0</v>
      </c>
      <c r="AF21">
        <f>IF(AND(COUNTIF(Control!$E$20:$E$100,$B21)=0,COUNTIF(Control!$E$20:$E$100,AF$2)=0),VISUM_Arterial_OD!AF21*Control!$B$3,0)</f>
        <v>0</v>
      </c>
      <c r="AG21">
        <f>IF(AND(COUNTIF(Control!$E$20:$E$100,$B21)=0,COUNTIF(Control!$E$20:$E$100,AG$2)=0),VISUM_Arterial_OD!AG21*Control!$B$3,0)</f>
        <v>0</v>
      </c>
      <c r="AH21">
        <f>IF(AND(COUNTIF(Control!$E$20:$E$100,$B21)=0,COUNTIF(Control!$E$20:$E$100,AH$2)=0),VISUM_Arterial_OD!AH21*Control!$B$3,0)</f>
        <v>0</v>
      </c>
      <c r="AI21">
        <f>IF(AND(COUNTIF(Control!$E$20:$E$100,$B21)=0,COUNTIF(Control!$E$20:$E$100,AI$2)=0),VISUM_Arterial_OD!AI21*Control!$B$3,0)</f>
        <v>0</v>
      </c>
      <c r="AJ21">
        <f>IF(AND(COUNTIF(Control!$E$20:$E$100,$B21)=0,COUNTIF(Control!$E$20:$E$100,AJ$2)=0),VISUM_Arterial_OD!AJ21*Control!$B$3,0)</f>
        <v>0</v>
      </c>
      <c r="AK21">
        <f>IF(AND(COUNTIF(Control!$E$20:$E$100,$B21)=0,COUNTIF(Control!$E$20:$E$100,AK$2)=0),VISUM_Arterial_OD!AK21*Control!$B$3,0)</f>
        <v>0</v>
      </c>
      <c r="AL21">
        <f>IF(AND(COUNTIF(Control!$E$20:$E$100,$B21)=0,COUNTIF(Control!$E$20:$E$100,AL$2)=0),VISUM_Arterial_OD!AL21*Control!$B$3,0)</f>
        <v>0</v>
      </c>
      <c r="AM21">
        <f>IF(AND(COUNTIF(Control!$E$20:$E$100,$B21)=0,COUNTIF(Control!$E$20:$E$100,AM$2)=0),VISUM_Arterial_OD!AM21*Control!$B$3,0)</f>
        <v>0</v>
      </c>
      <c r="AN21">
        <f>IF(AND(COUNTIF(Control!$E$20:$E$100,$B21)=0,COUNTIF(Control!$E$20:$E$100,AN$2)=0),VISUM_Arterial_OD!AN21*Control!$B$3,0)</f>
        <v>0</v>
      </c>
      <c r="AO21">
        <f>IF(AND(COUNTIF(Control!$E$20:$E$100,$B21)=0,COUNTIF(Control!$E$20:$E$100,AO$2)=0),VISUM_Arterial_OD!AO21*Control!$B$3,0)</f>
        <v>0</v>
      </c>
      <c r="AP21">
        <f>IF(AND(COUNTIF(Control!$E$20:$E$100,$B21)=0,COUNTIF(Control!$E$20:$E$100,AP$2)=0),VISUM_Arterial_OD!AP21*Control!$B$3,0)</f>
        <v>0</v>
      </c>
      <c r="AQ21">
        <f>IF(AND(COUNTIF(Control!$E$20:$E$100,$B21)=0,COUNTIF(Control!$E$20:$E$100,AQ$2)=0),VISUM_Arterial_OD!AQ21*Control!$B$3,0)</f>
        <v>0</v>
      </c>
      <c r="AR21">
        <f>IF(AND(COUNTIF(Control!$E$20:$E$100,$B21)=0,COUNTIF(Control!$E$20:$E$100,AR$2)=0),VISUM_Arterial_OD!AR21*Control!$B$3,0)</f>
        <v>0</v>
      </c>
      <c r="AS21">
        <f>IF(AND(COUNTIF(Control!$E$20:$E$100,$B21)=0,COUNTIF(Control!$E$20:$E$100,AS$2)=0),VISUM_Arterial_OD!AS21*Control!$B$3,0)</f>
        <v>0</v>
      </c>
      <c r="AT21">
        <f>IF(AND(COUNTIF(Control!$E$20:$E$100,$B21)=0,COUNTIF(Control!$E$20:$E$100,AT$2)=0),VISUM_Arterial_OD!AT21*Control!$B$3,0)</f>
        <v>0</v>
      </c>
      <c r="AU21">
        <f>IF(AND(COUNTIF(Control!$E$20:$E$100,$B21)=0,COUNTIF(Control!$E$20:$E$100,AU$2)=0),VISUM_Arterial_OD!AU21*Control!$B$3,0)</f>
        <v>0</v>
      </c>
      <c r="AV21">
        <f>IF(AND(COUNTIF(Control!$E$20:$E$100,$B21)=0,COUNTIF(Control!$E$20:$E$100,AV$2)=0),VISUM_Arterial_OD!AV21*Control!$B$3,0)</f>
        <v>0</v>
      </c>
      <c r="AW21">
        <f>IF(AND(COUNTIF(Control!$E$20:$E$100,$B21)=0,COUNTIF(Control!$E$20:$E$100,AW$2)=0),VISUM_Arterial_OD!AW21*Control!$B$3,0)</f>
        <v>0</v>
      </c>
      <c r="AX21">
        <f>IF(AND(COUNTIF(Control!$E$20:$E$100,$B21)=0,COUNTIF(Control!$E$20:$E$100,AX$2)=0),VISUM_Arterial_OD!AX21*Control!$B$3,0)</f>
        <v>0</v>
      </c>
      <c r="AY21">
        <f>IF(AND(COUNTIF(Control!$E$20:$E$100,$B21)=0,COUNTIF(Control!$E$20:$E$100,AY$2)=0),VISUM_Arterial_OD!AY21*Control!$B$3,0)</f>
        <v>0</v>
      </c>
      <c r="AZ21">
        <f>IF(AND(COUNTIF(Control!$E$20:$E$100,$B21)=0,COUNTIF(Control!$E$20:$E$100,AZ$2)=0),VISUM_Arterial_OD!AZ21*Control!$B$3,0)</f>
        <v>0</v>
      </c>
      <c r="BA21">
        <f>IF(AND(COUNTIF(Control!$E$20:$E$100,$B21)=0,COUNTIF(Control!$E$20:$E$100,BA$2)=0),VISUM_Arterial_OD!BA21*Control!$B$3,0)</f>
        <v>0</v>
      </c>
      <c r="BB21">
        <f>IF(AND(COUNTIF(Control!$E$20:$E$100,$B21)=0,COUNTIF(Control!$E$20:$E$100,BB$2)=0),VISUM_Arterial_OD!BB21*Control!$B$3,0)</f>
        <v>0</v>
      </c>
      <c r="BC21">
        <f>IF(AND(COUNTIF(Control!$E$20:$E$100,$B21)=0,COUNTIF(Control!$E$20:$E$100,BC$2)=0),VISUM_Arterial_OD!BC21*Control!$B$3,0)</f>
        <v>0</v>
      </c>
      <c r="BD21">
        <f>IF(AND(COUNTIF(Control!$E$20:$E$100,$B21)=0,COUNTIF(Control!$E$20:$E$100,BD$2)=0),VISUM_Arterial_OD!BD21*Control!$B$3,0)</f>
        <v>0</v>
      </c>
      <c r="BE21">
        <f>IF(AND(COUNTIF(Control!$E$20:$E$100,$B21)=0,COUNTIF(Control!$E$20:$E$100,BE$2)=0),VISUM_Arterial_OD!BE21*Control!$B$3,0)</f>
        <v>1.9929850799999997</v>
      </c>
      <c r="BF21">
        <f>IF(AND(COUNTIF(Control!$E$20:$E$100,$B21)=0,COUNTIF(Control!$E$20:$E$100,BF$2)=0),VISUM_Arterial_OD!BF21*Control!$B$3,0)</f>
        <v>0</v>
      </c>
      <c r="BG21">
        <f>IF(AND(COUNTIF(Control!$E$20:$E$100,$B21)=0,COUNTIF(Control!$E$20:$E$100,BG$2)=0),VISUM_Arterial_OD!BG21*Control!$B$3,0)</f>
        <v>0</v>
      </c>
      <c r="BH21">
        <f>IF(AND(COUNTIF(Control!$E$20:$E$100,$B21)=0,COUNTIF(Control!$E$20:$E$100,BH$2)=0),VISUM_Arterial_OD!BH21*Control!$B$3,0)</f>
        <v>0</v>
      </c>
      <c r="BI21">
        <f>IF(AND(COUNTIF(Control!$E$20:$E$100,$B21)=0,COUNTIF(Control!$E$20:$E$100,BI$2)=0),VISUM_Arterial_OD!BI21*Control!$B$3,0)</f>
        <v>0</v>
      </c>
      <c r="BJ21">
        <f>IF(AND(COUNTIF(Control!$E$20:$E$100,$B21)=0,COUNTIF(Control!$E$20:$E$100,BJ$2)=0),VISUM_Arterial_OD!BJ21*Control!$B$3,0)</f>
        <v>0</v>
      </c>
      <c r="BK21">
        <f>IF(AND(COUNTIF(Control!$E$20:$E$100,$B21)=0,COUNTIF(Control!$E$20:$E$100,BK$2)=0),VISUM_Arterial_OD!BK21*Control!$B$3,0)</f>
        <v>0</v>
      </c>
      <c r="BL21">
        <f>IF(AND(COUNTIF(Control!$E$20:$E$100,$B21)=0,COUNTIF(Control!$E$20:$E$100,BL$2)=0),VISUM_Arterial_OD!BL21*Control!$B$3,0)</f>
        <v>0</v>
      </c>
      <c r="BM21">
        <f>IF(AND(COUNTIF(Control!$E$20:$E$100,$B21)=0,COUNTIF(Control!$E$20:$E$100,BM$2)=0),VISUM_Arterial_OD!BM21*Control!$B$3,0)</f>
        <v>0</v>
      </c>
      <c r="BN21">
        <f>IF(AND(COUNTIF(Control!$E$20:$E$100,$B21)=0,COUNTIF(Control!$E$20:$E$100,BN$2)=0),VISUM_Arterial_OD!BN21*Control!$B$3,0)</f>
        <v>0</v>
      </c>
      <c r="BO21">
        <f>IF(AND(COUNTIF(Control!$E$20:$E$100,$B21)=0,COUNTIF(Control!$E$20:$E$100,BO$2)=0),VISUM_Arterial_OD!BO21*Control!$B$3,0)</f>
        <v>0</v>
      </c>
      <c r="BP21">
        <f>IF(AND(COUNTIF(Control!$E$20:$E$100,$B21)=0,COUNTIF(Control!$E$20:$E$100,BP$2)=0),VISUM_Arterial_OD!BP21*Control!$B$3,0)</f>
        <v>0</v>
      </c>
      <c r="BQ21">
        <f>IF(AND(COUNTIF(Control!$E$20:$E$100,$B21)=0,COUNTIF(Control!$E$20:$E$100,BQ$2)=0),VISUM_Arterial_OD!BQ21*Control!$B$3,0)</f>
        <v>0</v>
      </c>
    </row>
    <row r="22" spans="1:69" x14ac:dyDescent="0.25">
      <c r="A22" s="5">
        <f>IF(VLOOKUP(B22,Arterial_Zone_Link_Mapping!$A:$C,2,FALSE)&lt;&gt;"",VLOOKUP(B22,Arterial_Zone_Link_Mapping!$A:$C,2,FALSE),"")</f>
        <v>20057</v>
      </c>
      <c r="B22" s="5">
        <v>42</v>
      </c>
      <c r="C22">
        <f>IF(AND(COUNTIF(Control!$E$20:$E$100,$B22)=0,COUNTIF(Control!$E$20:$E$100,C$2)=0),VISUM_Arterial_OD!C22*Control!$B$3,0)</f>
        <v>0</v>
      </c>
      <c r="D22">
        <f>IF(AND(COUNTIF(Control!$E$20:$E$100,$B22)=0,COUNTIF(Control!$E$20:$E$100,D$2)=0),VISUM_Arterial_OD!D22*Control!$B$3,0)</f>
        <v>0</v>
      </c>
      <c r="E22">
        <f>IF(AND(COUNTIF(Control!$E$20:$E$100,$B22)=0,COUNTIF(Control!$E$20:$E$100,E$2)=0),VISUM_Arterial_OD!E22*Control!$B$3,0)</f>
        <v>0</v>
      </c>
      <c r="F22">
        <f>IF(AND(COUNTIF(Control!$E$20:$E$100,$B22)=0,COUNTIF(Control!$E$20:$E$100,F$2)=0),VISUM_Arterial_OD!F22*Control!$B$3,0)</f>
        <v>0</v>
      </c>
      <c r="G22">
        <f>IF(AND(COUNTIF(Control!$E$20:$E$100,$B22)=0,COUNTIF(Control!$E$20:$E$100,G$2)=0),VISUM_Arterial_OD!G22*Control!$B$3,0)</f>
        <v>2.0250572399999998</v>
      </c>
      <c r="H22">
        <f>IF(AND(COUNTIF(Control!$E$20:$E$100,$B22)=0,COUNTIF(Control!$E$20:$E$100,H$2)=0),VISUM_Arterial_OD!H22*Control!$B$3,0)</f>
        <v>0</v>
      </c>
      <c r="I22">
        <f>IF(AND(COUNTIF(Control!$E$20:$E$100,$B22)=0,COUNTIF(Control!$E$20:$E$100,I$2)=0),VISUM_Arterial_OD!I22*Control!$B$3,0)</f>
        <v>0</v>
      </c>
      <c r="J22">
        <f>IF(AND(COUNTIF(Control!$E$20:$E$100,$B22)=0,COUNTIF(Control!$E$20:$E$100,J$2)=0),VISUM_Arterial_OD!J22*Control!$B$3,0)</f>
        <v>0</v>
      </c>
      <c r="K22">
        <f>IF(AND(COUNTIF(Control!$E$20:$E$100,$B22)=0,COUNTIF(Control!$E$20:$E$100,K$2)=0),VISUM_Arterial_OD!K22*Control!$B$3,0)</f>
        <v>0</v>
      </c>
      <c r="L22">
        <f>IF(AND(COUNTIF(Control!$E$20:$E$100,$B22)=0,COUNTIF(Control!$E$20:$E$100,L$2)=0),VISUM_Arterial_OD!L22*Control!$B$3,0)</f>
        <v>0</v>
      </c>
      <c r="M22">
        <f>IF(AND(COUNTIF(Control!$E$20:$E$100,$B22)=0,COUNTIF(Control!$E$20:$E$100,M$2)=0),VISUM_Arterial_OD!M22*Control!$B$3,0)</f>
        <v>0</v>
      </c>
      <c r="N22">
        <f>IF(AND(COUNTIF(Control!$E$20:$E$100,$B22)=0,COUNTIF(Control!$E$20:$E$100,N$2)=0),VISUM_Arterial_OD!N22*Control!$B$3,0)</f>
        <v>0</v>
      </c>
      <c r="O22">
        <f>IF(AND(COUNTIF(Control!$E$20:$E$100,$B22)=0,COUNTIF(Control!$E$20:$E$100,O$2)=0),VISUM_Arterial_OD!O22*Control!$B$3,0)</f>
        <v>0</v>
      </c>
      <c r="P22">
        <f>IF(AND(COUNTIF(Control!$E$20:$E$100,$B22)=0,COUNTIF(Control!$E$20:$E$100,P$2)=0),VISUM_Arterial_OD!P22*Control!$B$3,0)</f>
        <v>0</v>
      </c>
      <c r="Q22">
        <f>IF(AND(COUNTIF(Control!$E$20:$E$100,$B22)=0,COUNTIF(Control!$E$20:$E$100,Q$2)=0),VISUM_Arterial_OD!Q22*Control!$B$3,0)</f>
        <v>0.64394798999999991</v>
      </c>
      <c r="R22">
        <f>IF(AND(COUNTIF(Control!$E$20:$E$100,$B22)=0,COUNTIF(Control!$E$20:$E$100,R$2)=0),VISUM_Arterial_OD!R22*Control!$B$3,0)</f>
        <v>0</v>
      </c>
      <c r="S22">
        <f>IF(AND(COUNTIF(Control!$E$20:$E$100,$B22)=0,COUNTIF(Control!$E$20:$E$100,S$2)=0),VISUM_Arterial_OD!S22*Control!$B$3,0)</f>
        <v>0</v>
      </c>
      <c r="T22">
        <f>IF(AND(COUNTIF(Control!$E$20:$E$100,$B22)=0,COUNTIF(Control!$E$20:$E$100,T$2)=0),VISUM_Arterial_OD!T22*Control!$B$3,0)</f>
        <v>0</v>
      </c>
      <c r="U22">
        <f>IF(AND(COUNTIF(Control!$E$20:$E$100,$B22)=0,COUNTIF(Control!$E$20:$E$100,U$2)=0),VISUM_Arterial_OD!U22*Control!$B$3,0)</f>
        <v>1.3482266099999998</v>
      </c>
      <c r="V22">
        <f>IF(AND(COUNTIF(Control!$E$20:$E$100,$B22)=0,COUNTIF(Control!$E$20:$E$100,V$2)=0),VISUM_Arterial_OD!V22*Control!$B$3,0)</f>
        <v>0</v>
      </c>
      <c r="W22">
        <f>IF(AND(COUNTIF(Control!$E$20:$E$100,$B22)=0,COUNTIF(Control!$E$20:$E$100,W$2)=0),VISUM_Arterial_OD!W22*Control!$B$3,0)</f>
        <v>9.1499201400000008</v>
      </c>
      <c r="X22">
        <f>IF(AND(COUNTIF(Control!$E$20:$E$100,$B22)=0,COUNTIF(Control!$E$20:$E$100,X$2)=0),VISUM_Arterial_OD!X22*Control!$B$3,0)</f>
        <v>0.29999738999999997</v>
      </c>
      <c r="Y22">
        <f>IF(AND(COUNTIF(Control!$E$20:$E$100,$B22)=0,COUNTIF(Control!$E$20:$E$100,Y$2)=0),VISUM_Arterial_OD!Y22*Control!$B$3,0)</f>
        <v>0</v>
      </c>
      <c r="Z22">
        <f>IF(AND(COUNTIF(Control!$E$20:$E$100,$B22)=0,COUNTIF(Control!$E$20:$E$100,Z$2)=0),VISUM_Arterial_OD!Z22*Control!$B$3,0)</f>
        <v>0</v>
      </c>
      <c r="AA22">
        <f>IF(AND(COUNTIF(Control!$E$20:$E$100,$B22)=0,COUNTIF(Control!$E$20:$E$100,AA$2)=0),VISUM_Arterial_OD!AA22*Control!$B$3,0)</f>
        <v>2.4021666599999998</v>
      </c>
      <c r="AB22">
        <f>IF(AND(COUNTIF(Control!$E$20:$E$100,$B22)=0,COUNTIF(Control!$E$20:$E$100,AB$2)=0),VISUM_Arterial_OD!AB22*Control!$B$3,0)</f>
        <v>0</v>
      </c>
      <c r="AC22">
        <f>IF(AND(COUNTIF(Control!$E$20:$E$100,$B22)=0,COUNTIF(Control!$E$20:$E$100,AC$2)=0),VISUM_Arterial_OD!AC22*Control!$B$3,0)</f>
        <v>0</v>
      </c>
      <c r="AD22">
        <f>IF(AND(COUNTIF(Control!$E$20:$E$100,$B22)=0,COUNTIF(Control!$E$20:$E$100,AD$2)=0),VISUM_Arterial_OD!AD22*Control!$B$3,0)</f>
        <v>0</v>
      </c>
      <c r="AE22">
        <f>IF(AND(COUNTIF(Control!$E$20:$E$100,$B22)=0,COUNTIF(Control!$E$20:$E$100,AE$2)=0),VISUM_Arterial_OD!AE22*Control!$B$3,0)</f>
        <v>0</v>
      </c>
      <c r="AF22">
        <f>IF(AND(COUNTIF(Control!$E$20:$E$100,$B22)=0,COUNTIF(Control!$E$20:$E$100,AF$2)=0),VISUM_Arterial_OD!AF22*Control!$B$3,0)</f>
        <v>0</v>
      </c>
      <c r="AG22">
        <f>IF(AND(COUNTIF(Control!$E$20:$E$100,$B22)=0,COUNTIF(Control!$E$20:$E$100,AG$2)=0),VISUM_Arterial_OD!AG22*Control!$B$3,0)</f>
        <v>0</v>
      </c>
      <c r="AH22">
        <f>IF(AND(COUNTIF(Control!$E$20:$E$100,$B22)=0,COUNTIF(Control!$E$20:$E$100,AH$2)=0),VISUM_Arterial_OD!AH22*Control!$B$3,0)</f>
        <v>0</v>
      </c>
      <c r="AI22">
        <f>IF(AND(COUNTIF(Control!$E$20:$E$100,$B22)=0,COUNTIF(Control!$E$20:$E$100,AI$2)=0),VISUM_Arterial_OD!AI22*Control!$B$3,0)</f>
        <v>0</v>
      </c>
      <c r="AJ22">
        <f>IF(AND(COUNTIF(Control!$E$20:$E$100,$B22)=0,COUNTIF(Control!$E$20:$E$100,AJ$2)=0),VISUM_Arterial_OD!AJ22*Control!$B$3,0)</f>
        <v>0</v>
      </c>
      <c r="AK22">
        <f>IF(AND(COUNTIF(Control!$E$20:$E$100,$B22)=0,COUNTIF(Control!$E$20:$E$100,AK$2)=0),VISUM_Arterial_OD!AK22*Control!$B$3,0)</f>
        <v>0</v>
      </c>
      <c r="AL22">
        <f>IF(AND(COUNTIF(Control!$E$20:$E$100,$B22)=0,COUNTIF(Control!$E$20:$E$100,AL$2)=0),VISUM_Arterial_OD!AL22*Control!$B$3,0)</f>
        <v>0</v>
      </c>
      <c r="AM22">
        <f>IF(AND(COUNTIF(Control!$E$20:$E$100,$B22)=0,COUNTIF(Control!$E$20:$E$100,AM$2)=0),VISUM_Arterial_OD!AM22*Control!$B$3,0)</f>
        <v>0</v>
      </c>
      <c r="AN22">
        <f>IF(AND(COUNTIF(Control!$E$20:$E$100,$B22)=0,COUNTIF(Control!$E$20:$E$100,AN$2)=0),VISUM_Arterial_OD!AN22*Control!$B$3,0)</f>
        <v>0</v>
      </c>
      <c r="AO22">
        <f>IF(AND(COUNTIF(Control!$E$20:$E$100,$B22)=0,COUNTIF(Control!$E$20:$E$100,AO$2)=0),VISUM_Arterial_OD!AO22*Control!$B$3,0)</f>
        <v>0</v>
      </c>
      <c r="AP22">
        <f>IF(AND(COUNTIF(Control!$E$20:$E$100,$B22)=0,COUNTIF(Control!$E$20:$E$100,AP$2)=0),VISUM_Arterial_OD!AP22*Control!$B$3,0)</f>
        <v>0</v>
      </c>
      <c r="AQ22">
        <f>IF(AND(COUNTIF(Control!$E$20:$E$100,$B22)=0,COUNTIF(Control!$E$20:$E$100,AQ$2)=0),VISUM_Arterial_OD!AQ22*Control!$B$3,0)</f>
        <v>0</v>
      </c>
      <c r="AR22">
        <f>IF(AND(COUNTIF(Control!$E$20:$E$100,$B22)=0,COUNTIF(Control!$E$20:$E$100,AR$2)=0),VISUM_Arterial_OD!AR22*Control!$B$3,0)</f>
        <v>0</v>
      </c>
      <c r="AS22">
        <f>IF(AND(COUNTIF(Control!$E$20:$E$100,$B22)=0,COUNTIF(Control!$E$20:$E$100,AS$2)=0),VISUM_Arterial_OD!AS22*Control!$B$3,0)</f>
        <v>0</v>
      </c>
      <c r="AT22">
        <f>IF(AND(COUNTIF(Control!$E$20:$E$100,$B22)=0,COUNTIF(Control!$E$20:$E$100,AT$2)=0),VISUM_Arterial_OD!AT22*Control!$B$3,0)</f>
        <v>0</v>
      </c>
      <c r="AU22">
        <f>IF(AND(COUNTIF(Control!$E$20:$E$100,$B22)=0,COUNTIF(Control!$E$20:$E$100,AU$2)=0),VISUM_Arterial_OD!AU22*Control!$B$3,0)</f>
        <v>0</v>
      </c>
      <c r="AV22">
        <f>IF(AND(COUNTIF(Control!$E$20:$E$100,$B22)=0,COUNTIF(Control!$E$20:$E$100,AV$2)=0),VISUM_Arterial_OD!AV22*Control!$B$3,0)</f>
        <v>0</v>
      </c>
      <c r="AW22">
        <f>IF(AND(COUNTIF(Control!$E$20:$E$100,$B22)=0,COUNTIF(Control!$E$20:$E$100,AW$2)=0),VISUM_Arterial_OD!AW22*Control!$B$3,0)</f>
        <v>0</v>
      </c>
      <c r="AX22">
        <f>IF(AND(COUNTIF(Control!$E$20:$E$100,$B22)=0,COUNTIF(Control!$E$20:$E$100,AX$2)=0),VISUM_Arterial_OD!AX22*Control!$B$3,0)</f>
        <v>0</v>
      </c>
      <c r="AY22">
        <f>IF(AND(COUNTIF(Control!$E$20:$E$100,$B22)=0,COUNTIF(Control!$E$20:$E$100,AY$2)=0),VISUM_Arterial_OD!AY22*Control!$B$3,0)</f>
        <v>0</v>
      </c>
      <c r="AZ22">
        <f>IF(AND(COUNTIF(Control!$E$20:$E$100,$B22)=0,COUNTIF(Control!$E$20:$E$100,AZ$2)=0),VISUM_Arterial_OD!AZ22*Control!$B$3,0)</f>
        <v>0</v>
      </c>
      <c r="BA22">
        <f>IF(AND(COUNTIF(Control!$E$20:$E$100,$B22)=0,COUNTIF(Control!$E$20:$E$100,BA$2)=0),VISUM_Arterial_OD!BA22*Control!$B$3,0)</f>
        <v>0</v>
      </c>
      <c r="BB22">
        <f>IF(AND(COUNTIF(Control!$E$20:$E$100,$B22)=0,COUNTIF(Control!$E$20:$E$100,BB$2)=0),VISUM_Arterial_OD!BB22*Control!$B$3,0)</f>
        <v>0</v>
      </c>
      <c r="BC22">
        <f>IF(AND(COUNTIF(Control!$E$20:$E$100,$B22)=0,COUNTIF(Control!$E$20:$E$100,BC$2)=0),VISUM_Arterial_OD!BC22*Control!$B$3,0)</f>
        <v>0</v>
      </c>
      <c r="BD22">
        <f>IF(AND(COUNTIF(Control!$E$20:$E$100,$B22)=0,COUNTIF(Control!$E$20:$E$100,BD$2)=0),VISUM_Arterial_OD!BD22*Control!$B$3,0)</f>
        <v>0</v>
      </c>
      <c r="BE22">
        <f>IF(AND(COUNTIF(Control!$E$20:$E$100,$B22)=0,COUNTIF(Control!$E$20:$E$100,BE$2)=0),VISUM_Arterial_OD!BE22*Control!$B$3,0)</f>
        <v>0.1805985</v>
      </c>
      <c r="BF22">
        <f>IF(AND(COUNTIF(Control!$E$20:$E$100,$B22)=0,COUNTIF(Control!$E$20:$E$100,BF$2)=0),VISUM_Arterial_OD!BF22*Control!$B$3,0)</f>
        <v>0</v>
      </c>
      <c r="BG22">
        <f>IF(AND(COUNTIF(Control!$E$20:$E$100,$B22)=0,COUNTIF(Control!$E$20:$E$100,BG$2)=0),VISUM_Arterial_OD!BG22*Control!$B$3,0)</f>
        <v>0</v>
      </c>
      <c r="BH22">
        <f>IF(AND(COUNTIF(Control!$E$20:$E$100,$B22)=0,COUNTIF(Control!$E$20:$E$100,BH$2)=0),VISUM_Arterial_OD!BH22*Control!$B$3,0)</f>
        <v>0</v>
      </c>
      <c r="BI22">
        <f>IF(AND(COUNTIF(Control!$E$20:$E$100,$B22)=0,COUNTIF(Control!$E$20:$E$100,BI$2)=0),VISUM_Arterial_OD!BI22*Control!$B$3,0)</f>
        <v>0</v>
      </c>
      <c r="BJ22">
        <f>IF(AND(COUNTIF(Control!$E$20:$E$100,$B22)=0,COUNTIF(Control!$E$20:$E$100,BJ$2)=0),VISUM_Arterial_OD!BJ22*Control!$B$3,0)</f>
        <v>0</v>
      </c>
      <c r="BK22">
        <f>IF(AND(COUNTIF(Control!$E$20:$E$100,$B22)=0,COUNTIF(Control!$E$20:$E$100,BK$2)=0),VISUM_Arterial_OD!BK22*Control!$B$3,0)</f>
        <v>0</v>
      </c>
      <c r="BL22">
        <f>IF(AND(COUNTIF(Control!$E$20:$E$100,$B22)=0,COUNTIF(Control!$E$20:$E$100,BL$2)=0),VISUM_Arterial_OD!BL22*Control!$B$3,0)</f>
        <v>0</v>
      </c>
      <c r="BM22">
        <f>IF(AND(COUNTIF(Control!$E$20:$E$100,$B22)=0,COUNTIF(Control!$E$20:$E$100,BM$2)=0),VISUM_Arterial_OD!BM22*Control!$B$3,0)</f>
        <v>0</v>
      </c>
      <c r="BN22">
        <f>IF(AND(COUNTIF(Control!$E$20:$E$100,$B22)=0,COUNTIF(Control!$E$20:$E$100,BN$2)=0),VISUM_Arterial_OD!BN22*Control!$B$3,0)</f>
        <v>0</v>
      </c>
      <c r="BO22">
        <f>IF(AND(COUNTIF(Control!$E$20:$E$100,$B22)=0,COUNTIF(Control!$E$20:$E$100,BO$2)=0),VISUM_Arterial_OD!BO22*Control!$B$3,0)</f>
        <v>0</v>
      </c>
      <c r="BP22">
        <f>IF(AND(COUNTIF(Control!$E$20:$E$100,$B22)=0,COUNTIF(Control!$E$20:$E$100,BP$2)=0),VISUM_Arterial_OD!BP22*Control!$B$3,0)</f>
        <v>0</v>
      </c>
      <c r="BQ22">
        <f>IF(AND(COUNTIF(Control!$E$20:$E$100,$B22)=0,COUNTIF(Control!$E$20:$E$100,BQ$2)=0),VISUM_Arterial_OD!BQ22*Control!$B$3,0)</f>
        <v>0</v>
      </c>
    </row>
    <row r="23" spans="1:69" x14ac:dyDescent="0.25">
      <c r="A23" s="5">
        <f>IF(VLOOKUP(B23,Arterial_Zone_Link_Mapping!$A:$C,2,FALSE)&lt;&gt;"",VLOOKUP(B23,Arterial_Zone_Link_Mapping!$A:$C,2,FALSE),"")</f>
        <v>56</v>
      </c>
      <c r="B23" s="5">
        <v>43</v>
      </c>
      <c r="C23">
        <f>IF(AND(COUNTIF(Control!$E$20:$E$100,$B23)=0,COUNTIF(Control!$E$20:$E$100,C$2)=0),VISUM_Arterial_OD!C23*Control!$B$3,0)</f>
        <v>0</v>
      </c>
      <c r="D23">
        <f>IF(AND(COUNTIF(Control!$E$20:$E$100,$B23)=0,COUNTIF(Control!$E$20:$E$100,D$2)=0),VISUM_Arterial_OD!D23*Control!$B$3,0)</f>
        <v>0</v>
      </c>
      <c r="E23">
        <f>IF(AND(COUNTIF(Control!$E$20:$E$100,$B23)=0,COUNTIF(Control!$E$20:$E$100,E$2)=0),VISUM_Arterial_OD!E23*Control!$B$3,0)</f>
        <v>0</v>
      </c>
      <c r="F23">
        <f>IF(AND(COUNTIF(Control!$E$20:$E$100,$B23)=0,COUNTIF(Control!$E$20:$E$100,F$2)=0),VISUM_Arterial_OD!F23*Control!$B$3,0)</f>
        <v>0</v>
      </c>
      <c r="G23">
        <f>IF(AND(COUNTIF(Control!$E$20:$E$100,$B23)=0,COUNTIF(Control!$E$20:$E$100,G$2)=0),VISUM_Arterial_OD!G23*Control!$B$3,0)</f>
        <v>2.51290404</v>
      </c>
      <c r="H23">
        <f>IF(AND(COUNTIF(Control!$E$20:$E$100,$B23)=0,COUNTIF(Control!$E$20:$E$100,H$2)=0),VISUM_Arterial_OD!H23*Control!$B$3,0)</f>
        <v>0</v>
      </c>
      <c r="I23">
        <f>IF(AND(COUNTIF(Control!$E$20:$E$100,$B23)=0,COUNTIF(Control!$E$20:$E$100,I$2)=0),VISUM_Arterial_OD!I23*Control!$B$3,0)</f>
        <v>0</v>
      </c>
      <c r="J23">
        <f>IF(AND(COUNTIF(Control!$E$20:$E$100,$B23)=0,COUNTIF(Control!$E$20:$E$100,J$2)=0),VISUM_Arterial_OD!J23*Control!$B$3,0)</f>
        <v>0</v>
      </c>
      <c r="K23">
        <f>IF(AND(COUNTIF(Control!$E$20:$E$100,$B23)=0,COUNTIF(Control!$E$20:$E$100,K$2)=0),VISUM_Arterial_OD!K23*Control!$B$3,0)</f>
        <v>0</v>
      </c>
      <c r="L23">
        <f>IF(AND(COUNTIF(Control!$E$20:$E$100,$B23)=0,COUNTIF(Control!$E$20:$E$100,L$2)=0),VISUM_Arterial_OD!L23*Control!$B$3,0)</f>
        <v>0</v>
      </c>
      <c r="M23">
        <f>IF(AND(COUNTIF(Control!$E$20:$E$100,$B23)=0,COUNTIF(Control!$E$20:$E$100,M$2)=0),VISUM_Arterial_OD!M23*Control!$B$3,0)</f>
        <v>0</v>
      </c>
      <c r="N23">
        <f>IF(AND(COUNTIF(Control!$E$20:$E$100,$B23)=0,COUNTIF(Control!$E$20:$E$100,N$2)=0),VISUM_Arterial_OD!N23*Control!$B$3,0)</f>
        <v>0</v>
      </c>
      <c r="O23">
        <f>IF(AND(COUNTIF(Control!$E$20:$E$100,$B23)=0,COUNTIF(Control!$E$20:$E$100,O$2)=0),VISUM_Arterial_OD!O23*Control!$B$3,0)</f>
        <v>0</v>
      </c>
      <c r="P23">
        <f>IF(AND(COUNTIF(Control!$E$20:$E$100,$B23)=0,COUNTIF(Control!$E$20:$E$100,P$2)=0),VISUM_Arterial_OD!P23*Control!$B$3,0)</f>
        <v>0</v>
      </c>
      <c r="Q23">
        <f>IF(AND(COUNTIF(Control!$E$20:$E$100,$B23)=0,COUNTIF(Control!$E$20:$E$100,Q$2)=0),VISUM_Arterial_OD!Q23*Control!$B$3,0)</f>
        <v>8.6867670000000008E-2</v>
      </c>
      <c r="R23">
        <f>IF(AND(COUNTIF(Control!$E$20:$E$100,$B23)=0,COUNTIF(Control!$E$20:$E$100,R$2)=0),VISUM_Arterial_OD!R23*Control!$B$3,0)</f>
        <v>0</v>
      </c>
      <c r="S23">
        <f>IF(AND(COUNTIF(Control!$E$20:$E$100,$B23)=0,COUNTIF(Control!$E$20:$E$100,S$2)=0),VISUM_Arterial_OD!S23*Control!$B$3,0)</f>
        <v>0</v>
      </c>
      <c r="T23">
        <f>IF(AND(COUNTIF(Control!$E$20:$E$100,$B23)=0,COUNTIF(Control!$E$20:$E$100,T$2)=0),VISUM_Arterial_OD!T23*Control!$B$3,0)</f>
        <v>0</v>
      </c>
      <c r="U23">
        <f>IF(AND(COUNTIF(Control!$E$20:$E$100,$B23)=0,COUNTIF(Control!$E$20:$E$100,U$2)=0),VISUM_Arterial_OD!U23*Control!$B$3,0)</f>
        <v>2.9032191899999997</v>
      </c>
      <c r="V23">
        <f>IF(AND(COUNTIF(Control!$E$20:$E$100,$B23)=0,COUNTIF(Control!$E$20:$E$100,V$2)=0),VISUM_Arterial_OD!V23*Control!$B$3,0)</f>
        <v>10.499908379999999</v>
      </c>
      <c r="W23">
        <f>IF(AND(COUNTIF(Control!$E$20:$E$100,$B23)=0,COUNTIF(Control!$E$20:$E$100,W$2)=0),VISUM_Arterial_OD!W23*Control!$B$3,0)</f>
        <v>0</v>
      </c>
      <c r="X23">
        <f>IF(AND(COUNTIF(Control!$E$20:$E$100,$B23)=0,COUNTIF(Control!$E$20:$E$100,X$2)=0),VISUM_Arterial_OD!X23*Control!$B$3,0)</f>
        <v>0.29999738999999997</v>
      </c>
      <c r="Y23">
        <f>IF(AND(COUNTIF(Control!$E$20:$E$100,$B23)=0,COUNTIF(Control!$E$20:$E$100,Y$2)=0),VISUM_Arterial_OD!Y23*Control!$B$3,0)</f>
        <v>0</v>
      </c>
      <c r="Z23">
        <f>IF(AND(COUNTIF(Control!$E$20:$E$100,$B23)=0,COUNTIF(Control!$E$20:$E$100,Z$2)=0),VISUM_Arterial_OD!Z23*Control!$B$3,0)</f>
        <v>0</v>
      </c>
      <c r="AA23">
        <f>IF(AND(COUNTIF(Control!$E$20:$E$100,$B23)=0,COUNTIF(Control!$E$20:$E$100,AA$2)=0),VISUM_Arterial_OD!AA23*Control!$B$3,0)</f>
        <v>0.97145574000000001</v>
      </c>
      <c r="AB23">
        <f>IF(AND(COUNTIF(Control!$E$20:$E$100,$B23)=0,COUNTIF(Control!$E$20:$E$100,AB$2)=0),VISUM_Arterial_OD!AB23*Control!$B$3,0)</f>
        <v>0</v>
      </c>
      <c r="AC23">
        <f>IF(AND(COUNTIF(Control!$E$20:$E$100,$B23)=0,COUNTIF(Control!$E$20:$E$100,AC$2)=0),VISUM_Arterial_OD!AC23*Control!$B$3,0)</f>
        <v>0</v>
      </c>
      <c r="AD23">
        <f>IF(AND(COUNTIF(Control!$E$20:$E$100,$B23)=0,COUNTIF(Control!$E$20:$E$100,AD$2)=0),VISUM_Arterial_OD!AD23*Control!$B$3,0)</f>
        <v>0</v>
      </c>
      <c r="AE23">
        <f>IF(AND(COUNTIF(Control!$E$20:$E$100,$B23)=0,COUNTIF(Control!$E$20:$E$100,AE$2)=0),VISUM_Arterial_OD!AE23*Control!$B$3,0)</f>
        <v>0</v>
      </c>
      <c r="AF23">
        <f>IF(AND(COUNTIF(Control!$E$20:$E$100,$B23)=0,COUNTIF(Control!$E$20:$E$100,AF$2)=0),VISUM_Arterial_OD!AF23*Control!$B$3,0)</f>
        <v>0</v>
      </c>
      <c r="AG23">
        <f>IF(AND(COUNTIF(Control!$E$20:$E$100,$B23)=0,COUNTIF(Control!$E$20:$E$100,AG$2)=0),VISUM_Arterial_OD!AG23*Control!$B$3,0)</f>
        <v>0</v>
      </c>
      <c r="AH23">
        <f>IF(AND(COUNTIF(Control!$E$20:$E$100,$B23)=0,COUNTIF(Control!$E$20:$E$100,AH$2)=0),VISUM_Arterial_OD!AH23*Control!$B$3,0)</f>
        <v>0</v>
      </c>
      <c r="AI23">
        <f>IF(AND(COUNTIF(Control!$E$20:$E$100,$B23)=0,COUNTIF(Control!$E$20:$E$100,AI$2)=0),VISUM_Arterial_OD!AI23*Control!$B$3,0)</f>
        <v>0</v>
      </c>
      <c r="AJ23">
        <f>IF(AND(COUNTIF(Control!$E$20:$E$100,$B23)=0,COUNTIF(Control!$E$20:$E$100,AJ$2)=0),VISUM_Arterial_OD!AJ23*Control!$B$3,0)</f>
        <v>0</v>
      </c>
      <c r="AK23">
        <f>IF(AND(COUNTIF(Control!$E$20:$E$100,$B23)=0,COUNTIF(Control!$E$20:$E$100,AK$2)=0),VISUM_Arterial_OD!AK23*Control!$B$3,0)</f>
        <v>0</v>
      </c>
      <c r="AL23">
        <f>IF(AND(COUNTIF(Control!$E$20:$E$100,$B23)=0,COUNTIF(Control!$E$20:$E$100,AL$2)=0),VISUM_Arterial_OD!AL23*Control!$B$3,0)</f>
        <v>0</v>
      </c>
      <c r="AM23">
        <f>IF(AND(COUNTIF(Control!$E$20:$E$100,$B23)=0,COUNTIF(Control!$E$20:$E$100,AM$2)=0),VISUM_Arterial_OD!AM23*Control!$B$3,0)</f>
        <v>0</v>
      </c>
      <c r="AN23">
        <f>IF(AND(COUNTIF(Control!$E$20:$E$100,$B23)=0,COUNTIF(Control!$E$20:$E$100,AN$2)=0),VISUM_Arterial_OD!AN23*Control!$B$3,0)</f>
        <v>0</v>
      </c>
      <c r="AO23">
        <f>IF(AND(COUNTIF(Control!$E$20:$E$100,$B23)=0,COUNTIF(Control!$E$20:$E$100,AO$2)=0),VISUM_Arterial_OD!AO23*Control!$B$3,0)</f>
        <v>0</v>
      </c>
      <c r="AP23">
        <f>IF(AND(COUNTIF(Control!$E$20:$E$100,$B23)=0,COUNTIF(Control!$E$20:$E$100,AP$2)=0),VISUM_Arterial_OD!AP23*Control!$B$3,0)</f>
        <v>0</v>
      </c>
      <c r="AQ23">
        <f>IF(AND(COUNTIF(Control!$E$20:$E$100,$B23)=0,COUNTIF(Control!$E$20:$E$100,AQ$2)=0),VISUM_Arterial_OD!AQ23*Control!$B$3,0)</f>
        <v>0</v>
      </c>
      <c r="AR23">
        <f>IF(AND(COUNTIF(Control!$E$20:$E$100,$B23)=0,COUNTIF(Control!$E$20:$E$100,AR$2)=0),VISUM_Arterial_OD!AR23*Control!$B$3,0)</f>
        <v>0</v>
      </c>
      <c r="AS23">
        <f>IF(AND(COUNTIF(Control!$E$20:$E$100,$B23)=0,COUNTIF(Control!$E$20:$E$100,AS$2)=0),VISUM_Arterial_OD!AS23*Control!$B$3,0)</f>
        <v>0</v>
      </c>
      <c r="AT23">
        <f>IF(AND(COUNTIF(Control!$E$20:$E$100,$B23)=0,COUNTIF(Control!$E$20:$E$100,AT$2)=0),VISUM_Arterial_OD!AT23*Control!$B$3,0)</f>
        <v>0</v>
      </c>
      <c r="AU23">
        <f>IF(AND(COUNTIF(Control!$E$20:$E$100,$B23)=0,COUNTIF(Control!$E$20:$E$100,AU$2)=0),VISUM_Arterial_OD!AU23*Control!$B$3,0)</f>
        <v>0</v>
      </c>
      <c r="AV23">
        <f>IF(AND(COUNTIF(Control!$E$20:$E$100,$B23)=0,COUNTIF(Control!$E$20:$E$100,AV$2)=0),VISUM_Arterial_OD!AV23*Control!$B$3,0)</f>
        <v>0</v>
      </c>
      <c r="AW23">
        <f>IF(AND(COUNTIF(Control!$E$20:$E$100,$B23)=0,COUNTIF(Control!$E$20:$E$100,AW$2)=0),VISUM_Arterial_OD!AW23*Control!$B$3,0)</f>
        <v>0</v>
      </c>
      <c r="AX23">
        <f>IF(AND(COUNTIF(Control!$E$20:$E$100,$B23)=0,COUNTIF(Control!$E$20:$E$100,AX$2)=0),VISUM_Arterial_OD!AX23*Control!$B$3,0)</f>
        <v>0</v>
      </c>
      <c r="AY23">
        <f>IF(AND(COUNTIF(Control!$E$20:$E$100,$B23)=0,COUNTIF(Control!$E$20:$E$100,AY$2)=0),VISUM_Arterial_OD!AY23*Control!$B$3,0)</f>
        <v>0</v>
      </c>
      <c r="AZ23">
        <f>IF(AND(COUNTIF(Control!$E$20:$E$100,$B23)=0,COUNTIF(Control!$E$20:$E$100,AZ$2)=0),VISUM_Arterial_OD!AZ23*Control!$B$3,0)</f>
        <v>0</v>
      </c>
      <c r="BA23">
        <f>IF(AND(COUNTIF(Control!$E$20:$E$100,$B23)=0,COUNTIF(Control!$E$20:$E$100,BA$2)=0),VISUM_Arterial_OD!BA23*Control!$B$3,0)</f>
        <v>0</v>
      </c>
      <c r="BB23">
        <f>IF(AND(COUNTIF(Control!$E$20:$E$100,$B23)=0,COUNTIF(Control!$E$20:$E$100,BB$2)=0),VISUM_Arterial_OD!BB23*Control!$B$3,0)</f>
        <v>0</v>
      </c>
      <c r="BC23">
        <f>IF(AND(COUNTIF(Control!$E$20:$E$100,$B23)=0,COUNTIF(Control!$E$20:$E$100,BC$2)=0),VISUM_Arterial_OD!BC23*Control!$B$3,0)</f>
        <v>0</v>
      </c>
      <c r="BD23">
        <f>IF(AND(COUNTIF(Control!$E$20:$E$100,$B23)=0,COUNTIF(Control!$E$20:$E$100,BD$2)=0),VISUM_Arterial_OD!BD23*Control!$B$3,0)</f>
        <v>0</v>
      </c>
      <c r="BE23">
        <f>IF(AND(COUNTIF(Control!$E$20:$E$100,$B23)=0,COUNTIF(Control!$E$20:$E$100,BE$2)=0),VISUM_Arterial_OD!BE23*Control!$B$3,0)</f>
        <v>1.62597729</v>
      </c>
      <c r="BF23">
        <f>IF(AND(COUNTIF(Control!$E$20:$E$100,$B23)=0,COUNTIF(Control!$E$20:$E$100,BF$2)=0),VISUM_Arterial_OD!BF23*Control!$B$3,0)</f>
        <v>0</v>
      </c>
      <c r="BG23">
        <f>IF(AND(COUNTIF(Control!$E$20:$E$100,$B23)=0,COUNTIF(Control!$E$20:$E$100,BG$2)=0),VISUM_Arterial_OD!BG23*Control!$B$3,0)</f>
        <v>0</v>
      </c>
      <c r="BH23">
        <f>IF(AND(COUNTIF(Control!$E$20:$E$100,$B23)=0,COUNTIF(Control!$E$20:$E$100,BH$2)=0),VISUM_Arterial_OD!BH23*Control!$B$3,0)</f>
        <v>0</v>
      </c>
      <c r="BI23">
        <f>IF(AND(COUNTIF(Control!$E$20:$E$100,$B23)=0,COUNTIF(Control!$E$20:$E$100,BI$2)=0),VISUM_Arterial_OD!BI23*Control!$B$3,0)</f>
        <v>0</v>
      </c>
      <c r="BJ23">
        <f>IF(AND(COUNTIF(Control!$E$20:$E$100,$B23)=0,COUNTIF(Control!$E$20:$E$100,BJ$2)=0),VISUM_Arterial_OD!BJ23*Control!$B$3,0)</f>
        <v>0</v>
      </c>
      <c r="BK23">
        <f>IF(AND(COUNTIF(Control!$E$20:$E$100,$B23)=0,COUNTIF(Control!$E$20:$E$100,BK$2)=0),VISUM_Arterial_OD!BK23*Control!$B$3,0)</f>
        <v>0</v>
      </c>
      <c r="BL23">
        <f>IF(AND(COUNTIF(Control!$E$20:$E$100,$B23)=0,COUNTIF(Control!$E$20:$E$100,BL$2)=0),VISUM_Arterial_OD!BL23*Control!$B$3,0)</f>
        <v>0</v>
      </c>
      <c r="BM23">
        <f>IF(AND(COUNTIF(Control!$E$20:$E$100,$B23)=0,COUNTIF(Control!$E$20:$E$100,BM$2)=0),VISUM_Arterial_OD!BM23*Control!$B$3,0)</f>
        <v>0</v>
      </c>
      <c r="BN23">
        <f>IF(AND(COUNTIF(Control!$E$20:$E$100,$B23)=0,COUNTIF(Control!$E$20:$E$100,BN$2)=0),VISUM_Arterial_OD!BN23*Control!$B$3,0)</f>
        <v>0</v>
      </c>
      <c r="BO23">
        <f>IF(AND(COUNTIF(Control!$E$20:$E$100,$B23)=0,COUNTIF(Control!$E$20:$E$100,BO$2)=0),VISUM_Arterial_OD!BO23*Control!$B$3,0)</f>
        <v>0</v>
      </c>
      <c r="BP23">
        <f>IF(AND(COUNTIF(Control!$E$20:$E$100,$B23)=0,COUNTIF(Control!$E$20:$E$100,BP$2)=0),VISUM_Arterial_OD!BP23*Control!$B$3,0)</f>
        <v>0</v>
      </c>
      <c r="BQ23">
        <f>IF(AND(COUNTIF(Control!$E$20:$E$100,$B23)=0,COUNTIF(Control!$E$20:$E$100,BQ$2)=0),VISUM_Arterial_OD!BQ23*Control!$B$3,0)</f>
        <v>0</v>
      </c>
    </row>
    <row r="24" spans="1:69" x14ac:dyDescent="0.25">
      <c r="A24" s="5">
        <f>IF(VLOOKUP(B24,Arterial_Zone_Link_Mapping!$A:$C,2,FALSE)&lt;&gt;"",VLOOKUP(B24,Arterial_Zone_Link_Mapping!$A:$C,2,FALSE),"")</f>
        <v>20017</v>
      </c>
      <c r="B24" s="5">
        <v>44</v>
      </c>
      <c r="C24">
        <f>IF(AND(COUNTIF(Control!$E$20:$E$100,$B24)=0,COUNTIF(Control!$E$20:$E$100,C$2)=0),VISUM_Arterial_OD!C24*Control!$B$3,0)</f>
        <v>0</v>
      </c>
      <c r="D24">
        <f>IF(AND(COUNTIF(Control!$E$20:$E$100,$B24)=0,COUNTIF(Control!$E$20:$E$100,D$2)=0),VISUM_Arterial_OD!D24*Control!$B$3,0)</f>
        <v>0</v>
      </c>
      <c r="E24">
        <f>IF(AND(COUNTIF(Control!$E$20:$E$100,$B24)=0,COUNTIF(Control!$E$20:$E$100,E$2)=0),VISUM_Arterial_OD!E24*Control!$B$3,0)</f>
        <v>0</v>
      </c>
      <c r="F24">
        <f>IF(AND(COUNTIF(Control!$E$20:$E$100,$B24)=0,COUNTIF(Control!$E$20:$E$100,F$2)=0),VISUM_Arterial_OD!F24*Control!$B$3,0)</f>
        <v>0</v>
      </c>
      <c r="G24">
        <f>IF(AND(COUNTIF(Control!$E$20:$E$100,$B24)=0,COUNTIF(Control!$E$20:$E$100,G$2)=0),VISUM_Arterial_OD!G24*Control!$B$3,0)</f>
        <v>3.5732968199999999</v>
      </c>
      <c r="H24">
        <f>IF(AND(COUNTIF(Control!$E$20:$E$100,$B24)=0,COUNTIF(Control!$E$20:$E$100,H$2)=0),VISUM_Arterial_OD!H24*Control!$B$3,0)</f>
        <v>0</v>
      </c>
      <c r="I24">
        <f>IF(AND(COUNTIF(Control!$E$20:$E$100,$B24)=0,COUNTIF(Control!$E$20:$E$100,I$2)=0),VISUM_Arterial_OD!I24*Control!$B$3,0)</f>
        <v>0</v>
      </c>
      <c r="J24">
        <f>IF(AND(COUNTIF(Control!$E$20:$E$100,$B24)=0,COUNTIF(Control!$E$20:$E$100,J$2)=0),VISUM_Arterial_OD!J24*Control!$B$3,0)</f>
        <v>0</v>
      </c>
      <c r="K24">
        <f>IF(AND(COUNTIF(Control!$E$20:$E$100,$B24)=0,COUNTIF(Control!$E$20:$E$100,K$2)=0),VISUM_Arterial_OD!K24*Control!$B$3,0)</f>
        <v>0</v>
      </c>
      <c r="L24">
        <f>IF(AND(COUNTIF(Control!$E$20:$E$100,$B24)=0,COUNTIF(Control!$E$20:$E$100,L$2)=0),VISUM_Arterial_OD!L24*Control!$B$3,0)</f>
        <v>0</v>
      </c>
      <c r="M24">
        <f>IF(AND(COUNTIF(Control!$E$20:$E$100,$B24)=0,COUNTIF(Control!$E$20:$E$100,M$2)=0),VISUM_Arterial_OD!M24*Control!$B$3,0)</f>
        <v>0</v>
      </c>
      <c r="N24">
        <f>IF(AND(COUNTIF(Control!$E$20:$E$100,$B24)=0,COUNTIF(Control!$E$20:$E$100,N$2)=0),VISUM_Arterial_OD!N24*Control!$B$3,0)</f>
        <v>0</v>
      </c>
      <c r="O24">
        <f>IF(AND(COUNTIF(Control!$E$20:$E$100,$B24)=0,COUNTIF(Control!$E$20:$E$100,O$2)=0),VISUM_Arterial_OD!O24*Control!$B$3,0)</f>
        <v>0</v>
      </c>
      <c r="P24">
        <f>IF(AND(COUNTIF(Control!$E$20:$E$100,$B24)=0,COUNTIF(Control!$E$20:$E$100,P$2)=0),VISUM_Arterial_OD!P24*Control!$B$3,0)</f>
        <v>0</v>
      </c>
      <c r="Q24">
        <f>IF(AND(COUNTIF(Control!$E$20:$E$100,$B24)=0,COUNTIF(Control!$E$20:$E$100,Q$2)=0),VISUM_Arterial_OD!Q24*Control!$B$3,0)</f>
        <v>0.61854056999999996</v>
      </c>
      <c r="R24">
        <f>IF(AND(COUNTIF(Control!$E$20:$E$100,$B24)=0,COUNTIF(Control!$E$20:$E$100,R$2)=0),VISUM_Arterial_OD!R24*Control!$B$3,0)</f>
        <v>0</v>
      </c>
      <c r="S24">
        <f>IF(AND(COUNTIF(Control!$E$20:$E$100,$B24)=0,COUNTIF(Control!$E$20:$E$100,S$2)=0),VISUM_Arterial_OD!S24*Control!$B$3,0)</f>
        <v>0</v>
      </c>
      <c r="T24">
        <f>IF(AND(COUNTIF(Control!$E$20:$E$100,$B24)=0,COUNTIF(Control!$E$20:$E$100,T$2)=0),VISUM_Arterial_OD!T24*Control!$B$3,0)</f>
        <v>0</v>
      </c>
      <c r="U24">
        <f>IF(AND(COUNTIF(Control!$E$20:$E$100,$B24)=0,COUNTIF(Control!$E$20:$E$100,U$2)=0),VISUM_Arterial_OD!U24*Control!$B$3,0)</f>
        <v>1.4430854399999999</v>
      </c>
      <c r="V24">
        <f>IF(AND(COUNTIF(Control!$E$20:$E$100,$B24)=0,COUNTIF(Control!$E$20:$E$100,V$2)=0),VISUM_Arterial_OD!V24*Control!$B$3,0)</f>
        <v>0.44999606999999997</v>
      </c>
      <c r="W24">
        <f>IF(AND(COUNTIF(Control!$E$20:$E$100,$B24)=0,COUNTIF(Control!$E$20:$E$100,W$2)=0),VISUM_Arterial_OD!W24*Control!$B$3,0)</f>
        <v>0.14999868</v>
      </c>
      <c r="X24">
        <f>IF(AND(COUNTIF(Control!$E$20:$E$100,$B24)=0,COUNTIF(Control!$E$20:$E$100,X$2)=0),VISUM_Arterial_OD!X24*Control!$B$3,0)</f>
        <v>0</v>
      </c>
      <c r="Y24">
        <f>IF(AND(COUNTIF(Control!$E$20:$E$100,$B24)=0,COUNTIF(Control!$E$20:$E$100,Y$2)=0),VISUM_Arterial_OD!Y24*Control!$B$3,0)</f>
        <v>0</v>
      </c>
      <c r="Z24">
        <f>IF(AND(COUNTIF(Control!$E$20:$E$100,$B24)=0,COUNTIF(Control!$E$20:$E$100,Z$2)=0),VISUM_Arterial_OD!Z24*Control!$B$3,0)</f>
        <v>0</v>
      </c>
      <c r="AA24">
        <f>IF(AND(COUNTIF(Control!$E$20:$E$100,$B24)=0,COUNTIF(Control!$E$20:$E$100,AA$2)=0),VISUM_Arterial_OD!AA24*Control!$B$3,0)</f>
        <v>2.02365621</v>
      </c>
      <c r="AB24">
        <f>IF(AND(COUNTIF(Control!$E$20:$E$100,$B24)=0,COUNTIF(Control!$E$20:$E$100,AB$2)=0),VISUM_Arterial_OD!AB24*Control!$B$3,0)</f>
        <v>0</v>
      </c>
      <c r="AC24">
        <f>IF(AND(COUNTIF(Control!$E$20:$E$100,$B24)=0,COUNTIF(Control!$E$20:$E$100,AC$2)=0),VISUM_Arterial_OD!AC24*Control!$B$3,0)</f>
        <v>0</v>
      </c>
      <c r="AD24">
        <f>IF(AND(COUNTIF(Control!$E$20:$E$100,$B24)=0,COUNTIF(Control!$E$20:$E$100,AD$2)=0),VISUM_Arterial_OD!AD24*Control!$B$3,0)</f>
        <v>0</v>
      </c>
      <c r="AE24">
        <f>IF(AND(COUNTIF(Control!$E$20:$E$100,$B24)=0,COUNTIF(Control!$E$20:$E$100,AE$2)=0),VISUM_Arterial_OD!AE24*Control!$B$3,0)</f>
        <v>0</v>
      </c>
      <c r="AF24">
        <f>IF(AND(COUNTIF(Control!$E$20:$E$100,$B24)=0,COUNTIF(Control!$E$20:$E$100,AF$2)=0),VISUM_Arterial_OD!AF24*Control!$B$3,0)</f>
        <v>0</v>
      </c>
      <c r="AG24">
        <f>IF(AND(COUNTIF(Control!$E$20:$E$100,$B24)=0,COUNTIF(Control!$E$20:$E$100,AG$2)=0),VISUM_Arterial_OD!AG24*Control!$B$3,0)</f>
        <v>0</v>
      </c>
      <c r="AH24">
        <f>IF(AND(COUNTIF(Control!$E$20:$E$100,$B24)=0,COUNTIF(Control!$E$20:$E$100,AH$2)=0),VISUM_Arterial_OD!AH24*Control!$B$3,0)</f>
        <v>0</v>
      </c>
      <c r="AI24">
        <f>IF(AND(COUNTIF(Control!$E$20:$E$100,$B24)=0,COUNTIF(Control!$E$20:$E$100,AI$2)=0),VISUM_Arterial_OD!AI24*Control!$B$3,0)</f>
        <v>0</v>
      </c>
      <c r="AJ24">
        <f>IF(AND(COUNTIF(Control!$E$20:$E$100,$B24)=0,COUNTIF(Control!$E$20:$E$100,AJ$2)=0),VISUM_Arterial_OD!AJ24*Control!$B$3,0)</f>
        <v>0</v>
      </c>
      <c r="AK24">
        <f>IF(AND(COUNTIF(Control!$E$20:$E$100,$B24)=0,COUNTIF(Control!$E$20:$E$100,AK$2)=0),VISUM_Arterial_OD!AK24*Control!$B$3,0)</f>
        <v>0</v>
      </c>
      <c r="AL24">
        <f>IF(AND(COUNTIF(Control!$E$20:$E$100,$B24)=0,COUNTIF(Control!$E$20:$E$100,AL$2)=0),VISUM_Arterial_OD!AL24*Control!$B$3,0)</f>
        <v>0</v>
      </c>
      <c r="AM24">
        <f>IF(AND(COUNTIF(Control!$E$20:$E$100,$B24)=0,COUNTIF(Control!$E$20:$E$100,AM$2)=0),VISUM_Arterial_OD!AM24*Control!$B$3,0)</f>
        <v>0</v>
      </c>
      <c r="AN24">
        <f>IF(AND(COUNTIF(Control!$E$20:$E$100,$B24)=0,COUNTIF(Control!$E$20:$E$100,AN$2)=0),VISUM_Arterial_OD!AN24*Control!$B$3,0)</f>
        <v>0</v>
      </c>
      <c r="AO24">
        <f>IF(AND(COUNTIF(Control!$E$20:$E$100,$B24)=0,COUNTIF(Control!$E$20:$E$100,AO$2)=0),VISUM_Arterial_OD!AO24*Control!$B$3,0)</f>
        <v>0</v>
      </c>
      <c r="AP24">
        <f>IF(AND(COUNTIF(Control!$E$20:$E$100,$B24)=0,COUNTIF(Control!$E$20:$E$100,AP$2)=0),VISUM_Arterial_OD!AP24*Control!$B$3,0)</f>
        <v>0</v>
      </c>
      <c r="AQ24">
        <f>IF(AND(COUNTIF(Control!$E$20:$E$100,$B24)=0,COUNTIF(Control!$E$20:$E$100,AQ$2)=0),VISUM_Arterial_OD!AQ24*Control!$B$3,0)</f>
        <v>0</v>
      </c>
      <c r="AR24">
        <f>IF(AND(COUNTIF(Control!$E$20:$E$100,$B24)=0,COUNTIF(Control!$E$20:$E$100,AR$2)=0),VISUM_Arterial_OD!AR24*Control!$B$3,0)</f>
        <v>0</v>
      </c>
      <c r="AS24">
        <f>IF(AND(COUNTIF(Control!$E$20:$E$100,$B24)=0,COUNTIF(Control!$E$20:$E$100,AS$2)=0),VISUM_Arterial_OD!AS24*Control!$B$3,0)</f>
        <v>0</v>
      </c>
      <c r="AT24">
        <f>IF(AND(COUNTIF(Control!$E$20:$E$100,$B24)=0,COUNTIF(Control!$E$20:$E$100,AT$2)=0),VISUM_Arterial_OD!AT24*Control!$B$3,0)</f>
        <v>0</v>
      </c>
      <c r="AU24">
        <f>IF(AND(COUNTIF(Control!$E$20:$E$100,$B24)=0,COUNTIF(Control!$E$20:$E$100,AU$2)=0),VISUM_Arterial_OD!AU24*Control!$B$3,0)</f>
        <v>0</v>
      </c>
      <c r="AV24">
        <f>IF(AND(COUNTIF(Control!$E$20:$E$100,$B24)=0,COUNTIF(Control!$E$20:$E$100,AV$2)=0),VISUM_Arterial_OD!AV24*Control!$B$3,0)</f>
        <v>0</v>
      </c>
      <c r="AW24">
        <f>IF(AND(COUNTIF(Control!$E$20:$E$100,$B24)=0,COUNTIF(Control!$E$20:$E$100,AW$2)=0),VISUM_Arterial_OD!AW24*Control!$B$3,0)</f>
        <v>0</v>
      </c>
      <c r="AX24">
        <f>IF(AND(COUNTIF(Control!$E$20:$E$100,$B24)=0,COUNTIF(Control!$E$20:$E$100,AX$2)=0),VISUM_Arterial_OD!AX24*Control!$B$3,0)</f>
        <v>0</v>
      </c>
      <c r="AY24">
        <f>IF(AND(COUNTIF(Control!$E$20:$E$100,$B24)=0,COUNTIF(Control!$E$20:$E$100,AY$2)=0),VISUM_Arterial_OD!AY24*Control!$B$3,0)</f>
        <v>0</v>
      </c>
      <c r="AZ24">
        <f>IF(AND(COUNTIF(Control!$E$20:$E$100,$B24)=0,COUNTIF(Control!$E$20:$E$100,AZ$2)=0),VISUM_Arterial_OD!AZ24*Control!$B$3,0)</f>
        <v>0</v>
      </c>
      <c r="BA24">
        <f>IF(AND(COUNTIF(Control!$E$20:$E$100,$B24)=0,COUNTIF(Control!$E$20:$E$100,BA$2)=0),VISUM_Arterial_OD!BA24*Control!$B$3,0)</f>
        <v>0</v>
      </c>
      <c r="BB24">
        <f>IF(AND(COUNTIF(Control!$E$20:$E$100,$B24)=0,COUNTIF(Control!$E$20:$E$100,BB$2)=0),VISUM_Arterial_OD!BB24*Control!$B$3,0)</f>
        <v>0</v>
      </c>
      <c r="BC24">
        <f>IF(AND(COUNTIF(Control!$E$20:$E$100,$B24)=0,COUNTIF(Control!$E$20:$E$100,BC$2)=0),VISUM_Arterial_OD!BC24*Control!$B$3,0)</f>
        <v>0</v>
      </c>
      <c r="BD24">
        <f>IF(AND(COUNTIF(Control!$E$20:$E$100,$B24)=0,COUNTIF(Control!$E$20:$E$100,BD$2)=0),VISUM_Arterial_OD!BD24*Control!$B$3,0)</f>
        <v>0</v>
      </c>
      <c r="BE24">
        <f>IF(AND(COUNTIF(Control!$E$20:$E$100,$B24)=0,COUNTIF(Control!$E$20:$E$100,BE$2)=0),VISUM_Arterial_OD!BE24*Control!$B$3,0)</f>
        <v>2.2422441000000002</v>
      </c>
      <c r="BF24">
        <f>IF(AND(COUNTIF(Control!$E$20:$E$100,$B24)=0,COUNTIF(Control!$E$20:$E$100,BF$2)=0),VISUM_Arterial_OD!BF24*Control!$B$3,0)</f>
        <v>0</v>
      </c>
      <c r="BG24">
        <f>IF(AND(COUNTIF(Control!$E$20:$E$100,$B24)=0,COUNTIF(Control!$E$20:$E$100,BG$2)=0),VISUM_Arterial_OD!BG24*Control!$B$3,0)</f>
        <v>0</v>
      </c>
      <c r="BH24">
        <f>IF(AND(COUNTIF(Control!$E$20:$E$100,$B24)=0,COUNTIF(Control!$E$20:$E$100,BH$2)=0),VISUM_Arterial_OD!BH24*Control!$B$3,0)</f>
        <v>0</v>
      </c>
      <c r="BI24">
        <f>IF(AND(COUNTIF(Control!$E$20:$E$100,$B24)=0,COUNTIF(Control!$E$20:$E$100,BI$2)=0),VISUM_Arterial_OD!BI24*Control!$B$3,0)</f>
        <v>0</v>
      </c>
      <c r="BJ24">
        <f>IF(AND(COUNTIF(Control!$E$20:$E$100,$B24)=0,COUNTIF(Control!$E$20:$E$100,BJ$2)=0),VISUM_Arterial_OD!BJ24*Control!$B$3,0)</f>
        <v>0</v>
      </c>
      <c r="BK24">
        <f>IF(AND(COUNTIF(Control!$E$20:$E$100,$B24)=0,COUNTIF(Control!$E$20:$E$100,BK$2)=0),VISUM_Arterial_OD!BK24*Control!$B$3,0)</f>
        <v>0</v>
      </c>
      <c r="BL24">
        <f>IF(AND(COUNTIF(Control!$E$20:$E$100,$B24)=0,COUNTIF(Control!$E$20:$E$100,BL$2)=0),VISUM_Arterial_OD!BL24*Control!$B$3,0)</f>
        <v>0</v>
      </c>
      <c r="BM24">
        <f>IF(AND(COUNTIF(Control!$E$20:$E$100,$B24)=0,COUNTIF(Control!$E$20:$E$100,BM$2)=0),VISUM_Arterial_OD!BM24*Control!$B$3,0)</f>
        <v>0</v>
      </c>
      <c r="BN24">
        <f>IF(AND(COUNTIF(Control!$E$20:$E$100,$B24)=0,COUNTIF(Control!$E$20:$E$100,BN$2)=0),VISUM_Arterial_OD!BN24*Control!$B$3,0)</f>
        <v>0</v>
      </c>
      <c r="BO24">
        <f>IF(AND(COUNTIF(Control!$E$20:$E$100,$B24)=0,COUNTIF(Control!$E$20:$E$100,BO$2)=0),VISUM_Arterial_OD!BO24*Control!$B$3,0)</f>
        <v>0</v>
      </c>
      <c r="BP24">
        <f>IF(AND(COUNTIF(Control!$E$20:$E$100,$B24)=0,COUNTIF(Control!$E$20:$E$100,BP$2)=0),VISUM_Arterial_OD!BP24*Control!$B$3,0)</f>
        <v>0</v>
      </c>
      <c r="BQ24">
        <f>IF(AND(COUNTIF(Control!$E$20:$E$100,$B24)=0,COUNTIF(Control!$E$20:$E$100,BQ$2)=0),VISUM_Arterial_OD!BQ24*Control!$B$3,0)</f>
        <v>0</v>
      </c>
    </row>
    <row r="25" spans="1:69" x14ac:dyDescent="0.25">
      <c r="A25" s="5">
        <f>IF(VLOOKUP(B25,Arterial_Zone_Link_Mapping!$A:$C,2,FALSE)&lt;&gt;"",VLOOKUP(B25,Arterial_Zone_Link_Mapping!$A:$C,2,FALSE),"")</f>
        <v>488</v>
      </c>
      <c r="B25" s="5">
        <v>46</v>
      </c>
      <c r="C25">
        <f>IF(AND(COUNTIF(Control!$E$20:$E$100,$B25)=0,COUNTIF(Control!$E$20:$E$100,C$2)=0),VISUM_Arterial_OD!C25*Control!$B$3,0)</f>
        <v>0</v>
      </c>
      <c r="D25">
        <f>IF(AND(COUNTIF(Control!$E$20:$E$100,$B25)=0,COUNTIF(Control!$E$20:$E$100,D$2)=0),VISUM_Arterial_OD!D25*Control!$B$3,0)</f>
        <v>0</v>
      </c>
      <c r="E25">
        <f>IF(AND(COUNTIF(Control!$E$20:$E$100,$B25)=0,COUNTIF(Control!$E$20:$E$100,E$2)=0),VISUM_Arterial_OD!E25*Control!$B$3,0)</f>
        <v>1.0499908500000001</v>
      </c>
      <c r="F25">
        <f>IF(AND(COUNTIF(Control!$E$20:$E$100,$B25)=0,COUNTIF(Control!$E$20:$E$100,F$2)=0),VISUM_Arterial_OD!F25*Control!$B$3,0)</f>
        <v>0</v>
      </c>
      <c r="G25">
        <f>IF(AND(COUNTIF(Control!$E$20:$E$100,$B25)=0,COUNTIF(Control!$E$20:$E$100,G$2)=0),VISUM_Arterial_OD!G25*Control!$B$3,0)</f>
        <v>0</v>
      </c>
      <c r="H25">
        <f>IF(AND(COUNTIF(Control!$E$20:$E$100,$B25)=0,COUNTIF(Control!$E$20:$E$100,H$2)=0),VISUM_Arterial_OD!H25*Control!$B$3,0)</f>
        <v>0</v>
      </c>
      <c r="I25">
        <f>IF(AND(COUNTIF(Control!$E$20:$E$100,$B25)=0,COUNTIF(Control!$E$20:$E$100,I$2)=0),VISUM_Arterial_OD!I25*Control!$B$3,0)</f>
        <v>0</v>
      </c>
      <c r="J25">
        <f>IF(AND(COUNTIF(Control!$E$20:$E$100,$B25)=0,COUNTIF(Control!$E$20:$E$100,J$2)=0),VISUM_Arterial_OD!J25*Control!$B$3,0)</f>
        <v>0</v>
      </c>
      <c r="K25">
        <f>IF(AND(COUNTIF(Control!$E$20:$E$100,$B25)=0,COUNTIF(Control!$E$20:$E$100,K$2)=0),VISUM_Arterial_OD!K25*Control!$B$3,0)</f>
        <v>0</v>
      </c>
      <c r="L25">
        <f>IF(AND(COUNTIF(Control!$E$20:$E$100,$B25)=0,COUNTIF(Control!$E$20:$E$100,L$2)=0),VISUM_Arterial_OD!L25*Control!$B$3,0)</f>
        <v>0</v>
      </c>
      <c r="M25">
        <f>IF(AND(COUNTIF(Control!$E$20:$E$100,$B25)=0,COUNTIF(Control!$E$20:$E$100,M$2)=0),VISUM_Arterial_OD!M25*Control!$B$3,0)</f>
        <v>1.9502213399999999</v>
      </c>
      <c r="N25">
        <f>IF(AND(COUNTIF(Control!$E$20:$E$100,$B25)=0,COUNTIF(Control!$E$20:$E$100,N$2)=0),VISUM_Arterial_OD!N25*Control!$B$3,0)</f>
        <v>1.10224923</v>
      </c>
      <c r="O25">
        <f>IF(AND(COUNTIF(Control!$E$20:$E$100,$B25)=0,COUNTIF(Control!$E$20:$E$100,O$2)=0),VISUM_Arterial_OD!O25*Control!$B$3,0)</f>
        <v>0</v>
      </c>
      <c r="P25">
        <f>IF(AND(COUNTIF(Control!$E$20:$E$100,$B25)=0,COUNTIF(Control!$E$20:$E$100,P$2)=0),VISUM_Arterial_OD!P25*Control!$B$3,0)</f>
        <v>0</v>
      </c>
      <c r="Q25">
        <f>IF(AND(COUNTIF(Control!$E$20:$E$100,$B25)=0,COUNTIF(Control!$E$20:$E$100,Q$2)=0),VISUM_Arterial_OD!Q25*Control!$B$3,0)</f>
        <v>0</v>
      </c>
      <c r="R25">
        <f>IF(AND(COUNTIF(Control!$E$20:$E$100,$B25)=0,COUNTIF(Control!$E$20:$E$100,R$2)=0),VISUM_Arterial_OD!R25*Control!$B$3,0)</f>
        <v>0</v>
      </c>
      <c r="S25">
        <f>IF(AND(COUNTIF(Control!$E$20:$E$100,$B25)=0,COUNTIF(Control!$E$20:$E$100,S$2)=0),VISUM_Arterial_OD!S25*Control!$B$3,0)</f>
        <v>0</v>
      </c>
      <c r="T25">
        <f>IF(AND(COUNTIF(Control!$E$20:$E$100,$B25)=0,COUNTIF(Control!$E$20:$E$100,T$2)=0),VISUM_Arterial_OD!T25*Control!$B$3,0)</f>
        <v>0</v>
      </c>
      <c r="U25">
        <f>IF(AND(COUNTIF(Control!$E$20:$E$100,$B25)=0,COUNTIF(Control!$E$20:$E$100,U$2)=0),VISUM_Arterial_OD!U25*Control!$B$3,0)</f>
        <v>0</v>
      </c>
      <c r="V25">
        <f>IF(AND(COUNTIF(Control!$E$20:$E$100,$B25)=0,COUNTIF(Control!$E$20:$E$100,V$2)=0),VISUM_Arterial_OD!V25*Control!$B$3,0)</f>
        <v>0</v>
      </c>
      <c r="W25">
        <f>IF(AND(COUNTIF(Control!$E$20:$E$100,$B25)=0,COUNTIF(Control!$E$20:$E$100,W$2)=0),VISUM_Arterial_OD!W25*Control!$B$3,0)</f>
        <v>0</v>
      </c>
      <c r="X25">
        <f>IF(AND(COUNTIF(Control!$E$20:$E$100,$B25)=0,COUNTIF(Control!$E$20:$E$100,X$2)=0),VISUM_Arterial_OD!X25*Control!$B$3,0)</f>
        <v>0</v>
      </c>
      <c r="Y25">
        <f>IF(AND(COUNTIF(Control!$E$20:$E$100,$B25)=0,COUNTIF(Control!$E$20:$E$100,Y$2)=0),VISUM_Arterial_OD!Y25*Control!$B$3,0)</f>
        <v>0</v>
      </c>
      <c r="Z25">
        <f>IF(AND(COUNTIF(Control!$E$20:$E$100,$B25)=0,COUNTIF(Control!$E$20:$E$100,Z$2)=0),VISUM_Arterial_OD!Z25*Control!$B$3,0)</f>
        <v>0</v>
      </c>
      <c r="AA25">
        <f>IF(AND(COUNTIF(Control!$E$20:$E$100,$B25)=0,COUNTIF(Control!$E$20:$E$100,AA$2)=0),VISUM_Arterial_OD!AA25*Control!$B$3,0)</f>
        <v>0</v>
      </c>
      <c r="AB25">
        <f>IF(AND(COUNTIF(Control!$E$20:$E$100,$B25)=0,COUNTIF(Control!$E$20:$E$100,AB$2)=0),VISUM_Arterial_OD!AB25*Control!$B$3,0)</f>
        <v>0</v>
      </c>
      <c r="AC25">
        <f>IF(AND(COUNTIF(Control!$E$20:$E$100,$B25)=0,COUNTIF(Control!$E$20:$E$100,AC$2)=0),VISUM_Arterial_OD!AC25*Control!$B$3,0)</f>
        <v>0</v>
      </c>
      <c r="AD25">
        <f>IF(AND(COUNTIF(Control!$E$20:$E$100,$B25)=0,COUNTIF(Control!$E$20:$E$100,AD$2)=0),VISUM_Arterial_OD!AD25*Control!$B$3,0)</f>
        <v>1.5871410000000002E-2</v>
      </c>
      <c r="AE25">
        <f>IF(AND(COUNTIF(Control!$E$20:$E$100,$B25)=0,COUNTIF(Control!$E$20:$E$100,AE$2)=0),VISUM_Arterial_OD!AE25*Control!$B$3,0)</f>
        <v>3.7832069999999995E-2</v>
      </c>
      <c r="AF25">
        <f>IF(AND(COUNTIF(Control!$E$20:$E$100,$B25)=0,COUNTIF(Control!$E$20:$E$100,AF$2)=0),VISUM_Arterial_OD!AF25*Control!$B$3,0)</f>
        <v>0</v>
      </c>
      <c r="AG25">
        <f>IF(AND(COUNTIF(Control!$E$20:$E$100,$B25)=0,COUNTIF(Control!$E$20:$E$100,AG$2)=0),VISUM_Arterial_OD!AG25*Control!$B$3,0)</f>
        <v>0</v>
      </c>
      <c r="AH25">
        <f>IF(AND(COUNTIF(Control!$E$20:$E$100,$B25)=0,COUNTIF(Control!$E$20:$E$100,AH$2)=0),VISUM_Arterial_OD!AH25*Control!$B$3,0)</f>
        <v>0</v>
      </c>
      <c r="AI25">
        <f>IF(AND(COUNTIF(Control!$E$20:$E$100,$B25)=0,COUNTIF(Control!$E$20:$E$100,AI$2)=0),VISUM_Arterial_OD!AI25*Control!$B$3,0)</f>
        <v>0</v>
      </c>
      <c r="AJ25">
        <f>IF(AND(COUNTIF(Control!$E$20:$E$100,$B25)=0,COUNTIF(Control!$E$20:$E$100,AJ$2)=0),VISUM_Arterial_OD!AJ25*Control!$B$3,0)</f>
        <v>0</v>
      </c>
      <c r="AK25">
        <f>IF(AND(COUNTIF(Control!$E$20:$E$100,$B25)=0,COUNTIF(Control!$E$20:$E$100,AK$2)=0),VISUM_Arterial_OD!AK25*Control!$B$3,0)</f>
        <v>0</v>
      </c>
      <c r="AL25">
        <f>IF(AND(COUNTIF(Control!$E$20:$E$100,$B25)=0,COUNTIF(Control!$E$20:$E$100,AL$2)=0),VISUM_Arterial_OD!AL25*Control!$B$3,0)</f>
        <v>0</v>
      </c>
      <c r="AM25">
        <f>IF(AND(COUNTIF(Control!$E$20:$E$100,$B25)=0,COUNTIF(Control!$E$20:$E$100,AM$2)=0),VISUM_Arterial_OD!AM25*Control!$B$3,0)</f>
        <v>0</v>
      </c>
      <c r="AN25">
        <f>IF(AND(COUNTIF(Control!$E$20:$E$100,$B25)=0,COUNTIF(Control!$E$20:$E$100,AN$2)=0),VISUM_Arterial_OD!AN25*Control!$B$3,0)</f>
        <v>0</v>
      </c>
      <c r="AO25">
        <f>IF(AND(COUNTIF(Control!$E$20:$E$100,$B25)=0,COUNTIF(Control!$E$20:$E$100,AO$2)=0),VISUM_Arterial_OD!AO25*Control!$B$3,0)</f>
        <v>0</v>
      </c>
      <c r="AP25">
        <f>IF(AND(COUNTIF(Control!$E$20:$E$100,$B25)=0,COUNTIF(Control!$E$20:$E$100,AP$2)=0),VISUM_Arterial_OD!AP25*Control!$B$3,0)</f>
        <v>0</v>
      </c>
      <c r="AQ25">
        <f>IF(AND(COUNTIF(Control!$E$20:$E$100,$B25)=0,COUNTIF(Control!$E$20:$E$100,AQ$2)=0),VISUM_Arterial_OD!AQ25*Control!$B$3,0)</f>
        <v>0</v>
      </c>
      <c r="AR25">
        <f>IF(AND(COUNTIF(Control!$E$20:$E$100,$B25)=0,COUNTIF(Control!$E$20:$E$100,AR$2)=0),VISUM_Arterial_OD!AR25*Control!$B$3,0)</f>
        <v>0</v>
      </c>
      <c r="AS25">
        <f>IF(AND(COUNTIF(Control!$E$20:$E$100,$B25)=0,COUNTIF(Control!$E$20:$E$100,AS$2)=0),VISUM_Arterial_OD!AS25*Control!$B$3,0)</f>
        <v>0</v>
      </c>
      <c r="AT25">
        <f>IF(AND(COUNTIF(Control!$E$20:$E$100,$B25)=0,COUNTIF(Control!$E$20:$E$100,AT$2)=0),VISUM_Arterial_OD!AT25*Control!$B$3,0)</f>
        <v>0</v>
      </c>
      <c r="AU25">
        <f>IF(AND(COUNTIF(Control!$E$20:$E$100,$B25)=0,COUNTIF(Control!$E$20:$E$100,AU$2)=0),VISUM_Arterial_OD!AU25*Control!$B$3,0)</f>
        <v>0</v>
      </c>
      <c r="AV25">
        <f>IF(AND(COUNTIF(Control!$E$20:$E$100,$B25)=0,COUNTIF(Control!$E$20:$E$100,AV$2)=0),VISUM_Arterial_OD!AV25*Control!$B$3,0)</f>
        <v>0</v>
      </c>
      <c r="AW25">
        <f>IF(AND(COUNTIF(Control!$E$20:$E$100,$B25)=0,COUNTIF(Control!$E$20:$E$100,AW$2)=0),VISUM_Arterial_OD!AW25*Control!$B$3,0)</f>
        <v>0</v>
      </c>
      <c r="AX25">
        <f>IF(AND(COUNTIF(Control!$E$20:$E$100,$B25)=0,COUNTIF(Control!$E$20:$E$100,AX$2)=0),VISUM_Arterial_OD!AX25*Control!$B$3,0)</f>
        <v>0</v>
      </c>
      <c r="AY25">
        <f>IF(AND(COUNTIF(Control!$E$20:$E$100,$B25)=0,COUNTIF(Control!$E$20:$E$100,AY$2)=0),VISUM_Arterial_OD!AY25*Control!$B$3,0)</f>
        <v>0</v>
      </c>
      <c r="AZ25">
        <f>IF(AND(COUNTIF(Control!$E$20:$E$100,$B25)=0,COUNTIF(Control!$E$20:$E$100,AZ$2)=0),VISUM_Arterial_OD!AZ25*Control!$B$3,0)</f>
        <v>0</v>
      </c>
      <c r="BA25">
        <f>IF(AND(COUNTIF(Control!$E$20:$E$100,$B25)=0,COUNTIF(Control!$E$20:$E$100,BA$2)=0),VISUM_Arterial_OD!BA25*Control!$B$3,0)</f>
        <v>0</v>
      </c>
      <c r="BB25">
        <f>IF(AND(COUNTIF(Control!$E$20:$E$100,$B25)=0,COUNTIF(Control!$E$20:$E$100,BB$2)=0),VISUM_Arterial_OD!BB25*Control!$B$3,0)</f>
        <v>0</v>
      </c>
      <c r="BC25">
        <f>IF(AND(COUNTIF(Control!$E$20:$E$100,$B25)=0,COUNTIF(Control!$E$20:$E$100,BC$2)=0),VISUM_Arterial_OD!BC25*Control!$B$3,0)</f>
        <v>0</v>
      </c>
      <c r="BD25">
        <f>IF(AND(COUNTIF(Control!$E$20:$E$100,$B25)=0,COUNTIF(Control!$E$20:$E$100,BD$2)=0),VISUM_Arterial_OD!BD25*Control!$B$3,0)</f>
        <v>0</v>
      </c>
      <c r="BE25">
        <f>IF(AND(COUNTIF(Control!$E$20:$E$100,$B25)=0,COUNTIF(Control!$E$20:$E$100,BE$2)=0),VISUM_Arterial_OD!BE25*Control!$B$3,0)</f>
        <v>0</v>
      </c>
      <c r="BF25">
        <f>IF(AND(COUNTIF(Control!$E$20:$E$100,$B25)=0,COUNTIF(Control!$E$20:$E$100,BF$2)=0),VISUM_Arterial_OD!BF25*Control!$B$3,0)</f>
        <v>0</v>
      </c>
      <c r="BG25">
        <f>IF(AND(COUNTIF(Control!$E$20:$E$100,$B25)=0,COUNTIF(Control!$E$20:$E$100,BG$2)=0),VISUM_Arterial_OD!BG25*Control!$B$3,0)</f>
        <v>3.8526367199999996</v>
      </c>
      <c r="BH25">
        <f>IF(AND(COUNTIF(Control!$E$20:$E$100,$B25)=0,COUNTIF(Control!$E$20:$E$100,BH$2)=0),VISUM_Arterial_OD!BH25*Control!$B$3,0)</f>
        <v>3.8374996499999998</v>
      </c>
      <c r="BI25">
        <f>IF(AND(COUNTIF(Control!$E$20:$E$100,$B25)=0,COUNTIF(Control!$E$20:$E$100,BI$2)=0),VISUM_Arterial_OD!BI25*Control!$B$3,0)</f>
        <v>0</v>
      </c>
      <c r="BJ25">
        <f>IF(AND(COUNTIF(Control!$E$20:$E$100,$B25)=0,COUNTIF(Control!$E$20:$E$100,BJ$2)=0),VISUM_Arterial_OD!BJ25*Control!$B$3,0)</f>
        <v>0</v>
      </c>
      <c r="BK25">
        <f>IF(AND(COUNTIF(Control!$E$20:$E$100,$B25)=0,COUNTIF(Control!$E$20:$E$100,BK$2)=0),VISUM_Arterial_OD!BK25*Control!$B$3,0)</f>
        <v>0</v>
      </c>
      <c r="BL25">
        <f>IF(AND(COUNTIF(Control!$E$20:$E$100,$B25)=0,COUNTIF(Control!$E$20:$E$100,BL$2)=0),VISUM_Arterial_OD!BL25*Control!$B$3,0)</f>
        <v>0</v>
      </c>
      <c r="BM25">
        <f>IF(AND(COUNTIF(Control!$E$20:$E$100,$B25)=0,COUNTIF(Control!$E$20:$E$100,BM$2)=0),VISUM_Arterial_OD!BM25*Control!$B$3,0)</f>
        <v>0</v>
      </c>
      <c r="BN25">
        <f>IF(AND(COUNTIF(Control!$E$20:$E$100,$B25)=0,COUNTIF(Control!$E$20:$E$100,BN$2)=0),VISUM_Arterial_OD!BN25*Control!$B$3,0)</f>
        <v>0</v>
      </c>
      <c r="BO25">
        <f>IF(AND(COUNTIF(Control!$E$20:$E$100,$B25)=0,COUNTIF(Control!$E$20:$E$100,BO$2)=0),VISUM_Arterial_OD!BO25*Control!$B$3,0)</f>
        <v>0</v>
      </c>
      <c r="BP25">
        <f>IF(AND(COUNTIF(Control!$E$20:$E$100,$B25)=0,COUNTIF(Control!$E$20:$E$100,BP$2)=0),VISUM_Arterial_OD!BP25*Control!$B$3,0)</f>
        <v>0</v>
      </c>
      <c r="BQ25">
        <f>IF(AND(COUNTIF(Control!$E$20:$E$100,$B25)=0,COUNTIF(Control!$E$20:$E$100,BQ$2)=0),VISUM_Arterial_OD!BQ25*Control!$B$3,0)</f>
        <v>0</v>
      </c>
    </row>
    <row r="26" spans="1:69" x14ac:dyDescent="0.25">
      <c r="A26" s="5">
        <f>IF(VLOOKUP(B26,Arterial_Zone_Link_Mapping!$A:$C,2,FALSE)&lt;&gt;"",VLOOKUP(B26,Arterial_Zone_Link_Mapping!$A:$C,2,FALSE),"")</f>
        <v>128</v>
      </c>
      <c r="B26" s="5">
        <v>47</v>
      </c>
      <c r="C26">
        <f>IF(AND(COUNTIF(Control!$E$20:$E$100,$B26)=0,COUNTIF(Control!$E$20:$E$100,C$2)=0),VISUM_Arterial_OD!C26*Control!$B$3,0)</f>
        <v>0.29225804999999999</v>
      </c>
      <c r="D26">
        <f>IF(AND(COUNTIF(Control!$E$20:$E$100,$B26)=0,COUNTIF(Control!$E$20:$E$100,D$2)=0),VISUM_Arterial_OD!D26*Control!$B$3,0)</f>
        <v>0.50197358999999997</v>
      </c>
      <c r="E26">
        <f>IF(AND(COUNTIF(Control!$E$20:$E$100,$B26)=0,COUNTIF(Control!$E$20:$E$100,E$2)=0),VISUM_Arterial_OD!E26*Control!$B$3,0)</f>
        <v>0</v>
      </c>
      <c r="F26">
        <f>IF(AND(COUNTIF(Control!$E$20:$E$100,$B26)=0,COUNTIF(Control!$E$20:$E$100,F$2)=0),VISUM_Arterial_OD!F26*Control!$B$3,0)</f>
        <v>0</v>
      </c>
      <c r="G26">
        <f>IF(AND(COUNTIF(Control!$E$20:$E$100,$B26)=0,COUNTIF(Control!$E$20:$E$100,G$2)=0),VISUM_Arterial_OD!G26*Control!$B$3,0)</f>
        <v>0</v>
      </c>
      <c r="H26">
        <f>IF(AND(COUNTIF(Control!$E$20:$E$100,$B26)=0,COUNTIF(Control!$E$20:$E$100,H$2)=0),VISUM_Arterial_OD!H26*Control!$B$3,0)</f>
        <v>0</v>
      </c>
      <c r="I26">
        <f>IF(AND(COUNTIF(Control!$E$20:$E$100,$B26)=0,COUNTIF(Control!$E$20:$E$100,I$2)=0),VISUM_Arterial_OD!I26*Control!$B$3,0)</f>
        <v>0</v>
      </c>
      <c r="J26">
        <f>IF(AND(COUNTIF(Control!$E$20:$E$100,$B26)=0,COUNTIF(Control!$E$20:$E$100,J$2)=0),VISUM_Arterial_OD!J26*Control!$B$3,0)</f>
        <v>3.7759806600000001</v>
      </c>
      <c r="K26">
        <f>IF(AND(COUNTIF(Control!$E$20:$E$100,$B26)=0,COUNTIF(Control!$E$20:$E$100,K$2)=0),VISUM_Arterial_OD!K26*Control!$B$3,0)</f>
        <v>0.84218037000000001</v>
      </c>
      <c r="L26">
        <f>IF(AND(COUNTIF(Control!$E$20:$E$100,$B26)=0,COUNTIF(Control!$E$20:$E$100,L$2)=0),VISUM_Arterial_OD!L26*Control!$B$3,0)</f>
        <v>2.12713566</v>
      </c>
      <c r="M26">
        <f>IF(AND(COUNTIF(Control!$E$20:$E$100,$B26)=0,COUNTIF(Control!$E$20:$E$100,M$2)=0),VISUM_Arterial_OD!M26*Control!$B$3,0)</f>
        <v>0</v>
      </c>
      <c r="N26">
        <f>IF(AND(COUNTIF(Control!$E$20:$E$100,$B26)=0,COUNTIF(Control!$E$20:$E$100,N$2)=0),VISUM_Arterial_OD!N26*Control!$B$3,0)</f>
        <v>0</v>
      </c>
      <c r="O26">
        <f>IF(AND(COUNTIF(Control!$E$20:$E$100,$B26)=0,COUNTIF(Control!$E$20:$E$100,O$2)=0),VISUM_Arterial_OD!O26*Control!$B$3,0)</f>
        <v>10.643060219999999</v>
      </c>
      <c r="P26">
        <f>IF(AND(COUNTIF(Control!$E$20:$E$100,$B26)=0,COUNTIF(Control!$E$20:$E$100,P$2)=0),VISUM_Arterial_OD!P26*Control!$B$3,0)</f>
        <v>0.33981101999999996</v>
      </c>
      <c r="Q26">
        <f>IF(AND(COUNTIF(Control!$E$20:$E$100,$B26)=0,COUNTIF(Control!$E$20:$E$100,Q$2)=0),VISUM_Arterial_OD!Q26*Control!$B$3,0)</f>
        <v>0</v>
      </c>
      <c r="R26">
        <f>IF(AND(COUNTIF(Control!$E$20:$E$100,$B26)=0,COUNTIF(Control!$E$20:$E$100,R$2)=0),VISUM_Arterial_OD!R26*Control!$B$3,0)</f>
        <v>0</v>
      </c>
      <c r="S26">
        <f>IF(AND(COUNTIF(Control!$E$20:$E$100,$B26)=0,COUNTIF(Control!$E$20:$E$100,S$2)=0),VISUM_Arterial_OD!S26*Control!$B$3,0)</f>
        <v>1.3481576399999999</v>
      </c>
      <c r="T26">
        <f>IF(AND(COUNTIF(Control!$E$20:$E$100,$B26)=0,COUNTIF(Control!$E$20:$E$100,T$2)=0),VISUM_Arterial_OD!T26*Control!$B$3,0)</f>
        <v>0</v>
      </c>
      <c r="U26">
        <f>IF(AND(COUNTIF(Control!$E$20:$E$100,$B26)=0,COUNTIF(Control!$E$20:$E$100,U$2)=0),VISUM_Arterial_OD!U26*Control!$B$3,0)</f>
        <v>0</v>
      </c>
      <c r="V26">
        <f>IF(AND(COUNTIF(Control!$E$20:$E$100,$B26)=0,COUNTIF(Control!$E$20:$E$100,V$2)=0),VISUM_Arterial_OD!V26*Control!$B$3,0)</f>
        <v>0</v>
      </c>
      <c r="W26">
        <f>IF(AND(COUNTIF(Control!$E$20:$E$100,$B26)=0,COUNTIF(Control!$E$20:$E$100,W$2)=0),VISUM_Arterial_OD!W26*Control!$B$3,0)</f>
        <v>0</v>
      </c>
      <c r="X26">
        <f>IF(AND(COUNTIF(Control!$E$20:$E$100,$B26)=0,COUNTIF(Control!$E$20:$E$100,X$2)=0),VISUM_Arterial_OD!X26*Control!$B$3,0)</f>
        <v>0</v>
      </c>
      <c r="Y26">
        <f>IF(AND(COUNTIF(Control!$E$20:$E$100,$B26)=0,COUNTIF(Control!$E$20:$E$100,Y$2)=0),VISUM_Arterial_OD!Y26*Control!$B$3,0)</f>
        <v>0</v>
      </c>
      <c r="Z26">
        <f>IF(AND(COUNTIF(Control!$E$20:$E$100,$B26)=0,COUNTIF(Control!$E$20:$E$100,Z$2)=0),VISUM_Arterial_OD!Z26*Control!$B$3,0)</f>
        <v>0</v>
      </c>
      <c r="AA26">
        <f>IF(AND(COUNTIF(Control!$E$20:$E$100,$B26)=0,COUNTIF(Control!$E$20:$E$100,AA$2)=0),VISUM_Arterial_OD!AA26*Control!$B$3,0)</f>
        <v>0</v>
      </c>
      <c r="AB26">
        <f>IF(AND(COUNTIF(Control!$E$20:$E$100,$B26)=0,COUNTIF(Control!$E$20:$E$100,AB$2)=0),VISUM_Arterial_OD!AB26*Control!$B$3,0)</f>
        <v>2.3999790599999997</v>
      </c>
      <c r="AC26">
        <f>IF(AND(COUNTIF(Control!$E$20:$E$100,$B26)=0,COUNTIF(Control!$E$20:$E$100,AC$2)=0),VISUM_Arterial_OD!AC26*Control!$B$3,0)</f>
        <v>6.2700119999999998E-2</v>
      </c>
      <c r="AD26">
        <f>IF(AND(COUNTIF(Control!$E$20:$E$100,$B26)=0,COUNTIF(Control!$E$20:$E$100,AD$2)=0),VISUM_Arterial_OD!AD26*Control!$B$3,0)</f>
        <v>0</v>
      </c>
      <c r="AE26">
        <f>IF(AND(COUNTIF(Control!$E$20:$E$100,$B26)=0,COUNTIF(Control!$E$20:$E$100,AE$2)=0),VISUM_Arterial_OD!AE26*Control!$B$3,0)</f>
        <v>0</v>
      </c>
      <c r="AF26">
        <f>IF(AND(COUNTIF(Control!$E$20:$E$100,$B26)=0,COUNTIF(Control!$E$20:$E$100,AF$2)=0),VISUM_Arterial_OD!AF26*Control!$B$3,0)</f>
        <v>0</v>
      </c>
      <c r="AG26">
        <f>IF(AND(COUNTIF(Control!$E$20:$E$100,$B26)=0,COUNTIF(Control!$E$20:$E$100,AG$2)=0),VISUM_Arterial_OD!AG26*Control!$B$3,0)</f>
        <v>0</v>
      </c>
      <c r="AH26">
        <f>IF(AND(COUNTIF(Control!$E$20:$E$100,$B26)=0,COUNTIF(Control!$E$20:$E$100,AH$2)=0),VISUM_Arterial_OD!AH26*Control!$B$3,0)</f>
        <v>0</v>
      </c>
      <c r="AI26">
        <f>IF(AND(COUNTIF(Control!$E$20:$E$100,$B26)=0,COUNTIF(Control!$E$20:$E$100,AI$2)=0),VISUM_Arterial_OD!AI26*Control!$B$3,0)</f>
        <v>0</v>
      </c>
      <c r="AJ26">
        <f>IF(AND(COUNTIF(Control!$E$20:$E$100,$B26)=0,COUNTIF(Control!$E$20:$E$100,AJ$2)=0),VISUM_Arterial_OD!AJ26*Control!$B$3,0)</f>
        <v>0</v>
      </c>
      <c r="AK26">
        <f>IF(AND(COUNTIF(Control!$E$20:$E$100,$B26)=0,COUNTIF(Control!$E$20:$E$100,AK$2)=0),VISUM_Arterial_OD!AK26*Control!$B$3,0)</f>
        <v>0</v>
      </c>
      <c r="AL26">
        <f>IF(AND(COUNTIF(Control!$E$20:$E$100,$B26)=0,COUNTIF(Control!$E$20:$E$100,AL$2)=0),VISUM_Arterial_OD!AL26*Control!$B$3,0)</f>
        <v>6.1422260099999999</v>
      </c>
      <c r="AM26">
        <f>IF(AND(COUNTIF(Control!$E$20:$E$100,$B26)=0,COUNTIF(Control!$E$20:$E$100,AM$2)=0),VISUM_Arterial_OD!AM26*Control!$B$3,0)</f>
        <v>0</v>
      </c>
      <c r="AN26">
        <f>IF(AND(COUNTIF(Control!$E$20:$E$100,$B26)=0,COUNTIF(Control!$E$20:$E$100,AN$2)=0),VISUM_Arterial_OD!AN26*Control!$B$3,0)</f>
        <v>5.1862404</v>
      </c>
      <c r="AO26">
        <f>IF(AND(COUNTIF(Control!$E$20:$E$100,$B26)=0,COUNTIF(Control!$E$20:$E$100,AO$2)=0),VISUM_Arterial_OD!AO26*Control!$B$3,0)</f>
        <v>0</v>
      </c>
      <c r="AP26">
        <f>IF(AND(COUNTIF(Control!$E$20:$E$100,$B26)=0,COUNTIF(Control!$E$20:$E$100,AP$2)=0),VISUM_Arterial_OD!AP26*Control!$B$3,0)</f>
        <v>0</v>
      </c>
      <c r="AQ26">
        <f>IF(AND(COUNTIF(Control!$E$20:$E$100,$B26)=0,COUNTIF(Control!$E$20:$E$100,AQ$2)=0),VISUM_Arterial_OD!AQ26*Control!$B$3,0)</f>
        <v>0</v>
      </c>
      <c r="AR26">
        <f>IF(AND(COUNTIF(Control!$E$20:$E$100,$B26)=0,COUNTIF(Control!$E$20:$E$100,AR$2)=0),VISUM_Arterial_OD!AR26*Control!$B$3,0)</f>
        <v>0</v>
      </c>
      <c r="AS26">
        <f>IF(AND(COUNTIF(Control!$E$20:$E$100,$B26)=0,COUNTIF(Control!$E$20:$E$100,AS$2)=0),VISUM_Arterial_OD!AS26*Control!$B$3,0)</f>
        <v>0</v>
      </c>
      <c r="AT26">
        <f>IF(AND(COUNTIF(Control!$E$20:$E$100,$B26)=0,COUNTIF(Control!$E$20:$E$100,AT$2)=0),VISUM_Arterial_OD!AT26*Control!$B$3,0)</f>
        <v>0</v>
      </c>
      <c r="AU26">
        <f>IF(AND(COUNTIF(Control!$E$20:$E$100,$B26)=0,COUNTIF(Control!$E$20:$E$100,AU$2)=0),VISUM_Arterial_OD!AU26*Control!$B$3,0)</f>
        <v>0</v>
      </c>
      <c r="AV26">
        <f>IF(AND(COUNTIF(Control!$E$20:$E$100,$B26)=0,COUNTIF(Control!$E$20:$E$100,AV$2)=0),VISUM_Arterial_OD!AV26*Control!$B$3,0)</f>
        <v>0</v>
      </c>
      <c r="AW26">
        <f>IF(AND(COUNTIF(Control!$E$20:$E$100,$B26)=0,COUNTIF(Control!$E$20:$E$100,AW$2)=0),VISUM_Arterial_OD!AW26*Control!$B$3,0)</f>
        <v>0</v>
      </c>
      <c r="AX26">
        <f>IF(AND(COUNTIF(Control!$E$20:$E$100,$B26)=0,COUNTIF(Control!$E$20:$E$100,AX$2)=0),VISUM_Arterial_OD!AX26*Control!$B$3,0)</f>
        <v>0.35161877999999996</v>
      </c>
      <c r="AY26">
        <f>IF(AND(COUNTIF(Control!$E$20:$E$100,$B26)=0,COUNTIF(Control!$E$20:$E$100,AY$2)=0),VISUM_Arterial_OD!AY26*Control!$B$3,0)</f>
        <v>0</v>
      </c>
      <c r="AZ26">
        <f>IF(AND(COUNTIF(Control!$E$20:$E$100,$B26)=0,COUNTIF(Control!$E$20:$E$100,AZ$2)=0),VISUM_Arterial_OD!AZ26*Control!$B$3,0)</f>
        <v>0</v>
      </c>
      <c r="BA26">
        <f>IF(AND(COUNTIF(Control!$E$20:$E$100,$B26)=0,COUNTIF(Control!$E$20:$E$100,BA$2)=0),VISUM_Arterial_OD!BA26*Control!$B$3,0)</f>
        <v>0</v>
      </c>
      <c r="BB26">
        <f>IF(AND(COUNTIF(Control!$E$20:$E$100,$B26)=0,COUNTIF(Control!$E$20:$E$100,BB$2)=0),VISUM_Arterial_OD!BB26*Control!$B$3,0)</f>
        <v>0</v>
      </c>
      <c r="BC26">
        <f>IF(AND(COUNTIF(Control!$E$20:$E$100,$B26)=0,COUNTIF(Control!$E$20:$E$100,BC$2)=0),VISUM_Arterial_OD!BC26*Control!$B$3,0)</f>
        <v>0</v>
      </c>
      <c r="BD26">
        <f>IF(AND(COUNTIF(Control!$E$20:$E$100,$B26)=0,COUNTIF(Control!$E$20:$E$100,BD$2)=0),VISUM_Arterial_OD!BD26*Control!$B$3,0)</f>
        <v>0</v>
      </c>
      <c r="BE26">
        <f>IF(AND(COUNTIF(Control!$E$20:$E$100,$B26)=0,COUNTIF(Control!$E$20:$E$100,BE$2)=0),VISUM_Arterial_OD!BE26*Control!$B$3,0)</f>
        <v>0</v>
      </c>
      <c r="BF26">
        <f>IF(AND(COUNTIF(Control!$E$20:$E$100,$B26)=0,COUNTIF(Control!$E$20:$E$100,BF$2)=0),VISUM_Arterial_OD!BF26*Control!$B$3,0)</f>
        <v>0</v>
      </c>
      <c r="BG26">
        <f>IF(AND(COUNTIF(Control!$E$20:$E$100,$B26)=0,COUNTIF(Control!$E$20:$E$100,BG$2)=0),VISUM_Arterial_OD!BG26*Control!$B$3,0)</f>
        <v>0</v>
      </c>
      <c r="BH26">
        <f>IF(AND(COUNTIF(Control!$E$20:$E$100,$B26)=0,COUNTIF(Control!$E$20:$E$100,BH$2)=0),VISUM_Arterial_OD!BH26*Control!$B$3,0)</f>
        <v>0</v>
      </c>
      <c r="BI26">
        <f>IF(AND(COUNTIF(Control!$E$20:$E$100,$B26)=0,COUNTIF(Control!$E$20:$E$100,BI$2)=0),VISUM_Arterial_OD!BI26*Control!$B$3,0)</f>
        <v>0</v>
      </c>
      <c r="BJ26">
        <f>IF(AND(COUNTIF(Control!$E$20:$E$100,$B26)=0,COUNTIF(Control!$E$20:$E$100,BJ$2)=0),VISUM_Arterial_OD!BJ26*Control!$B$3,0)</f>
        <v>0</v>
      </c>
      <c r="BK26">
        <f>IF(AND(COUNTIF(Control!$E$20:$E$100,$B26)=0,COUNTIF(Control!$E$20:$E$100,BK$2)=0),VISUM_Arterial_OD!BK26*Control!$B$3,0)</f>
        <v>0</v>
      </c>
      <c r="BL26">
        <f>IF(AND(COUNTIF(Control!$E$20:$E$100,$B26)=0,COUNTIF(Control!$E$20:$E$100,BL$2)=0),VISUM_Arterial_OD!BL26*Control!$B$3,0)</f>
        <v>0</v>
      </c>
      <c r="BM26">
        <f>IF(AND(COUNTIF(Control!$E$20:$E$100,$B26)=0,COUNTIF(Control!$E$20:$E$100,BM$2)=0),VISUM_Arterial_OD!BM26*Control!$B$3,0)</f>
        <v>0</v>
      </c>
      <c r="BN26">
        <f>IF(AND(COUNTIF(Control!$E$20:$E$100,$B26)=0,COUNTIF(Control!$E$20:$E$100,BN$2)=0),VISUM_Arterial_OD!BN26*Control!$B$3,0)</f>
        <v>0</v>
      </c>
      <c r="BO26">
        <f>IF(AND(COUNTIF(Control!$E$20:$E$100,$B26)=0,COUNTIF(Control!$E$20:$E$100,BO$2)=0),VISUM_Arterial_OD!BO26*Control!$B$3,0)</f>
        <v>0.18739809000000002</v>
      </c>
      <c r="BP26">
        <f>IF(AND(COUNTIF(Control!$E$20:$E$100,$B26)=0,COUNTIF(Control!$E$20:$E$100,BP$2)=0),VISUM_Arterial_OD!BP26*Control!$B$3,0)</f>
        <v>0.14861415</v>
      </c>
      <c r="BQ26">
        <f>IF(AND(COUNTIF(Control!$E$20:$E$100,$B26)=0,COUNTIF(Control!$E$20:$E$100,BQ$2)=0),VISUM_Arterial_OD!BQ26*Control!$B$3,0)</f>
        <v>0</v>
      </c>
    </row>
    <row r="27" spans="1:69" x14ac:dyDescent="0.25">
      <c r="A27" s="5">
        <f>IF(VLOOKUP(B27,Arterial_Zone_Link_Mapping!$A:$C,2,FALSE)&lt;&gt;"",VLOOKUP(B27,Arterial_Zone_Link_Mapping!$A:$C,2,FALSE),"")</f>
        <v>135</v>
      </c>
      <c r="B27" s="5">
        <v>49</v>
      </c>
      <c r="C27">
        <f>IF(AND(COUNTIF(Control!$E$20:$E$100,$B27)=0,COUNTIF(Control!$E$20:$E$100,C$2)=0),VISUM_Arterial_OD!C27*Control!$B$3,0)</f>
        <v>0</v>
      </c>
      <c r="D27">
        <f>IF(AND(COUNTIF(Control!$E$20:$E$100,$B27)=0,COUNTIF(Control!$E$20:$E$100,D$2)=0),VISUM_Arterial_OD!D27*Control!$B$3,0)</f>
        <v>0</v>
      </c>
      <c r="E27">
        <f>IF(AND(COUNTIF(Control!$E$20:$E$100,$B27)=0,COUNTIF(Control!$E$20:$E$100,E$2)=0),VISUM_Arterial_OD!E27*Control!$B$3,0)</f>
        <v>0</v>
      </c>
      <c r="F27">
        <f>IF(AND(COUNTIF(Control!$E$20:$E$100,$B27)=0,COUNTIF(Control!$E$20:$E$100,F$2)=0),VISUM_Arterial_OD!F27*Control!$B$3,0)</f>
        <v>0</v>
      </c>
      <c r="G27">
        <f>IF(AND(COUNTIF(Control!$E$20:$E$100,$B27)=0,COUNTIF(Control!$E$20:$E$100,G$2)=0),VISUM_Arterial_OD!G27*Control!$B$3,0)</f>
        <v>2.8499751299999998</v>
      </c>
      <c r="H27">
        <f>IF(AND(COUNTIF(Control!$E$20:$E$100,$B27)=0,COUNTIF(Control!$E$20:$E$100,H$2)=0),VISUM_Arterial_OD!H27*Control!$B$3,0)</f>
        <v>0</v>
      </c>
      <c r="I27">
        <f>IF(AND(COUNTIF(Control!$E$20:$E$100,$B27)=0,COUNTIF(Control!$E$20:$E$100,I$2)=0),VISUM_Arterial_OD!I27*Control!$B$3,0)</f>
        <v>0</v>
      </c>
      <c r="J27">
        <f>IF(AND(COUNTIF(Control!$E$20:$E$100,$B27)=0,COUNTIF(Control!$E$20:$E$100,J$2)=0),VISUM_Arterial_OD!J27*Control!$B$3,0)</f>
        <v>0</v>
      </c>
      <c r="K27">
        <f>IF(AND(COUNTIF(Control!$E$20:$E$100,$B27)=0,COUNTIF(Control!$E$20:$E$100,K$2)=0),VISUM_Arterial_OD!K27*Control!$B$3,0)</f>
        <v>0</v>
      </c>
      <c r="L27">
        <f>IF(AND(COUNTIF(Control!$E$20:$E$100,$B27)=0,COUNTIF(Control!$E$20:$E$100,L$2)=0),VISUM_Arterial_OD!L27*Control!$B$3,0)</f>
        <v>0</v>
      </c>
      <c r="M27">
        <f>IF(AND(COUNTIF(Control!$E$20:$E$100,$B27)=0,COUNTIF(Control!$E$20:$E$100,M$2)=0),VISUM_Arterial_OD!M27*Control!$B$3,0)</f>
        <v>0</v>
      </c>
      <c r="N27">
        <f>IF(AND(COUNTIF(Control!$E$20:$E$100,$B27)=0,COUNTIF(Control!$E$20:$E$100,N$2)=0),VISUM_Arterial_OD!N27*Control!$B$3,0)</f>
        <v>0</v>
      </c>
      <c r="O27">
        <f>IF(AND(COUNTIF(Control!$E$20:$E$100,$B27)=0,COUNTIF(Control!$E$20:$E$100,O$2)=0),VISUM_Arterial_OD!O27*Control!$B$3,0)</f>
        <v>0</v>
      </c>
      <c r="P27">
        <f>IF(AND(COUNTIF(Control!$E$20:$E$100,$B27)=0,COUNTIF(Control!$E$20:$E$100,P$2)=0),VISUM_Arterial_OD!P27*Control!$B$3,0)</f>
        <v>0</v>
      </c>
      <c r="Q27">
        <f>IF(AND(COUNTIF(Control!$E$20:$E$100,$B27)=0,COUNTIF(Control!$E$20:$E$100,Q$2)=0),VISUM_Arterial_OD!Q27*Control!$B$3,0)</f>
        <v>2.5218419999999998E-2</v>
      </c>
      <c r="R27">
        <f>IF(AND(COUNTIF(Control!$E$20:$E$100,$B27)=0,COUNTIF(Control!$E$20:$E$100,R$2)=0),VISUM_Arterial_OD!R27*Control!$B$3,0)</f>
        <v>0</v>
      </c>
      <c r="S27">
        <f>IF(AND(COUNTIF(Control!$E$20:$E$100,$B27)=0,COUNTIF(Control!$E$20:$E$100,S$2)=0),VISUM_Arterial_OD!S27*Control!$B$3,0)</f>
        <v>0</v>
      </c>
      <c r="T27">
        <f>IF(AND(COUNTIF(Control!$E$20:$E$100,$B27)=0,COUNTIF(Control!$E$20:$E$100,T$2)=0),VISUM_Arterial_OD!T27*Control!$B$3,0)</f>
        <v>0</v>
      </c>
      <c r="U27">
        <f>IF(AND(COUNTIF(Control!$E$20:$E$100,$B27)=0,COUNTIF(Control!$E$20:$E$100,U$2)=0),VISUM_Arterial_OD!U27*Control!$B$3,0)</f>
        <v>7.7999319299999996</v>
      </c>
      <c r="V27">
        <f>IF(AND(COUNTIF(Control!$E$20:$E$100,$B27)=0,COUNTIF(Control!$E$20:$E$100,V$2)=0),VISUM_Arterial_OD!V27*Control!$B$3,0)</f>
        <v>3.0252235799999996</v>
      </c>
      <c r="W27">
        <f>IF(AND(COUNTIF(Control!$E$20:$E$100,$B27)=0,COUNTIF(Control!$E$20:$E$100,W$2)=0),VISUM_Arterial_OD!W27*Control!$B$3,0)</f>
        <v>0.41407358999999999</v>
      </c>
      <c r="X27">
        <f>IF(AND(COUNTIF(Control!$E$20:$E$100,$B27)=0,COUNTIF(Control!$E$20:$E$100,X$2)=0),VISUM_Arterial_OD!X27*Control!$B$3,0)</f>
        <v>0.96727344000000004</v>
      </c>
      <c r="Y27">
        <f>IF(AND(COUNTIF(Control!$E$20:$E$100,$B27)=0,COUNTIF(Control!$E$20:$E$100,Y$2)=0),VISUM_Arterial_OD!Y27*Control!$B$3,0)</f>
        <v>0</v>
      </c>
      <c r="Z27">
        <f>IF(AND(COUNTIF(Control!$E$20:$E$100,$B27)=0,COUNTIF(Control!$E$20:$E$100,Z$2)=0),VISUM_Arterial_OD!Z27*Control!$B$3,0)</f>
        <v>0</v>
      </c>
      <c r="AA27">
        <f>IF(AND(COUNTIF(Control!$E$20:$E$100,$B27)=0,COUNTIF(Control!$E$20:$E$100,AA$2)=0),VISUM_Arterial_OD!AA27*Control!$B$3,0)</f>
        <v>0</v>
      </c>
      <c r="AB27">
        <f>IF(AND(COUNTIF(Control!$E$20:$E$100,$B27)=0,COUNTIF(Control!$E$20:$E$100,AB$2)=0),VISUM_Arterial_OD!AB27*Control!$B$3,0)</f>
        <v>0</v>
      </c>
      <c r="AC27">
        <f>IF(AND(COUNTIF(Control!$E$20:$E$100,$B27)=0,COUNTIF(Control!$E$20:$E$100,AC$2)=0),VISUM_Arterial_OD!AC27*Control!$B$3,0)</f>
        <v>0</v>
      </c>
      <c r="AD27">
        <f>IF(AND(COUNTIF(Control!$E$20:$E$100,$B27)=0,COUNTIF(Control!$E$20:$E$100,AD$2)=0),VISUM_Arterial_OD!AD27*Control!$B$3,0)</f>
        <v>0</v>
      </c>
      <c r="AE27">
        <f>IF(AND(COUNTIF(Control!$E$20:$E$100,$B27)=0,COUNTIF(Control!$E$20:$E$100,AE$2)=0),VISUM_Arterial_OD!AE27*Control!$B$3,0)</f>
        <v>0</v>
      </c>
      <c r="AF27">
        <f>IF(AND(COUNTIF(Control!$E$20:$E$100,$B27)=0,COUNTIF(Control!$E$20:$E$100,AF$2)=0),VISUM_Arterial_OD!AF27*Control!$B$3,0)</f>
        <v>0</v>
      </c>
      <c r="AG27">
        <f>IF(AND(COUNTIF(Control!$E$20:$E$100,$B27)=0,COUNTIF(Control!$E$20:$E$100,AG$2)=0),VISUM_Arterial_OD!AG27*Control!$B$3,0)</f>
        <v>0</v>
      </c>
      <c r="AH27">
        <f>IF(AND(COUNTIF(Control!$E$20:$E$100,$B27)=0,COUNTIF(Control!$E$20:$E$100,AH$2)=0),VISUM_Arterial_OD!AH27*Control!$B$3,0)</f>
        <v>0</v>
      </c>
      <c r="AI27">
        <f>IF(AND(COUNTIF(Control!$E$20:$E$100,$B27)=0,COUNTIF(Control!$E$20:$E$100,AI$2)=0),VISUM_Arterial_OD!AI27*Control!$B$3,0)</f>
        <v>0</v>
      </c>
      <c r="AJ27">
        <f>IF(AND(COUNTIF(Control!$E$20:$E$100,$B27)=0,COUNTIF(Control!$E$20:$E$100,AJ$2)=0),VISUM_Arterial_OD!AJ27*Control!$B$3,0)</f>
        <v>0</v>
      </c>
      <c r="AK27">
        <f>IF(AND(COUNTIF(Control!$E$20:$E$100,$B27)=0,COUNTIF(Control!$E$20:$E$100,AK$2)=0),VISUM_Arterial_OD!AK27*Control!$B$3,0)</f>
        <v>0</v>
      </c>
      <c r="AL27">
        <f>IF(AND(COUNTIF(Control!$E$20:$E$100,$B27)=0,COUNTIF(Control!$E$20:$E$100,AL$2)=0),VISUM_Arterial_OD!AL27*Control!$B$3,0)</f>
        <v>0</v>
      </c>
      <c r="AM27">
        <f>IF(AND(COUNTIF(Control!$E$20:$E$100,$B27)=0,COUNTIF(Control!$E$20:$E$100,AM$2)=0),VISUM_Arterial_OD!AM27*Control!$B$3,0)</f>
        <v>0</v>
      </c>
      <c r="AN27">
        <f>IF(AND(COUNTIF(Control!$E$20:$E$100,$B27)=0,COUNTIF(Control!$E$20:$E$100,AN$2)=0),VISUM_Arterial_OD!AN27*Control!$B$3,0)</f>
        <v>0</v>
      </c>
      <c r="AO27">
        <f>IF(AND(COUNTIF(Control!$E$20:$E$100,$B27)=0,COUNTIF(Control!$E$20:$E$100,AO$2)=0),VISUM_Arterial_OD!AO27*Control!$B$3,0)</f>
        <v>0</v>
      </c>
      <c r="AP27">
        <f>IF(AND(COUNTIF(Control!$E$20:$E$100,$B27)=0,COUNTIF(Control!$E$20:$E$100,AP$2)=0),VISUM_Arterial_OD!AP27*Control!$B$3,0)</f>
        <v>0</v>
      </c>
      <c r="AQ27">
        <f>IF(AND(COUNTIF(Control!$E$20:$E$100,$B27)=0,COUNTIF(Control!$E$20:$E$100,AQ$2)=0),VISUM_Arterial_OD!AQ27*Control!$B$3,0)</f>
        <v>0</v>
      </c>
      <c r="AR27">
        <f>IF(AND(COUNTIF(Control!$E$20:$E$100,$B27)=0,COUNTIF(Control!$E$20:$E$100,AR$2)=0),VISUM_Arterial_OD!AR27*Control!$B$3,0)</f>
        <v>0</v>
      </c>
      <c r="AS27">
        <f>IF(AND(COUNTIF(Control!$E$20:$E$100,$B27)=0,COUNTIF(Control!$E$20:$E$100,AS$2)=0),VISUM_Arterial_OD!AS27*Control!$B$3,0)</f>
        <v>0</v>
      </c>
      <c r="AT27">
        <f>IF(AND(COUNTIF(Control!$E$20:$E$100,$B27)=0,COUNTIF(Control!$E$20:$E$100,AT$2)=0),VISUM_Arterial_OD!AT27*Control!$B$3,0)</f>
        <v>0</v>
      </c>
      <c r="AU27">
        <f>IF(AND(COUNTIF(Control!$E$20:$E$100,$B27)=0,COUNTIF(Control!$E$20:$E$100,AU$2)=0),VISUM_Arterial_OD!AU27*Control!$B$3,0)</f>
        <v>0</v>
      </c>
      <c r="AV27">
        <f>IF(AND(COUNTIF(Control!$E$20:$E$100,$B27)=0,COUNTIF(Control!$E$20:$E$100,AV$2)=0),VISUM_Arterial_OD!AV27*Control!$B$3,0)</f>
        <v>0</v>
      </c>
      <c r="AW27">
        <f>IF(AND(COUNTIF(Control!$E$20:$E$100,$B27)=0,COUNTIF(Control!$E$20:$E$100,AW$2)=0),VISUM_Arterial_OD!AW27*Control!$B$3,0)</f>
        <v>0</v>
      </c>
      <c r="AX27">
        <f>IF(AND(COUNTIF(Control!$E$20:$E$100,$B27)=0,COUNTIF(Control!$E$20:$E$100,AX$2)=0),VISUM_Arterial_OD!AX27*Control!$B$3,0)</f>
        <v>0</v>
      </c>
      <c r="AY27">
        <f>IF(AND(COUNTIF(Control!$E$20:$E$100,$B27)=0,COUNTIF(Control!$E$20:$E$100,AY$2)=0),VISUM_Arterial_OD!AY27*Control!$B$3,0)</f>
        <v>0</v>
      </c>
      <c r="AZ27">
        <f>IF(AND(COUNTIF(Control!$E$20:$E$100,$B27)=0,COUNTIF(Control!$E$20:$E$100,AZ$2)=0),VISUM_Arterial_OD!AZ27*Control!$B$3,0)</f>
        <v>0</v>
      </c>
      <c r="BA27">
        <f>IF(AND(COUNTIF(Control!$E$20:$E$100,$B27)=0,COUNTIF(Control!$E$20:$E$100,BA$2)=0),VISUM_Arterial_OD!BA27*Control!$B$3,0)</f>
        <v>0</v>
      </c>
      <c r="BB27">
        <f>IF(AND(COUNTIF(Control!$E$20:$E$100,$B27)=0,COUNTIF(Control!$E$20:$E$100,BB$2)=0),VISUM_Arterial_OD!BB27*Control!$B$3,0)</f>
        <v>0</v>
      </c>
      <c r="BC27">
        <f>IF(AND(COUNTIF(Control!$E$20:$E$100,$B27)=0,COUNTIF(Control!$E$20:$E$100,BC$2)=0),VISUM_Arterial_OD!BC27*Control!$B$3,0)</f>
        <v>0</v>
      </c>
      <c r="BD27">
        <f>IF(AND(COUNTIF(Control!$E$20:$E$100,$B27)=0,COUNTIF(Control!$E$20:$E$100,BD$2)=0),VISUM_Arterial_OD!BD27*Control!$B$3,0)</f>
        <v>0</v>
      </c>
      <c r="BE27">
        <f>IF(AND(COUNTIF(Control!$E$20:$E$100,$B27)=0,COUNTIF(Control!$E$20:$E$100,BE$2)=0),VISUM_Arterial_OD!BE27*Control!$B$3,0)</f>
        <v>1.26822291</v>
      </c>
      <c r="BF27">
        <f>IF(AND(COUNTIF(Control!$E$20:$E$100,$B27)=0,COUNTIF(Control!$E$20:$E$100,BF$2)=0),VISUM_Arterial_OD!BF27*Control!$B$3,0)</f>
        <v>0</v>
      </c>
      <c r="BG27">
        <f>IF(AND(COUNTIF(Control!$E$20:$E$100,$B27)=0,COUNTIF(Control!$E$20:$E$100,BG$2)=0),VISUM_Arterial_OD!BG27*Control!$B$3,0)</f>
        <v>0</v>
      </c>
      <c r="BH27">
        <f>IF(AND(COUNTIF(Control!$E$20:$E$100,$B27)=0,COUNTIF(Control!$E$20:$E$100,BH$2)=0),VISUM_Arterial_OD!BH27*Control!$B$3,0)</f>
        <v>0</v>
      </c>
      <c r="BI27">
        <f>IF(AND(COUNTIF(Control!$E$20:$E$100,$B27)=0,COUNTIF(Control!$E$20:$E$100,BI$2)=0),VISUM_Arterial_OD!BI27*Control!$B$3,0)</f>
        <v>0</v>
      </c>
      <c r="BJ27">
        <f>IF(AND(COUNTIF(Control!$E$20:$E$100,$B27)=0,COUNTIF(Control!$E$20:$E$100,BJ$2)=0),VISUM_Arterial_OD!BJ27*Control!$B$3,0)</f>
        <v>0</v>
      </c>
      <c r="BK27">
        <f>IF(AND(COUNTIF(Control!$E$20:$E$100,$B27)=0,COUNTIF(Control!$E$20:$E$100,BK$2)=0),VISUM_Arterial_OD!BK27*Control!$B$3,0)</f>
        <v>0</v>
      </c>
      <c r="BL27">
        <f>IF(AND(COUNTIF(Control!$E$20:$E$100,$B27)=0,COUNTIF(Control!$E$20:$E$100,BL$2)=0),VISUM_Arterial_OD!BL27*Control!$B$3,0)</f>
        <v>0</v>
      </c>
      <c r="BM27">
        <f>IF(AND(COUNTIF(Control!$E$20:$E$100,$B27)=0,COUNTIF(Control!$E$20:$E$100,BM$2)=0),VISUM_Arterial_OD!BM27*Control!$B$3,0)</f>
        <v>0</v>
      </c>
      <c r="BN27">
        <f>IF(AND(COUNTIF(Control!$E$20:$E$100,$B27)=0,COUNTIF(Control!$E$20:$E$100,BN$2)=0),VISUM_Arterial_OD!BN27*Control!$B$3,0)</f>
        <v>0</v>
      </c>
      <c r="BO27">
        <f>IF(AND(COUNTIF(Control!$E$20:$E$100,$B27)=0,COUNTIF(Control!$E$20:$E$100,BO$2)=0),VISUM_Arterial_OD!BO27*Control!$B$3,0)</f>
        <v>0</v>
      </c>
      <c r="BP27">
        <f>IF(AND(COUNTIF(Control!$E$20:$E$100,$B27)=0,COUNTIF(Control!$E$20:$E$100,BP$2)=0),VISUM_Arterial_OD!BP27*Control!$B$3,0)</f>
        <v>0</v>
      </c>
      <c r="BQ27">
        <f>IF(AND(COUNTIF(Control!$E$20:$E$100,$B27)=0,COUNTIF(Control!$E$20:$E$100,BQ$2)=0),VISUM_Arterial_OD!BQ27*Control!$B$3,0)</f>
        <v>0</v>
      </c>
    </row>
    <row r="28" spans="1:69" x14ac:dyDescent="0.25">
      <c r="A28" s="5">
        <f>IF(VLOOKUP(B28,Arterial_Zone_Link_Mapping!$A:$C,2,FALSE)&lt;&gt;"",VLOOKUP(B28,Arterial_Zone_Link_Mapping!$A:$C,2,FALSE),"")</f>
        <v>95</v>
      </c>
      <c r="B28" s="5">
        <v>50</v>
      </c>
      <c r="C28">
        <f>IF(AND(COUNTIF(Control!$E$20:$E$100,$B28)=0,COUNTIF(Control!$E$20:$E$100,C$2)=0),VISUM_Arterial_OD!C28*Control!$B$3,0)</f>
        <v>0.34896921000000003</v>
      </c>
      <c r="D28">
        <f>IF(AND(COUNTIF(Control!$E$20:$E$100,$B28)=0,COUNTIF(Control!$E$20:$E$100,D$2)=0),VISUM_Arterial_OD!D28*Control!$B$3,0)</f>
        <v>0.35755358999999998</v>
      </c>
      <c r="E28">
        <f>IF(AND(COUNTIF(Control!$E$20:$E$100,$B28)=0,COUNTIF(Control!$E$20:$E$100,E$2)=0),VISUM_Arterial_OD!E28*Control!$B$3,0)</f>
        <v>0</v>
      </c>
      <c r="F28">
        <f>IF(AND(COUNTIF(Control!$E$20:$E$100,$B28)=0,COUNTIF(Control!$E$20:$E$100,F$2)=0),VISUM_Arterial_OD!F28*Control!$B$3,0)</f>
        <v>0</v>
      </c>
      <c r="G28">
        <f>IF(AND(COUNTIF(Control!$E$20:$E$100,$B28)=0,COUNTIF(Control!$E$20:$E$100,G$2)=0),VISUM_Arterial_OD!G28*Control!$B$3,0)</f>
        <v>0</v>
      </c>
      <c r="H28">
        <f>IF(AND(COUNTIF(Control!$E$20:$E$100,$B28)=0,COUNTIF(Control!$E$20:$E$100,H$2)=0),VISUM_Arterial_OD!H28*Control!$B$3,0)</f>
        <v>0</v>
      </c>
      <c r="I28">
        <f>IF(AND(COUNTIF(Control!$E$20:$E$100,$B28)=0,COUNTIF(Control!$E$20:$E$100,I$2)=0),VISUM_Arterial_OD!I28*Control!$B$3,0)</f>
        <v>0</v>
      </c>
      <c r="J28">
        <f>IF(AND(COUNTIF(Control!$E$20:$E$100,$B28)=0,COUNTIF(Control!$E$20:$E$100,J$2)=0),VISUM_Arterial_OD!J28*Control!$B$3,0)</f>
        <v>2.0676605099999996</v>
      </c>
      <c r="K28">
        <f>IF(AND(COUNTIF(Control!$E$20:$E$100,$B28)=0,COUNTIF(Control!$E$20:$E$100,K$2)=0),VISUM_Arterial_OD!K28*Control!$B$3,0)</f>
        <v>0.34706588999999999</v>
      </c>
      <c r="L28">
        <f>IF(AND(COUNTIF(Control!$E$20:$E$100,$B28)=0,COUNTIF(Control!$E$20:$E$100,L$2)=0),VISUM_Arterial_OD!L28*Control!$B$3,0)</f>
        <v>0.39214538999999998</v>
      </c>
      <c r="M28">
        <f>IF(AND(COUNTIF(Control!$E$20:$E$100,$B28)=0,COUNTIF(Control!$E$20:$E$100,M$2)=0),VISUM_Arterial_OD!M28*Control!$B$3,0)</f>
        <v>0</v>
      </c>
      <c r="N28">
        <f>IF(AND(COUNTIF(Control!$E$20:$E$100,$B28)=0,COUNTIF(Control!$E$20:$E$100,N$2)=0),VISUM_Arterial_OD!N28*Control!$B$3,0)</f>
        <v>0</v>
      </c>
      <c r="O28">
        <f>IF(AND(COUNTIF(Control!$E$20:$E$100,$B28)=0,COUNTIF(Control!$E$20:$E$100,O$2)=0),VISUM_Arterial_OD!O28*Control!$B$3,0)</f>
        <v>1.9124437799999998</v>
      </c>
      <c r="P28">
        <f>IF(AND(COUNTIF(Control!$E$20:$E$100,$B28)=0,COUNTIF(Control!$E$20:$E$100,P$2)=0),VISUM_Arterial_OD!P28*Control!$B$3,0)</f>
        <v>0.17582480999999997</v>
      </c>
      <c r="Q28">
        <f>IF(AND(COUNTIF(Control!$E$20:$E$100,$B28)=0,COUNTIF(Control!$E$20:$E$100,Q$2)=0),VISUM_Arterial_OD!Q28*Control!$B$3,0)</f>
        <v>0</v>
      </c>
      <c r="R28">
        <f>IF(AND(COUNTIF(Control!$E$20:$E$100,$B28)=0,COUNTIF(Control!$E$20:$E$100,R$2)=0),VISUM_Arterial_OD!R28*Control!$B$3,0)</f>
        <v>0</v>
      </c>
      <c r="S28">
        <f>IF(AND(COUNTIF(Control!$E$20:$E$100,$B28)=0,COUNTIF(Control!$E$20:$E$100,S$2)=0),VISUM_Arterial_OD!S28*Control!$B$3,0)</f>
        <v>0.81111974999999992</v>
      </c>
      <c r="T28">
        <f>IF(AND(COUNTIF(Control!$E$20:$E$100,$B28)=0,COUNTIF(Control!$E$20:$E$100,T$2)=0),VISUM_Arterial_OD!T28*Control!$B$3,0)</f>
        <v>0</v>
      </c>
      <c r="U28">
        <f>IF(AND(COUNTIF(Control!$E$20:$E$100,$B28)=0,COUNTIF(Control!$E$20:$E$100,U$2)=0),VISUM_Arterial_OD!U28*Control!$B$3,0)</f>
        <v>0</v>
      </c>
      <c r="V28">
        <f>IF(AND(COUNTIF(Control!$E$20:$E$100,$B28)=0,COUNTIF(Control!$E$20:$E$100,V$2)=0),VISUM_Arterial_OD!V28*Control!$B$3,0)</f>
        <v>0</v>
      </c>
      <c r="W28">
        <f>IF(AND(COUNTIF(Control!$E$20:$E$100,$B28)=0,COUNTIF(Control!$E$20:$E$100,W$2)=0),VISUM_Arterial_OD!W28*Control!$B$3,0)</f>
        <v>0</v>
      </c>
      <c r="X28">
        <f>IF(AND(COUNTIF(Control!$E$20:$E$100,$B28)=0,COUNTIF(Control!$E$20:$E$100,X$2)=0),VISUM_Arterial_OD!X28*Control!$B$3,0)</f>
        <v>0</v>
      </c>
      <c r="Y28">
        <f>IF(AND(COUNTIF(Control!$E$20:$E$100,$B28)=0,COUNTIF(Control!$E$20:$E$100,Y$2)=0),VISUM_Arterial_OD!Y28*Control!$B$3,0)</f>
        <v>0</v>
      </c>
      <c r="Z28">
        <f>IF(AND(COUNTIF(Control!$E$20:$E$100,$B28)=0,COUNTIF(Control!$E$20:$E$100,Z$2)=0),VISUM_Arterial_OD!Z28*Control!$B$3,0)</f>
        <v>1.1999895299999999</v>
      </c>
      <c r="AA28">
        <f>IF(AND(COUNTIF(Control!$E$20:$E$100,$B28)=0,COUNTIF(Control!$E$20:$E$100,AA$2)=0),VISUM_Arterial_OD!AA28*Control!$B$3,0)</f>
        <v>0</v>
      </c>
      <c r="AB28">
        <f>IF(AND(COUNTIF(Control!$E$20:$E$100,$B28)=0,COUNTIF(Control!$E$20:$E$100,AB$2)=0),VISUM_Arterial_OD!AB28*Control!$B$3,0)</f>
        <v>0</v>
      </c>
      <c r="AC28">
        <f>IF(AND(COUNTIF(Control!$E$20:$E$100,$B28)=0,COUNTIF(Control!$E$20:$E$100,AC$2)=0),VISUM_Arterial_OD!AC28*Control!$B$3,0)</f>
        <v>0.18248771999999999</v>
      </c>
      <c r="AD28">
        <f>IF(AND(COUNTIF(Control!$E$20:$E$100,$B28)=0,COUNTIF(Control!$E$20:$E$100,AD$2)=0),VISUM_Arterial_OD!AD28*Control!$B$3,0)</f>
        <v>0</v>
      </c>
      <c r="AE28">
        <f>IF(AND(COUNTIF(Control!$E$20:$E$100,$B28)=0,COUNTIF(Control!$E$20:$E$100,AE$2)=0),VISUM_Arterial_OD!AE28*Control!$B$3,0)</f>
        <v>0</v>
      </c>
      <c r="AF28">
        <f>IF(AND(COUNTIF(Control!$E$20:$E$100,$B28)=0,COUNTIF(Control!$E$20:$E$100,AF$2)=0),VISUM_Arterial_OD!AF28*Control!$B$3,0)</f>
        <v>0</v>
      </c>
      <c r="AG28">
        <f>IF(AND(COUNTIF(Control!$E$20:$E$100,$B28)=0,COUNTIF(Control!$E$20:$E$100,AG$2)=0),VISUM_Arterial_OD!AG28*Control!$B$3,0)</f>
        <v>0</v>
      </c>
      <c r="AH28">
        <f>IF(AND(COUNTIF(Control!$E$20:$E$100,$B28)=0,COUNTIF(Control!$E$20:$E$100,AH$2)=0),VISUM_Arterial_OD!AH28*Control!$B$3,0)</f>
        <v>0</v>
      </c>
      <c r="AI28">
        <f>IF(AND(COUNTIF(Control!$E$20:$E$100,$B28)=0,COUNTIF(Control!$E$20:$E$100,AI$2)=0),VISUM_Arterial_OD!AI28*Control!$B$3,0)</f>
        <v>0</v>
      </c>
      <c r="AJ28">
        <f>IF(AND(COUNTIF(Control!$E$20:$E$100,$B28)=0,COUNTIF(Control!$E$20:$E$100,AJ$2)=0),VISUM_Arterial_OD!AJ28*Control!$B$3,0)</f>
        <v>0</v>
      </c>
      <c r="AK28">
        <f>IF(AND(COUNTIF(Control!$E$20:$E$100,$B28)=0,COUNTIF(Control!$E$20:$E$100,AK$2)=0),VISUM_Arterial_OD!AK28*Control!$B$3,0)</f>
        <v>0</v>
      </c>
      <c r="AL28">
        <f>IF(AND(COUNTIF(Control!$E$20:$E$100,$B28)=0,COUNTIF(Control!$E$20:$E$100,AL$2)=0),VISUM_Arterial_OD!AL28*Control!$B$3,0)</f>
        <v>1.6957055699999999</v>
      </c>
      <c r="AM28">
        <f>IF(AND(COUNTIF(Control!$E$20:$E$100,$B28)=0,COUNTIF(Control!$E$20:$E$100,AM$2)=0),VISUM_Arterial_OD!AM28*Control!$B$3,0)</f>
        <v>0</v>
      </c>
      <c r="AN28">
        <f>IF(AND(COUNTIF(Control!$E$20:$E$100,$B28)=0,COUNTIF(Control!$E$20:$E$100,AN$2)=0),VISUM_Arterial_OD!AN28*Control!$B$3,0)</f>
        <v>3.11804748</v>
      </c>
      <c r="AO28">
        <f>IF(AND(COUNTIF(Control!$E$20:$E$100,$B28)=0,COUNTIF(Control!$E$20:$E$100,AO$2)=0),VISUM_Arterial_OD!AO28*Control!$B$3,0)</f>
        <v>0</v>
      </c>
      <c r="AP28">
        <f>IF(AND(COUNTIF(Control!$E$20:$E$100,$B28)=0,COUNTIF(Control!$E$20:$E$100,AP$2)=0),VISUM_Arterial_OD!AP28*Control!$B$3,0)</f>
        <v>0</v>
      </c>
      <c r="AQ28">
        <f>IF(AND(COUNTIF(Control!$E$20:$E$100,$B28)=0,COUNTIF(Control!$E$20:$E$100,AQ$2)=0),VISUM_Arterial_OD!AQ28*Control!$B$3,0)</f>
        <v>0</v>
      </c>
      <c r="AR28">
        <f>IF(AND(COUNTIF(Control!$E$20:$E$100,$B28)=0,COUNTIF(Control!$E$20:$E$100,AR$2)=0),VISUM_Arterial_OD!AR28*Control!$B$3,0)</f>
        <v>0</v>
      </c>
      <c r="AS28">
        <f>IF(AND(COUNTIF(Control!$E$20:$E$100,$B28)=0,COUNTIF(Control!$E$20:$E$100,AS$2)=0),VISUM_Arterial_OD!AS28*Control!$B$3,0)</f>
        <v>0</v>
      </c>
      <c r="AT28">
        <f>IF(AND(COUNTIF(Control!$E$20:$E$100,$B28)=0,COUNTIF(Control!$E$20:$E$100,AT$2)=0),VISUM_Arterial_OD!AT28*Control!$B$3,0)</f>
        <v>0</v>
      </c>
      <c r="AU28">
        <f>IF(AND(COUNTIF(Control!$E$20:$E$100,$B28)=0,COUNTIF(Control!$E$20:$E$100,AU$2)=0),VISUM_Arterial_OD!AU28*Control!$B$3,0)</f>
        <v>0</v>
      </c>
      <c r="AV28">
        <f>IF(AND(COUNTIF(Control!$E$20:$E$100,$B28)=0,COUNTIF(Control!$E$20:$E$100,AV$2)=0),VISUM_Arterial_OD!AV28*Control!$B$3,0)</f>
        <v>0</v>
      </c>
      <c r="AW28">
        <f>IF(AND(COUNTIF(Control!$E$20:$E$100,$B28)=0,COUNTIF(Control!$E$20:$E$100,AW$2)=0),VISUM_Arterial_OD!AW28*Control!$B$3,0)</f>
        <v>0</v>
      </c>
      <c r="AX28">
        <f>IF(AND(COUNTIF(Control!$E$20:$E$100,$B28)=0,COUNTIF(Control!$E$20:$E$100,AX$2)=0),VISUM_Arterial_OD!AX28*Control!$B$3,0)</f>
        <v>0.34112696999999997</v>
      </c>
      <c r="AY28">
        <f>IF(AND(COUNTIF(Control!$E$20:$E$100,$B28)=0,COUNTIF(Control!$E$20:$E$100,AY$2)=0),VISUM_Arterial_OD!AY28*Control!$B$3,0)</f>
        <v>0</v>
      </c>
      <c r="AZ28">
        <f>IF(AND(COUNTIF(Control!$E$20:$E$100,$B28)=0,COUNTIF(Control!$E$20:$E$100,AZ$2)=0),VISUM_Arterial_OD!AZ28*Control!$B$3,0)</f>
        <v>0</v>
      </c>
      <c r="BA28">
        <f>IF(AND(COUNTIF(Control!$E$20:$E$100,$B28)=0,COUNTIF(Control!$E$20:$E$100,BA$2)=0),VISUM_Arterial_OD!BA28*Control!$B$3,0)</f>
        <v>0</v>
      </c>
      <c r="BB28">
        <f>IF(AND(COUNTIF(Control!$E$20:$E$100,$B28)=0,COUNTIF(Control!$E$20:$E$100,BB$2)=0),VISUM_Arterial_OD!BB28*Control!$B$3,0)</f>
        <v>0</v>
      </c>
      <c r="BC28">
        <f>IF(AND(COUNTIF(Control!$E$20:$E$100,$B28)=0,COUNTIF(Control!$E$20:$E$100,BC$2)=0),VISUM_Arterial_OD!BC28*Control!$B$3,0)</f>
        <v>0</v>
      </c>
      <c r="BD28">
        <f>IF(AND(COUNTIF(Control!$E$20:$E$100,$B28)=0,COUNTIF(Control!$E$20:$E$100,BD$2)=0),VISUM_Arterial_OD!BD28*Control!$B$3,0)</f>
        <v>0</v>
      </c>
      <c r="BE28">
        <f>IF(AND(COUNTIF(Control!$E$20:$E$100,$B28)=0,COUNTIF(Control!$E$20:$E$100,BE$2)=0),VISUM_Arterial_OD!BE28*Control!$B$3,0)</f>
        <v>0</v>
      </c>
      <c r="BF28">
        <f>IF(AND(COUNTIF(Control!$E$20:$E$100,$B28)=0,COUNTIF(Control!$E$20:$E$100,BF$2)=0),VISUM_Arterial_OD!BF28*Control!$B$3,0)</f>
        <v>0</v>
      </c>
      <c r="BG28">
        <f>IF(AND(COUNTIF(Control!$E$20:$E$100,$B28)=0,COUNTIF(Control!$E$20:$E$100,BG$2)=0),VISUM_Arterial_OD!BG28*Control!$B$3,0)</f>
        <v>0</v>
      </c>
      <c r="BH28">
        <f>IF(AND(COUNTIF(Control!$E$20:$E$100,$B28)=0,COUNTIF(Control!$E$20:$E$100,BH$2)=0),VISUM_Arterial_OD!BH28*Control!$B$3,0)</f>
        <v>0</v>
      </c>
      <c r="BI28">
        <f>IF(AND(COUNTIF(Control!$E$20:$E$100,$B28)=0,COUNTIF(Control!$E$20:$E$100,BI$2)=0),VISUM_Arterial_OD!BI28*Control!$B$3,0)</f>
        <v>0</v>
      </c>
      <c r="BJ28">
        <f>IF(AND(COUNTIF(Control!$E$20:$E$100,$B28)=0,COUNTIF(Control!$E$20:$E$100,BJ$2)=0),VISUM_Arterial_OD!BJ28*Control!$B$3,0)</f>
        <v>0</v>
      </c>
      <c r="BK28">
        <f>IF(AND(COUNTIF(Control!$E$20:$E$100,$B28)=0,COUNTIF(Control!$E$20:$E$100,BK$2)=0),VISUM_Arterial_OD!BK28*Control!$B$3,0)</f>
        <v>0</v>
      </c>
      <c r="BL28">
        <f>IF(AND(COUNTIF(Control!$E$20:$E$100,$B28)=0,COUNTIF(Control!$E$20:$E$100,BL$2)=0),VISUM_Arterial_OD!BL28*Control!$B$3,0)</f>
        <v>0</v>
      </c>
      <c r="BM28">
        <f>IF(AND(COUNTIF(Control!$E$20:$E$100,$B28)=0,COUNTIF(Control!$E$20:$E$100,BM$2)=0),VISUM_Arterial_OD!BM28*Control!$B$3,0)</f>
        <v>0</v>
      </c>
      <c r="BN28">
        <f>IF(AND(COUNTIF(Control!$E$20:$E$100,$B28)=0,COUNTIF(Control!$E$20:$E$100,BN$2)=0),VISUM_Arterial_OD!BN28*Control!$B$3,0)</f>
        <v>0</v>
      </c>
      <c r="BO28">
        <f>IF(AND(COUNTIF(Control!$E$20:$E$100,$B28)=0,COUNTIF(Control!$E$20:$E$100,BO$2)=0),VISUM_Arterial_OD!BO28*Control!$B$3,0)</f>
        <v>0.22376172</v>
      </c>
      <c r="BP28">
        <f>IF(AND(COUNTIF(Control!$E$20:$E$100,$B28)=0,COUNTIF(Control!$E$20:$E$100,BP$2)=0),VISUM_Arterial_OD!BP28*Control!$B$3,0)</f>
        <v>0.17745195</v>
      </c>
      <c r="BQ28">
        <f>IF(AND(COUNTIF(Control!$E$20:$E$100,$B28)=0,COUNTIF(Control!$E$20:$E$100,BQ$2)=0),VISUM_Arterial_OD!BQ28*Control!$B$3,0)</f>
        <v>0</v>
      </c>
    </row>
    <row r="29" spans="1:69" x14ac:dyDescent="0.25">
      <c r="A29" s="5">
        <f>IF(VLOOKUP(B29,Arterial_Zone_Link_Mapping!$A:$C,2,FALSE)&lt;&gt;"",VLOOKUP(B29,Arterial_Zone_Link_Mapping!$A:$C,2,FALSE),"")</f>
        <v>23</v>
      </c>
      <c r="B29" s="5">
        <v>51</v>
      </c>
      <c r="C29">
        <f>IF(AND(COUNTIF(Control!$E$20:$E$100,$B29)=0,COUNTIF(Control!$E$20:$E$100,C$2)=0),VISUM_Arterial_OD!C29*Control!$B$3,0)</f>
        <v>0.15496199999999999</v>
      </c>
      <c r="D29">
        <f>IF(AND(COUNTIF(Control!$E$20:$E$100,$B29)=0,COUNTIF(Control!$E$20:$E$100,D$2)=0),VISUM_Arterial_OD!D29*Control!$B$3,0)</f>
        <v>3.1002299999999998E-3</v>
      </c>
      <c r="E29">
        <f>IF(AND(COUNTIF(Control!$E$20:$E$100,$B29)=0,COUNTIF(Control!$E$20:$E$100,E$2)=0),VISUM_Arterial_OD!E29*Control!$B$3,0)</f>
        <v>0</v>
      </c>
      <c r="F29">
        <f>IF(AND(COUNTIF(Control!$E$20:$E$100,$B29)=0,COUNTIF(Control!$E$20:$E$100,F$2)=0),VISUM_Arterial_OD!F29*Control!$B$3,0)</f>
        <v>0</v>
      </c>
      <c r="G29">
        <f>IF(AND(COUNTIF(Control!$E$20:$E$100,$B29)=0,COUNTIF(Control!$E$20:$E$100,G$2)=0),VISUM_Arterial_OD!G29*Control!$B$3,0)</f>
        <v>0</v>
      </c>
      <c r="H29">
        <f>IF(AND(COUNTIF(Control!$E$20:$E$100,$B29)=0,COUNTIF(Control!$E$20:$E$100,H$2)=0),VISUM_Arterial_OD!H29*Control!$B$3,0)</f>
        <v>0</v>
      </c>
      <c r="I29">
        <f>IF(AND(COUNTIF(Control!$E$20:$E$100,$B29)=0,COUNTIF(Control!$E$20:$E$100,I$2)=0),VISUM_Arterial_OD!I29*Control!$B$3,0)</f>
        <v>0</v>
      </c>
      <c r="J29">
        <f>IF(AND(COUNTIF(Control!$E$20:$E$100,$B29)=0,COUNTIF(Control!$E$20:$E$100,J$2)=0),VISUM_Arterial_OD!J29*Control!$B$3,0)</f>
        <v>0.26978894999999997</v>
      </c>
      <c r="K29">
        <f>IF(AND(COUNTIF(Control!$E$20:$E$100,$B29)=0,COUNTIF(Control!$E$20:$E$100,K$2)=0),VISUM_Arterial_OD!K29*Control!$B$3,0)</f>
        <v>2.8453115099999997</v>
      </c>
      <c r="L29">
        <f>IF(AND(COUNTIF(Control!$E$20:$E$100,$B29)=0,COUNTIF(Control!$E$20:$E$100,L$2)=0),VISUM_Arterial_OD!L29*Control!$B$3,0)</f>
        <v>0.63798642000000005</v>
      </c>
      <c r="M29">
        <f>IF(AND(COUNTIF(Control!$E$20:$E$100,$B29)=0,COUNTIF(Control!$E$20:$E$100,M$2)=0),VISUM_Arterial_OD!M29*Control!$B$3,0)</f>
        <v>0</v>
      </c>
      <c r="N29">
        <f>IF(AND(COUNTIF(Control!$E$20:$E$100,$B29)=0,COUNTIF(Control!$E$20:$E$100,N$2)=0),VISUM_Arterial_OD!N29*Control!$B$3,0)</f>
        <v>0</v>
      </c>
      <c r="O29">
        <f>IF(AND(COUNTIF(Control!$E$20:$E$100,$B29)=0,COUNTIF(Control!$E$20:$E$100,O$2)=0),VISUM_Arterial_OD!O29*Control!$B$3,0)</f>
        <v>0.41519150999999999</v>
      </c>
      <c r="P29">
        <f>IF(AND(COUNTIF(Control!$E$20:$E$100,$B29)=0,COUNTIF(Control!$E$20:$E$100,P$2)=0),VISUM_Arterial_OD!P29*Control!$B$3,0)</f>
        <v>1.6499855999999999</v>
      </c>
      <c r="Q29">
        <f>IF(AND(COUNTIF(Control!$E$20:$E$100,$B29)=0,COUNTIF(Control!$E$20:$E$100,Q$2)=0),VISUM_Arterial_OD!Q29*Control!$B$3,0)</f>
        <v>0</v>
      </c>
      <c r="R29">
        <f>IF(AND(COUNTIF(Control!$E$20:$E$100,$B29)=0,COUNTIF(Control!$E$20:$E$100,R$2)=0),VISUM_Arterial_OD!R29*Control!$B$3,0)</f>
        <v>0</v>
      </c>
      <c r="S29">
        <f>IF(AND(COUNTIF(Control!$E$20:$E$100,$B29)=0,COUNTIF(Control!$E$20:$E$100,S$2)=0),VISUM_Arterial_OD!S29*Control!$B$3,0)</f>
        <v>0.22952042999999997</v>
      </c>
      <c r="T29">
        <f>IF(AND(COUNTIF(Control!$E$20:$E$100,$B29)=0,COUNTIF(Control!$E$20:$E$100,T$2)=0),VISUM_Arterial_OD!T29*Control!$B$3,0)</f>
        <v>0</v>
      </c>
      <c r="U29">
        <f>IF(AND(COUNTIF(Control!$E$20:$E$100,$B29)=0,COUNTIF(Control!$E$20:$E$100,U$2)=0),VISUM_Arterial_OD!U29*Control!$B$3,0)</f>
        <v>0</v>
      </c>
      <c r="V29">
        <f>IF(AND(COUNTIF(Control!$E$20:$E$100,$B29)=0,COUNTIF(Control!$E$20:$E$100,V$2)=0),VISUM_Arterial_OD!V29*Control!$B$3,0)</f>
        <v>0</v>
      </c>
      <c r="W29">
        <f>IF(AND(COUNTIF(Control!$E$20:$E$100,$B29)=0,COUNTIF(Control!$E$20:$E$100,W$2)=0),VISUM_Arterial_OD!W29*Control!$B$3,0)</f>
        <v>0</v>
      </c>
      <c r="X29">
        <f>IF(AND(COUNTIF(Control!$E$20:$E$100,$B29)=0,COUNTIF(Control!$E$20:$E$100,X$2)=0),VISUM_Arterial_OD!X29*Control!$B$3,0)</f>
        <v>0</v>
      </c>
      <c r="Y29">
        <f>IF(AND(COUNTIF(Control!$E$20:$E$100,$B29)=0,COUNTIF(Control!$E$20:$E$100,Y$2)=0),VISUM_Arterial_OD!Y29*Control!$B$3,0)</f>
        <v>0</v>
      </c>
      <c r="Z29">
        <f>IF(AND(COUNTIF(Control!$E$20:$E$100,$B29)=0,COUNTIF(Control!$E$20:$E$100,Z$2)=0),VISUM_Arterial_OD!Z29*Control!$B$3,0)</f>
        <v>0.29889366000000001</v>
      </c>
      <c r="AA29">
        <f>IF(AND(COUNTIF(Control!$E$20:$E$100,$B29)=0,COUNTIF(Control!$E$20:$E$100,AA$2)=0),VISUM_Arterial_OD!AA29*Control!$B$3,0)</f>
        <v>0</v>
      </c>
      <c r="AB29">
        <f>IF(AND(COUNTIF(Control!$E$20:$E$100,$B29)=0,COUNTIF(Control!$E$20:$E$100,AB$2)=0),VISUM_Arterial_OD!AB29*Control!$B$3,0)</f>
        <v>9.7507139999999992E-2</v>
      </c>
      <c r="AC29">
        <f>IF(AND(COUNTIF(Control!$E$20:$E$100,$B29)=0,COUNTIF(Control!$E$20:$E$100,AC$2)=0),VISUM_Arterial_OD!AC29*Control!$B$3,0)</f>
        <v>0</v>
      </c>
      <c r="AD29">
        <f>IF(AND(COUNTIF(Control!$E$20:$E$100,$B29)=0,COUNTIF(Control!$E$20:$E$100,AD$2)=0),VISUM_Arterial_OD!AD29*Control!$B$3,0)</f>
        <v>0</v>
      </c>
      <c r="AE29">
        <f>IF(AND(COUNTIF(Control!$E$20:$E$100,$B29)=0,COUNTIF(Control!$E$20:$E$100,AE$2)=0),VISUM_Arterial_OD!AE29*Control!$B$3,0)</f>
        <v>0</v>
      </c>
      <c r="AF29">
        <f>IF(AND(COUNTIF(Control!$E$20:$E$100,$B29)=0,COUNTIF(Control!$E$20:$E$100,AF$2)=0),VISUM_Arterial_OD!AF29*Control!$B$3,0)</f>
        <v>0</v>
      </c>
      <c r="AG29">
        <f>IF(AND(COUNTIF(Control!$E$20:$E$100,$B29)=0,COUNTIF(Control!$E$20:$E$100,AG$2)=0),VISUM_Arterial_OD!AG29*Control!$B$3,0)</f>
        <v>0</v>
      </c>
      <c r="AH29">
        <f>IF(AND(COUNTIF(Control!$E$20:$E$100,$B29)=0,COUNTIF(Control!$E$20:$E$100,AH$2)=0),VISUM_Arterial_OD!AH29*Control!$B$3,0)</f>
        <v>0</v>
      </c>
      <c r="AI29">
        <f>IF(AND(COUNTIF(Control!$E$20:$E$100,$B29)=0,COUNTIF(Control!$E$20:$E$100,AI$2)=0),VISUM_Arterial_OD!AI29*Control!$B$3,0)</f>
        <v>0</v>
      </c>
      <c r="AJ29">
        <f>IF(AND(COUNTIF(Control!$E$20:$E$100,$B29)=0,COUNTIF(Control!$E$20:$E$100,AJ$2)=0),VISUM_Arterial_OD!AJ29*Control!$B$3,0)</f>
        <v>0</v>
      </c>
      <c r="AK29">
        <f>IF(AND(COUNTIF(Control!$E$20:$E$100,$B29)=0,COUNTIF(Control!$E$20:$E$100,AK$2)=0),VISUM_Arterial_OD!AK29*Control!$B$3,0)</f>
        <v>0</v>
      </c>
      <c r="AL29">
        <f>IF(AND(COUNTIF(Control!$E$20:$E$100,$B29)=0,COUNTIF(Control!$E$20:$E$100,AL$2)=0),VISUM_Arterial_OD!AL29*Control!$B$3,0)</f>
        <v>0.30755175000000001</v>
      </c>
      <c r="AM29">
        <f>IF(AND(COUNTIF(Control!$E$20:$E$100,$B29)=0,COUNTIF(Control!$E$20:$E$100,AM$2)=0),VISUM_Arterial_OD!AM29*Control!$B$3,0)</f>
        <v>0</v>
      </c>
      <c r="AN29">
        <f>IF(AND(COUNTIF(Control!$E$20:$E$100,$B29)=0,COUNTIF(Control!$E$20:$E$100,AN$2)=0),VISUM_Arterial_OD!AN29*Control!$B$3,0)</f>
        <v>5.3604899999999999E-3</v>
      </c>
      <c r="AO29">
        <f>IF(AND(COUNTIF(Control!$E$20:$E$100,$B29)=0,COUNTIF(Control!$E$20:$E$100,AO$2)=0),VISUM_Arterial_OD!AO29*Control!$B$3,0)</f>
        <v>0</v>
      </c>
      <c r="AP29">
        <f>IF(AND(COUNTIF(Control!$E$20:$E$100,$B29)=0,COUNTIF(Control!$E$20:$E$100,AP$2)=0),VISUM_Arterial_OD!AP29*Control!$B$3,0)</f>
        <v>0</v>
      </c>
      <c r="AQ29">
        <f>IF(AND(COUNTIF(Control!$E$20:$E$100,$B29)=0,COUNTIF(Control!$E$20:$E$100,AQ$2)=0),VISUM_Arterial_OD!AQ29*Control!$B$3,0)</f>
        <v>0</v>
      </c>
      <c r="AR29">
        <f>IF(AND(COUNTIF(Control!$E$20:$E$100,$B29)=0,COUNTIF(Control!$E$20:$E$100,AR$2)=0),VISUM_Arterial_OD!AR29*Control!$B$3,0)</f>
        <v>0</v>
      </c>
      <c r="AS29">
        <f>IF(AND(COUNTIF(Control!$E$20:$E$100,$B29)=0,COUNTIF(Control!$E$20:$E$100,AS$2)=0),VISUM_Arterial_OD!AS29*Control!$B$3,0)</f>
        <v>0.59452253999999993</v>
      </c>
      <c r="AT29">
        <f>IF(AND(COUNTIF(Control!$E$20:$E$100,$B29)=0,COUNTIF(Control!$E$20:$E$100,AT$2)=0),VISUM_Arterial_OD!AT29*Control!$B$3,0)</f>
        <v>0</v>
      </c>
      <c r="AU29">
        <f>IF(AND(COUNTIF(Control!$E$20:$E$100,$B29)=0,COUNTIF(Control!$E$20:$E$100,AU$2)=0),VISUM_Arterial_OD!AU29*Control!$B$3,0)</f>
        <v>0.26062388999999997</v>
      </c>
      <c r="AV29">
        <f>IF(AND(COUNTIF(Control!$E$20:$E$100,$B29)=0,COUNTIF(Control!$E$20:$E$100,AV$2)=0),VISUM_Arterial_OD!AV29*Control!$B$3,0)</f>
        <v>0</v>
      </c>
      <c r="AW29">
        <f>IF(AND(COUNTIF(Control!$E$20:$E$100,$B29)=0,COUNTIF(Control!$E$20:$E$100,AW$2)=0),VISUM_Arterial_OD!AW29*Control!$B$3,0)</f>
        <v>0</v>
      </c>
      <c r="AX29">
        <f>IF(AND(COUNTIF(Control!$E$20:$E$100,$B29)=0,COUNTIF(Control!$E$20:$E$100,AX$2)=0),VISUM_Arterial_OD!AX29*Control!$B$3,0)</f>
        <v>0</v>
      </c>
      <c r="AY29">
        <f>IF(AND(COUNTIF(Control!$E$20:$E$100,$B29)=0,COUNTIF(Control!$E$20:$E$100,AY$2)=0),VISUM_Arterial_OD!AY29*Control!$B$3,0)</f>
        <v>0</v>
      </c>
      <c r="AZ29">
        <f>IF(AND(COUNTIF(Control!$E$20:$E$100,$B29)=0,COUNTIF(Control!$E$20:$E$100,AZ$2)=0),VISUM_Arterial_OD!AZ29*Control!$B$3,0)</f>
        <v>0</v>
      </c>
      <c r="BA29">
        <f>IF(AND(COUNTIF(Control!$E$20:$E$100,$B29)=0,COUNTIF(Control!$E$20:$E$100,BA$2)=0),VISUM_Arterial_OD!BA29*Control!$B$3,0)</f>
        <v>0</v>
      </c>
      <c r="BB29">
        <f>IF(AND(COUNTIF(Control!$E$20:$E$100,$B29)=0,COUNTIF(Control!$E$20:$E$100,BB$2)=0),VISUM_Arterial_OD!BB29*Control!$B$3,0)</f>
        <v>0</v>
      </c>
      <c r="BC29">
        <f>IF(AND(COUNTIF(Control!$E$20:$E$100,$B29)=0,COUNTIF(Control!$E$20:$E$100,BC$2)=0),VISUM_Arterial_OD!BC29*Control!$B$3,0)</f>
        <v>0</v>
      </c>
      <c r="BD29">
        <f>IF(AND(COUNTIF(Control!$E$20:$E$100,$B29)=0,COUNTIF(Control!$E$20:$E$100,BD$2)=0),VISUM_Arterial_OD!BD29*Control!$B$3,0)</f>
        <v>0</v>
      </c>
      <c r="BE29">
        <f>IF(AND(COUNTIF(Control!$E$20:$E$100,$B29)=0,COUNTIF(Control!$E$20:$E$100,BE$2)=0),VISUM_Arterial_OD!BE29*Control!$B$3,0)</f>
        <v>0</v>
      </c>
      <c r="BF29">
        <f>IF(AND(COUNTIF(Control!$E$20:$E$100,$B29)=0,COUNTIF(Control!$E$20:$E$100,BF$2)=0),VISUM_Arterial_OD!BF29*Control!$B$3,0)</f>
        <v>0</v>
      </c>
      <c r="BG29">
        <f>IF(AND(COUNTIF(Control!$E$20:$E$100,$B29)=0,COUNTIF(Control!$E$20:$E$100,BG$2)=0),VISUM_Arterial_OD!BG29*Control!$B$3,0)</f>
        <v>0</v>
      </c>
      <c r="BH29">
        <f>IF(AND(COUNTIF(Control!$E$20:$E$100,$B29)=0,COUNTIF(Control!$E$20:$E$100,BH$2)=0),VISUM_Arterial_OD!BH29*Control!$B$3,0)</f>
        <v>0</v>
      </c>
      <c r="BI29">
        <f>IF(AND(COUNTIF(Control!$E$20:$E$100,$B29)=0,COUNTIF(Control!$E$20:$E$100,BI$2)=0),VISUM_Arterial_OD!BI29*Control!$B$3,0)</f>
        <v>0</v>
      </c>
      <c r="BJ29">
        <f>IF(AND(COUNTIF(Control!$E$20:$E$100,$B29)=0,COUNTIF(Control!$E$20:$E$100,BJ$2)=0),VISUM_Arterial_OD!BJ29*Control!$B$3,0)</f>
        <v>0</v>
      </c>
      <c r="BK29">
        <f>IF(AND(COUNTIF(Control!$E$20:$E$100,$B29)=0,COUNTIF(Control!$E$20:$E$100,BK$2)=0),VISUM_Arterial_OD!BK29*Control!$B$3,0)</f>
        <v>0</v>
      </c>
      <c r="BL29">
        <f>IF(AND(COUNTIF(Control!$E$20:$E$100,$B29)=0,COUNTIF(Control!$E$20:$E$100,BL$2)=0),VISUM_Arterial_OD!BL29*Control!$B$3,0)</f>
        <v>0</v>
      </c>
      <c r="BM29">
        <f>IF(AND(COUNTIF(Control!$E$20:$E$100,$B29)=0,COUNTIF(Control!$E$20:$E$100,BM$2)=0),VISUM_Arterial_OD!BM29*Control!$B$3,0)</f>
        <v>0</v>
      </c>
      <c r="BN29">
        <f>IF(AND(COUNTIF(Control!$E$20:$E$100,$B29)=0,COUNTIF(Control!$E$20:$E$100,BN$2)=0),VISUM_Arterial_OD!BN29*Control!$B$3,0)</f>
        <v>0</v>
      </c>
      <c r="BO29">
        <f>IF(AND(COUNTIF(Control!$E$20:$E$100,$B29)=0,COUNTIF(Control!$E$20:$E$100,BO$2)=0),VISUM_Arterial_OD!BO29*Control!$B$3,0)</f>
        <v>0.32481167999999999</v>
      </c>
      <c r="BP29">
        <f>IF(AND(COUNTIF(Control!$E$20:$E$100,$B29)=0,COUNTIF(Control!$E$20:$E$100,BP$2)=0),VISUM_Arterial_OD!BP29*Control!$B$3,0)</f>
        <v>0</v>
      </c>
      <c r="BQ29">
        <f>IF(AND(COUNTIF(Control!$E$20:$E$100,$B29)=0,COUNTIF(Control!$E$20:$E$100,BQ$2)=0),VISUM_Arterial_OD!BQ29*Control!$B$3,0)</f>
        <v>0.15486264</v>
      </c>
    </row>
    <row r="30" spans="1:69" x14ac:dyDescent="0.25">
      <c r="A30" s="5">
        <f>IF(VLOOKUP(B30,Arterial_Zone_Link_Mapping!$A:$C,2,FALSE)&lt;&gt;"",VLOOKUP(B30,Arterial_Zone_Link_Mapping!$A:$C,2,FALSE),"")</f>
        <v>474</v>
      </c>
      <c r="B30" s="5">
        <v>52</v>
      </c>
      <c r="C30">
        <f>IF(AND(COUNTIF(Control!$E$20:$E$100,$B30)=0,COUNTIF(Control!$E$20:$E$100,C$2)=0),VISUM_Arterial_OD!C30*Control!$B$3,0)</f>
        <v>0</v>
      </c>
      <c r="D30">
        <f>IF(AND(COUNTIF(Control!$E$20:$E$100,$B30)=0,COUNTIF(Control!$E$20:$E$100,D$2)=0),VISUM_Arterial_OD!D30*Control!$B$3,0)</f>
        <v>0</v>
      </c>
      <c r="E30">
        <f>IF(AND(COUNTIF(Control!$E$20:$E$100,$B30)=0,COUNTIF(Control!$E$20:$E$100,E$2)=0),VISUM_Arterial_OD!E30*Control!$B$3,0)</f>
        <v>0</v>
      </c>
      <c r="F30">
        <f>IF(AND(COUNTIF(Control!$E$20:$E$100,$B30)=0,COUNTIF(Control!$E$20:$E$100,F$2)=0),VISUM_Arterial_OD!F30*Control!$B$3,0)</f>
        <v>0</v>
      </c>
      <c r="G30">
        <f>IF(AND(COUNTIF(Control!$E$20:$E$100,$B30)=0,COUNTIF(Control!$E$20:$E$100,G$2)=0),VISUM_Arterial_OD!G30*Control!$B$3,0)</f>
        <v>0</v>
      </c>
      <c r="H30">
        <f>IF(AND(COUNTIF(Control!$E$20:$E$100,$B30)=0,COUNTIF(Control!$E$20:$E$100,H$2)=0),VISUM_Arterial_OD!H30*Control!$B$3,0)</f>
        <v>0</v>
      </c>
      <c r="I30">
        <f>IF(AND(COUNTIF(Control!$E$20:$E$100,$B30)=0,COUNTIF(Control!$E$20:$E$100,I$2)=0),VISUM_Arterial_OD!I30*Control!$B$3,0)</f>
        <v>0</v>
      </c>
      <c r="J30">
        <f>IF(AND(COUNTIF(Control!$E$20:$E$100,$B30)=0,COUNTIF(Control!$E$20:$E$100,J$2)=0),VISUM_Arterial_OD!J30*Control!$B$3,0)</f>
        <v>0</v>
      </c>
      <c r="K30">
        <f>IF(AND(COUNTIF(Control!$E$20:$E$100,$B30)=0,COUNTIF(Control!$E$20:$E$100,K$2)=0),VISUM_Arterial_OD!K30*Control!$B$3,0)</f>
        <v>0</v>
      </c>
      <c r="L30">
        <f>IF(AND(COUNTIF(Control!$E$20:$E$100,$B30)=0,COUNTIF(Control!$E$20:$E$100,L$2)=0),VISUM_Arterial_OD!L30*Control!$B$3,0)</f>
        <v>0</v>
      </c>
      <c r="M30">
        <f>IF(AND(COUNTIF(Control!$E$20:$E$100,$B30)=0,COUNTIF(Control!$E$20:$E$100,M$2)=0),VISUM_Arterial_OD!M30*Control!$B$3,0)</f>
        <v>3.8531669999999997E-2</v>
      </c>
      <c r="N30">
        <f>IF(AND(COUNTIF(Control!$E$20:$E$100,$B30)=0,COUNTIF(Control!$E$20:$E$100,N$2)=0),VISUM_Arterial_OD!N30*Control!$B$3,0)</f>
        <v>0</v>
      </c>
      <c r="O30">
        <f>IF(AND(COUNTIF(Control!$E$20:$E$100,$B30)=0,COUNTIF(Control!$E$20:$E$100,O$2)=0),VISUM_Arterial_OD!O30*Control!$B$3,0)</f>
        <v>0</v>
      </c>
      <c r="P30">
        <f>IF(AND(COUNTIF(Control!$E$20:$E$100,$B30)=0,COUNTIF(Control!$E$20:$E$100,P$2)=0),VISUM_Arterial_OD!P30*Control!$B$3,0)</f>
        <v>0</v>
      </c>
      <c r="Q30">
        <f>IF(AND(COUNTIF(Control!$E$20:$E$100,$B30)=0,COUNTIF(Control!$E$20:$E$100,Q$2)=0),VISUM_Arterial_OD!Q30*Control!$B$3,0)</f>
        <v>0</v>
      </c>
      <c r="R30">
        <f>IF(AND(COUNTIF(Control!$E$20:$E$100,$B30)=0,COUNTIF(Control!$E$20:$E$100,R$2)=0),VISUM_Arterial_OD!R30*Control!$B$3,0)</f>
        <v>0</v>
      </c>
      <c r="S30">
        <f>IF(AND(COUNTIF(Control!$E$20:$E$100,$B30)=0,COUNTIF(Control!$E$20:$E$100,S$2)=0),VISUM_Arterial_OD!S30*Control!$B$3,0)</f>
        <v>0</v>
      </c>
      <c r="T30">
        <f>IF(AND(COUNTIF(Control!$E$20:$E$100,$B30)=0,COUNTIF(Control!$E$20:$E$100,T$2)=0),VISUM_Arterial_OD!T30*Control!$B$3,0)</f>
        <v>0</v>
      </c>
      <c r="U30">
        <f>IF(AND(COUNTIF(Control!$E$20:$E$100,$B30)=0,COUNTIF(Control!$E$20:$E$100,U$2)=0),VISUM_Arterial_OD!U30*Control!$B$3,0)</f>
        <v>0</v>
      </c>
      <c r="V30">
        <f>IF(AND(COUNTIF(Control!$E$20:$E$100,$B30)=0,COUNTIF(Control!$E$20:$E$100,V$2)=0),VISUM_Arterial_OD!V30*Control!$B$3,0)</f>
        <v>0</v>
      </c>
      <c r="W30">
        <f>IF(AND(COUNTIF(Control!$E$20:$E$100,$B30)=0,COUNTIF(Control!$E$20:$E$100,W$2)=0),VISUM_Arterial_OD!W30*Control!$B$3,0)</f>
        <v>0</v>
      </c>
      <c r="X30">
        <f>IF(AND(COUNTIF(Control!$E$20:$E$100,$B30)=0,COUNTIF(Control!$E$20:$E$100,X$2)=0),VISUM_Arterial_OD!X30*Control!$B$3,0)</f>
        <v>0</v>
      </c>
      <c r="Y30">
        <f>IF(AND(COUNTIF(Control!$E$20:$E$100,$B30)=0,COUNTIF(Control!$E$20:$E$100,Y$2)=0),VISUM_Arterial_OD!Y30*Control!$B$3,0)</f>
        <v>0.49924442999999996</v>
      </c>
      <c r="Z30">
        <f>IF(AND(COUNTIF(Control!$E$20:$E$100,$B30)=0,COUNTIF(Control!$E$20:$E$100,Z$2)=0),VISUM_Arterial_OD!Z30*Control!$B$3,0)</f>
        <v>0</v>
      </c>
      <c r="AA30">
        <f>IF(AND(COUNTIF(Control!$E$20:$E$100,$B30)=0,COUNTIF(Control!$E$20:$E$100,AA$2)=0),VISUM_Arterial_OD!AA30*Control!$B$3,0)</f>
        <v>0</v>
      </c>
      <c r="AB30">
        <f>IF(AND(COUNTIF(Control!$E$20:$E$100,$B30)=0,COUNTIF(Control!$E$20:$E$100,AB$2)=0),VISUM_Arterial_OD!AB30*Control!$B$3,0)</f>
        <v>0</v>
      </c>
      <c r="AC30">
        <f>IF(AND(COUNTIF(Control!$E$20:$E$100,$B30)=0,COUNTIF(Control!$E$20:$E$100,AC$2)=0),VISUM_Arterial_OD!AC30*Control!$B$3,0)</f>
        <v>0</v>
      </c>
      <c r="AD30">
        <f>IF(AND(COUNTIF(Control!$E$20:$E$100,$B30)=0,COUNTIF(Control!$E$20:$E$100,AD$2)=0),VISUM_Arterial_OD!AD30*Control!$B$3,0)</f>
        <v>0</v>
      </c>
      <c r="AE30">
        <f>IF(AND(COUNTIF(Control!$E$20:$E$100,$B30)=0,COUNTIF(Control!$E$20:$E$100,AE$2)=0),VISUM_Arterial_OD!AE30*Control!$B$3,0)</f>
        <v>0</v>
      </c>
      <c r="AF30">
        <f>IF(AND(COUNTIF(Control!$E$20:$E$100,$B30)=0,COUNTIF(Control!$E$20:$E$100,AF$2)=0),VISUM_Arterial_OD!AF30*Control!$B$3,0)</f>
        <v>0</v>
      </c>
      <c r="AG30">
        <f>IF(AND(COUNTIF(Control!$E$20:$E$100,$B30)=0,COUNTIF(Control!$E$20:$E$100,AG$2)=0),VISUM_Arterial_OD!AG30*Control!$B$3,0)</f>
        <v>0</v>
      </c>
      <c r="AH30">
        <f>IF(AND(COUNTIF(Control!$E$20:$E$100,$B30)=0,COUNTIF(Control!$E$20:$E$100,AH$2)=0),VISUM_Arterial_OD!AH30*Control!$B$3,0)</f>
        <v>0</v>
      </c>
      <c r="AI30">
        <f>IF(AND(COUNTIF(Control!$E$20:$E$100,$B30)=0,COUNTIF(Control!$E$20:$E$100,AI$2)=0),VISUM_Arterial_OD!AI30*Control!$B$3,0)</f>
        <v>0</v>
      </c>
      <c r="AJ30">
        <f>IF(AND(COUNTIF(Control!$E$20:$E$100,$B30)=0,COUNTIF(Control!$E$20:$E$100,AJ$2)=0),VISUM_Arterial_OD!AJ30*Control!$B$3,0)</f>
        <v>0</v>
      </c>
      <c r="AK30">
        <f>IF(AND(COUNTIF(Control!$E$20:$E$100,$B30)=0,COUNTIF(Control!$E$20:$E$100,AK$2)=0),VISUM_Arterial_OD!AK30*Control!$B$3,0)</f>
        <v>0</v>
      </c>
      <c r="AL30">
        <f>IF(AND(COUNTIF(Control!$E$20:$E$100,$B30)=0,COUNTIF(Control!$E$20:$E$100,AL$2)=0),VISUM_Arterial_OD!AL30*Control!$B$3,0)</f>
        <v>0</v>
      </c>
      <c r="AM30">
        <f>IF(AND(COUNTIF(Control!$E$20:$E$100,$B30)=0,COUNTIF(Control!$E$20:$E$100,AM$2)=0),VISUM_Arterial_OD!AM30*Control!$B$3,0)</f>
        <v>0</v>
      </c>
      <c r="AN30">
        <f>IF(AND(COUNTIF(Control!$E$20:$E$100,$B30)=0,COUNTIF(Control!$E$20:$E$100,AN$2)=0),VISUM_Arterial_OD!AN30*Control!$B$3,0)</f>
        <v>0</v>
      </c>
      <c r="AO30">
        <f>IF(AND(COUNTIF(Control!$E$20:$E$100,$B30)=0,COUNTIF(Control!$E$20:$E$100,AO$2)=0),VISUM_Arterial_OD!AO30*Control!$B$3,0)</f>
        <v>0</v>
      </c>
      <c r="AP30">
        <f>IF(AND(COUNTIF(Control!$E$20:$E$100,$B30)=0,COUNTIF(Control!$E$20:$E$100,AP$2)=0),VISUM_Arterial_OD!AP30*Control!$B$3,0)</f>
        <v>0</v>
      </c>
      <c r="AQ30">
        <f>IF(AND(COUNTIF(Control!$E$20:$E$100,$B30)=0,COUNTIF(Control!$E$20:$E$100,AQ$2)=0),VISUM_Arterial_OD!AQ30*Control!$B$3,0)</f>
        <v>0</v>
      </c>
      <c r="AR30">
        <f>IF(AND(COUNTIF(Control!$E$20:$E$100,$B30)=0,COUNTIF(Control!$E$20:$E$100,AR$2)=0),VISUM_Arterial_OD!AR30*Control!$B$3,0)</f>
        <v>0</v>
      </c>
      <c r="AS30">
        <f>IF(AND(COUNTIF(Control!$E$20:$E$100,$B30)=0,COUNTIF(Control!$E$20:$E$100,AS$2)=0),VISUM_Arterial_OD!AS30*Control!$B$3,0)</f>
        <v>0</v>
      </c>
      <c r="AT30">
        <f>IF(AND(COUNTIF(Control!$E$20:$E$100,$B30)=0,COUNTIF(Control!$E$20:$E$100,AT$2)=0),VISUM_Arterial_OD!AT30*Control!$B$3,0)</f>
        <v>0</v>
      </c>
      <c r="AU30">
        <f>IF(AND(COUNTIF(Control!$E$20:$E$100,$B30)=0,COUNTIF(Control!$E$20:$E$100,AU$2)=0),VISUM_Arterial_OD!AU30*Control!$B$3,0)</f>
        <v>0</v>
      </c>
      <c r="AV30">
        <f>IF(AND(COUNTIF(Control!$E$20:$E$100,$B30)=0,COUNTIF(Control!$E$20:$E$100,AV$2)=0),VISUM_Arterial_OD!AV30*Control!$B$3,0)</f>
        <v>0</v>
      </c>
      <c r="AW30">
        <f>IF(AND(COUNTIF(Control!$E$20:$E$100,$B30)=0,COUNTIF(Control!$E$20:$E$100,AW$2)=0),VISUM_Arterial_OD!AW30*Control!$B$3,0)</f>
        <v>0</v>
      </c>
      <c r="AX30">
        <f>IF(AND(COUNTIF(Control!$E$20:$E$100,$B30)=0,COUNTIF(Control!$E$20:$E$100,AX$2)=0),VISUM_Arterial_OD!AX30*Control!$B$3,0)</f>
        <v>0</v>
      </c>
      <c r="AY30">
        <f>IF(AND(COUNTIF(Control!$E$20:$E$100,$B30)=0,COUNTIF(Control!$E$20:$E$100,AY$2)=0),VISUM_Arterial_OD!AY30*Control!$B$3,0)</f>
        <v>0</v>
      </c>
      <c r="AZ30">
        <f>IF(AND(COUNTIF(Control!$E$20:$E$100,$B30)=0,COUNTIF(Control!$E$20:$E$100,AZ$2)=0),VISUM_Arterial_OD!AZ30*Control!$B$3,0)</f>
        <v>0</v>
      </c>
      <c r="BA30">
        <f>IF(AND(COUNTIF(Control!$E$20:$E$100,$B30)=0,COUNTIF(Control!$E$20:$E$100,BA$2)=0),VISUM_Arterial_OD!BA30*Control!$B$3,0)</f>
        <v>0</v>
      </c>
      <c r="BB30">
        <f>IF(AND(COUNTIF(Control!$E$20:$E$100,$B30)=0,COUNTIF(Control!$E$20:$E$100,BB$2)=0),VISUM_Arterial_OD!BB30*Control!$B$3,0)</f>
        <v>0</v>
      </c>
      <c r="BC30">
        <f>IF(AND(COUNTIF(Control!$E$20:$E$100,$B30)=0,COUNTIF(Control!$E$20:$E$100,BC$2)=0),VISUM_Arterial_OD!BC30*Control!$B$3,0)</f>
        <v>0</v>
      </c>
      <c r="BD30">
        <f>IF(AND(COUNTIF(Control!$E$20:$E$100,$B30)=0,COUNTIF(Control!$E$20:$E$100,BD$2)=0),VISUM_Arterial_OD!BD30*Control!$B$3,0)</f>
        <v>0</v>
      </c>
      <c r="BE30">
        <f>IF(AND(COUNTIF(Control!$E$20:$E$100,$B30)=0,COUNTIF(Control!$E$20:$E$100,BE$2)=0),VISUM_Arterial_OD!BE30*Control!$B$3,0)</f>
        <v>0</v>
      </c>
      <c r="BF30">
        <f>IF(AND(COUNTIF(Control!$E$20:$E$100,$B30)=0,COUNTIF(Control!$E$20:$E$100,BF$2)=0),VISUM_Arterial_OD!BF30*Control!$B$3,0)</f>
        <v>0</v>
      </c>
      <c r="BG30">
        <f>IF(AND(COUNTIF(Control!$E$20:$E$100,$B30)=0,COUNTIF(Control!$E$20:$E$100,BG$2)=0),VISUM_Arterial_OD!BG30*Control!$B$3,0)</f>
        <v>6.156354E-2</v>
      </c>
      <c r="BH30">
        <f>IF(AND(COUNTIF(Control!$E$20:$E$100,$B30)=0,COUNTIF(Control!$E$20:$E$100,BH$2)=0),VISUM_Arterial_OD!BH30*Control!$B$3,0)</f>
        <v>0</v>
      </c>
      <c r="BI30">
        <f>IF(AND(COUNTIF(Control!$E$20:$E$100,$B30)=0,COUNTIF(Control!$E$20:$E$100,BI$2)=0),VISUM_Arterial_OD!BI30*Control!$B$3,0)</f>
        <v>0</v>
      </c>
      <c r="BJ30">
        <f>IF(AND(COUNTIF(Control!$E$20:$E$100,$B30)=0,COUNTIF(Control!$E$20:$E$100,BJ$2)=0),VISUM_Arterial_OD!BJ30*Control!$B$3,0)</f>
        <v>0</v>
      </c>
      <c r="BK30">
        <f>IF(AND(COUNTIF(Control!$E$20:$E$100,$B30)=0,COUNTIF(Control!$E$20:$E$100,BK$2)=0),VISUM_Arterial_OD!BK30*Control!$B$3,0)</f>
        <v>0</v>
      </c>
      <c r="BL30">
        <f>IF(AND(COUNTIF(Control!$E$20:$E$100,$B30)=0,COUNTIF(Control!$E$20:$E$100,BL$2)=0),VISUM_Arterial_OD!BL30*Control!$B$3,0)</f>
        <v>0</v>
      </c>
      <c r="BM30">
        <f>IF(AND(COUNTIF(Control!$E$20:$E$100,$B30)=0,COUNTIF(Control!$E$20:$E$100,BM$2)=0),VISUM_Arterial_OD!BM30*Control!$B$3,0)</f>
        <v>0</v>
      </c>
      <c r="BN30">
        <f>IF(AND(COUNTIF(Control!$E$20:$E$100,$B30)=0,COUNTIF(Control!$E$20:$E$100,BN$2)=0),VISUM_Arterial_OD!BN30*Control!$B$3,0)</f>
        <v>0</v>
      </c>
      <c r="BO30">
        <f>IF(AND(COUNTIF(Control!$E$20:$E$100,$B30)=0,COUNTIF(Control!$E$20:$E$100,BO$2)=0),VISUM_Arterial_OD!BO30*Control!$B$3,0)</f>
        <v>0</v>
      </c>
      <c r="BP30">
        <f>IF(AND(COUNTIF(Control!$E$20:$E$100,$B30)=0,COUNTIF(Control!$E$20:$E$100,BP$2)=0),VISUM_Arterial_OD!BP30*Control!$B$3,0)</f>
        <v>0</v>
      </c>
      <c r="BQ30">
        <f>IF(AND(COUNTIF(Control!$E$20:$E$100,$B30)=0,COUNTIF(Control!$E$20:$E$100,BQ$2)=0),VISUM_Arterial_OD!BQ30*Control!$B$3,0)</f>
        <v>0</v>
      </c>
    </row>
    <row r="31" spans="1:69" x14ac:dyDescent="0.25">
      <c r="A31" s="5">
        <f>IF(VLOOKUP(B31,Arterial_Zone_Link_Mapping!$A:$C,2,FALSE)&lt;&gt;"",VLOOKUP(B31,Arterial_Zone_Link_Mapping!$A:$C,2,FALSE),"")</f>
        <v>473</v>
      </c>
      <c r="B31" s="5">
        <v>53</v>
      </c>
      <c r="C31">
        <f>IF(AND(COUNTIF(Control!$E$20:$E$100,$B31)=0,COUNTIF(Control!$E$20:$E$100,C$2)=0),VISUM_Arterial_OD!C31*Control!$B$3,0)</f>
        <v>0</v>
      </c>
      <c r="D31">
        <f>IF(AND(COUNTIF(Control!$E$20:$E$100,$B31)=0,COUNTIF(Control!$E$20:$E$100,D$2)=0),VISUM_Arterial_OD!D31*Control!$B$3,0)</f>
        <v>0</v>
      </c>
      <c r="E31">
        <f>IF(AND(COUNTIF(Control!$E$20:$E$100,$B31)=0,COUNTIF(Control!$E$20:$E$100,E$2)=0),VISUM_Arterial_OD!E31*Control!$B$3,0)</f>
        <v>0</v>
      </c>
      <c r="F31">
        <f>IF(AND(COUNTIF(Control!$E$20:$E$100,$B31)=0,COUNTIF(Control!$E$20:$E$100,F$2)=0),VISUM_Arterial_OD!F31*Control!$B$3,0)</f>
        <v>0</v>
      </c>
      <c r="G31">
        <f>IF(AND(COUNTIF(Control!$E$20:$E$100,$B31)=0,COUNTIF(Control!$E$20:$E$100,G$2)=0),VISUM_Arterial_OD!G31*Control!$B$3,0)</f>
        <v>0</v>
      </c>
      <c r="H31">
        <f>IF(AND(COUNTIF(Control!$E$20:$E$100,$B31)=0,COUNTIF(Control!$E$20:$E$100,H$2)=0),VISUM_Arterial_OD!H31*Control!$B$3,0)</f>
        <v>0</v>
      </c>
      <c r="I31">
        <f>IF(AND(COUNTIF(Control!$E$20:$E$100,$B31)=0,COUNTIF(Control!$E$20:$E$100,I$2)=0),VISUM_Arterial_OD!I31*Control!$B$3,0)</f>
        <v>0</v>
      </c>
      <c r="J31">
        <f>IF(AND(COUNTIF(Control!$E$20:$E$100,$B31)=0,COUNTIF(Control!$E$20:$E$100,J$2)=0),VISUM_Arterial_OD!J31*Control!$B$3,0)</f>
        <v>0</v>
      </c>
      <c r="K31">
        <f>IF(AND(COUNTIF(Control!$E$20:$E$100,$B31)=0,COUNTIF(Control!$E$20:$E$100,K$2)=0),VISUM_Arterial_OD!K31*Control!$B$3,0)</f>
        <v>0</v>
      </c>
      <c r="L31">
        <f>IF(AND(COUNTIF(Control!$E$20:$E$100,$B31)=0,COUNTIF(Control!$E$20:$E$100,L$2)=0),VISUM_Arterial_OD!L31*Control!$B$3,0)</f>
        <v>0</v>
      </c>
      <c r="M31">
        <f>IF(AND(COUNTIF(Control!$E$20:$E$100,$B31)=0,COUNTIF(Control!$E$20:$E$100,M$2)=0),VISUM_Arterial_OD!M31*Control!$B$3,0)</f>
        <v>0.19255676999999999</v>
      </c>
      <c r="N31">
        <f>IF(AND(COUNTIF(Control!$E$20:$E$100,$B31)=0,COUNTIF(Control!$E$20:$E$100,N$2)=0),VISUM_Arterial_OD!N31*Control!$B$3,0)</f>
        <v>1.4676750000000001E-2</v>
      </c>
      <c r="O31">
        <f>IF(AND(COUNTIF(Control!$E$20:$E$100,$B31)=0,COUNTIF(Control!$E$20:$E$100,O$2)=0),VISUM_Arterial_OD!O31*Control!$B$3,0)</f>
        <v>0</v>
      </c>
      <c r="P31">
        <f>IF(AND(COUNTIF(Control!$E$20:$E$100,$B31)=0,COUNTIF(Control!$E$20:$E$100,P$2)=0),VISUM_Arterial_OD!P31*Control!$B$3,0)</f>
        <v>0</v>
      </c>
      <c r="Q31">
        <f>IF(AND(COUNTIF(Control!$E$20:$E$100,$B31)=0,COUNTIF(Control!$E$20:$E$100,Q$2)=0),VISUM_Arterial_OD!Q31*Control!$B$3,0)</f>
        <v>0</v>
      </c>
      <c r="R31">
        <f>IF(AND(COUNTIF(Control!$E$20:$E$100,$B31)=0,COUNTIF(Control!$E$20:$E$100,R$2)=0),VISUM_Arterial_OD!R31*Control!$B$3,0)</f>
        <v>0</v>
      </c>
      <c r="S31">
        <f>IF(AND(COUNTIF(Control!$E$20:$E$100,$B31)=0,COUNTIF(Control!$E$20:$E$100,S$2)=0),VISUM_Arterial_OD!S31*Control!$B$3,0)</f>
        <v>0</v>
      </c>
      <c r="T31">
        <f>IF(AND(COUNTIF(Control!$E$20:$E$100,$B31)=0,COUNTIF(Control!$E$20:$E$100,T$2)=0),VISUM_Arterial_OD!T31*Control!$B$3,0)</f>
        <v>0</v>
      </c>
      <c r="U31">
        <f>IF(AND(COUNTIF(Control!$E$20:$E$100,$B31)=0,COUNTIF(Control!$E$20:$E$100,U$2)=0),VISUM_Arterial_OD!U31*Control!$B$3,0)</f>
        <v>0</v>
      </c>
      <c r="V31">
        <f>IF(AND(COUNTIF(Control!$E$20:$E$100,$B31)=0,COUNTIF(Control!$E$20:$E$100,V$2)=0),VISUM_Arterial_OD!V31*Control!$B$3,0)</f>
        <v>0</v>
      </c>
      <c r="W31">
        <f>IF(AND(COUNTIF(Control!$E$20:$E$100,$B31)=0,COUNTIF(Control!$E$20:$E$100,W$2)=0),VISUM_Arterial_OD!W31*Control!$B$3,0)</f>
        <v>0</v>
      </c>
      <c r="X31">
        <f>IF(AND(COUNTIF(Control!$E$20:$E$100,$B31)=0,COUNTIF(Control!$E$20:$E$100,X$2)=0),VISUM_Arterial_OD!X31*Control!$B$3,0)</f>
        <v>0</v>
      </c>
      <c r="Y31">
        <f>IF(AND(COUNTIF(Control!$E$20:$E$100,$B31)=0,COUNTIF(Control!$E$20:$E$100,Y$2)=0),VISUM_Arterial_OD!Y31*Control!$B$3,0)</f>
        <v>3.4651469999999997E-2</v>
      </c>
      <c r="Z31">
        <f>IF(AND(COUNTIF(Control!$E$20:$E$100,$B31)=0,COUNTIF(Control!$E$20:$E$100,Z$2)=0),VISUM_Arterial_OD!Z31*Control!$B$3,0)</f>
        <v>0</v>
      </c>
      <c r="AA31">
        <f>IF(AND(COUNTIF(Control!$E$20:$E$100,$B31)=0,COUNTIF(Control!$E$20:$E$100,AA$2)=0),VISUM_Arterial_OD!AA31*Control!$B$3,0)</f>
        <v>0</v>
      </c>
      <c r="AB31">
        <f>IF(AND(COUNTIF(Control!$E$20:$E$100,$B31)=0,COUNTIF(Control!$E$20:$E$100,AB$2)=0),VISUM_Arterial_OD!AB31*Control!$B$3,0)</f>
        <v>0</v>
      </c>
      <c r="AC31">
        <f>IF(AND(COUNTIF(Control!$E$20:$E$100,$B31)=0,COUNTIF(Control!$E$20:$E$100,AC$2)=0),VISUM_Arterial_OD!AC31*Control!$B$3,0)</f>
        <v>0</v>
      </c>
      <c r="AD31">
        <f>IF(AND(COUNTIF(Control!$E$20:$E$100,$B31)=0,COUNTIF(Control!$E$20:$E$100,AD$2)=0),VISUM_Arterial_OD!AD31*Control!$B$3,0)</f>
        <v>0</v>
      </c>
      <c r="AE31">
        <f>IF(AND(COUNTIF(Control!$E$20:$E$100,$B31)=0,COUNTIF(Control!$E$20:$E$100,AE$2)=0),VISUM_Arterial_OD!AE31*Control!$B$3,0)</f>
        <v>0</v>
      </c>
      <c r="AF31">
        <f>IF(AND(COUNTIF(Control!$E$20:$E$100,$B31)=0,COUNTIF(Control!$E$20:$E$100,AF$2)=0),VISUM_Arterial_OD!AF31*Control!$B$3,0)</f>
        <v>0</v>
      </c>
      <c r="AG31">
        <f>IF(AND(COUNTIF(Control!$E$20:$E$100,$B31)=0,COUNTIF(Control!$E$20:$E$100,AG$2)=0),VISUM_Arterial_OD!AG31*Control!$B$3,0)</f>
        <v>0</v>
      </c>
      <c r="AH31">
        <f>IF(AND(COUNTIF(Control!$E$20:$E$100,$B31)=0,COUNTIF(Control!$E$20:$E$100,AH$2)=0),VISUM_Arterial_OD!AH31*Control!$B$3,0)</f>
        <v>0</v>
      </c>
      <c r="AI31">
        <f>IF(AND(COUNTIF(Control!$E$20:$E$100,$B31)=0,COUNTIF(Control!$E$20:$E$100,AI$2)=0),VISUM_Arterial_OD!AI31*Control!$B$3,0)</f>
        <v>0</v>
      </c>
      <c r="AJ31">
        <f>IF(AND(COUNTIF(Control!$E$20:$E$100,$B31)=0,COUNTIF(Control!$E$20:$E$100,AJ$2)=0),VISUM_Arterial_OD!AJ31*Control!$B$3,0)</f>
        <v>0</v>
      </c>
      <c r="AK31">
        <f>IF(AND(COUNTIF(Control!$E$20:$E$100,$B31)=0,COUNTIF(Control!$E$20:$E$100,AK$2)=0),VISUM_Arterial_OD!AK31*Control!$B$3,0)</f>
        <v>0</v>
      </c>
      <c r="AL31">
        <f>IF(AND(COUNTIF(Control!$E$20:$E$100,$B31)=0,COUNTIF(Control!$E$20:$E$100,AL$2)=0),VISUM_Arterial_OD!AL31*Control!$B$3,0)</f>
        <v>0</v>
      </c>
      <c r="AM31">
        <f>IF(AND(COUNTIF(Control!$E$20:$E$100,$B31)=0,COUNTIF(Control!$E$20:$E$100,AM$2)=0),VISUM_Arterial_OD!AM31*Control!$B$3,0)</f>
        <v>0</v>
      </c>
      <c r="AN31">
        <f>IF(AND(COUNTIF(Control!$E$20:$E$100,$B31)=0,COUNTIF(Control!$E$20:$E$100,AN$2)=0),VISUM_Arterial_OD!AN31*Control!$B$3,0)</f>
        <v>0</v>
      </c>
      <c r="AO31">
        <f>IF(AND(COUNTIF(Control!$E$20:$E$100,$B31)=0,COUNTIF(Control!$E$20:$E$100,AO$2)=0),VISUM_Arterial_OD!AO31*Control!$B$3,0)</f>
        <v>0</v>
      </c>
      <c r="AP31">
        <f>IF(AND(COUNTIF(Control!$E$20:$E$100,$B31)=0,COUNTIF(Control!$E$20:$E$100,AP$2)=0),VISUM_Arterial_OD!AP31*Control!$B$3,0)</f>
        <v>0</v>
      </c>
      <c r="AQ31">
        <f>IF(AND(COUNTIF(Control!$E$20:$E$100,$B31)=0,COUNTIF(Control!$E$20:$E$100,AQ$2)=0),VISUM_Arterial_OD!AQ31*Control!$B$3,0)</f>
        <v>0</v>
      </c>
      <c r="AR31">
        <f>IF(AND(COUNTIF(Control!$E$20:$E$100,$B31)=0,COUNTIF(Control!$E$20:$E$100,AR$2)=0),VISUM_Arterial_OD!AR31*Control!$B$3,0)</f>
        <v>0</v>
      </c>
      <c r="AS31">
        <f>IF(AND(COUNTIF(Control!$E$20:$E$100,$B31)=0,COUNTIF(Control!$E$20:$E$100,AS$2)=0),VISUM_Arterial_OD!AS31*Control!$B$3,0)</f>
        <v>0</v>
      </c>
      <c r="AT31">
        <f>IF(AND(COUNTIF(Control!$E$20:$E$100,$B31)=0,COUNTIF(Control!$E$20:$E$100,AT$2)=0),VISUM_Arterial_OD!AT31*Control!$B$3,0)</f>
        <v>0</v>
      </c>
      <c r="AU31">
        <f>IF(AND(COUNTIF(Control!$E$20:$E$100,$B31)=0,COUNTIF(Control!$E$20:$E$100,AU$2)=0),VISUM_Arterial_OD!AU31*Control!$B$3,0)</f>
        <v>0</v>
      </c>
      <c r="AV31">
        <f>IF(AND(COUNTIF(Control!$E$20:$E$100,$B31)=0,COUNTIF(Control!$E$20:$E$100,AV$2)=0),VISUM_Arterial_OD!AV31*Control!$B$3,0)</f>
        <v>0</v>
      </c>
      <c r="AW31">
        <f>IF(AND(COUNTIF(Control!$E$20:$E$100,$B31)=0,COUNTIF(Control!$E$20:$E$100,AW$2)=0),VISUM_Arterial_OD!AW31*Control!$B$3,0)</f>
        <v>0</v>
      </c>
      <c r="AX31">
        <f>IF(AND(COUNTIF(Control!$E$20:$E$100,$B31)=0,COUNTIF(Control!$E$20:$E$100,AX$2)=0),VISUM_Arterial_OD!AX31*Control!$B$3,0)</f>
        <v>0</v>
      </c>
      <c r="AY31">
        <f>IF(AND(COUNTIF(Control!$E$20:$E$100,$B31)=0,COUNTIF(Control!$E$20:$E$100,AY$2)=0),VISUM_Arterial_OD!AY31*Control!$B$3,0)</f>
        <v>0</v>
      </c>
      <c r="AZ31">
        <f>IF(AND(COUNTIF(Control!$E$20:$E$100,$B31)=0,COUNTIF(Control!$E$20:$E$100,AZ$2)=0),VISUM_Arterial_OD!AZ31*Control!$B$3,0)</f>
        <v>0</v>
      </c>
      <c r="BA31">
        <f>IF(AND(COUNTIF(Control!$E$20:$E$100,$B31)=0,COUNTIF(Control!$E$20:$E$100,BA$2)=0),VISUM_Arterial_OD!BA31*Control!$B$3,0)</f>
        <v>0</v>
      </c>
      <c r="BB31">
        <f>IF(AND(COUNTIF(Control!$E$20:$E$100,$B31)=0,COUNTIF(Control!$E$20:$E$100,BB$2)=0),VISUM_Arterial_OD!BB31*Control!$B$3,0)</f>
        <v>0</v>
      </c>
      <c r="BC31">
        <f>IF(AND(COUNTIF(Control!$E$20:$E$100,$B31)=0,COUNTIF(Control!$E$20:$E$100,BC$2)=0),VISUM_Arterial_OD!BC31*Control!$B$3,0)</f>
        <v>0</v>
      </c>
      <c r="BD31">
        <f>IF(AND(COUNTIF(Control!$E$20:$E$100,$B31)=0,COUNTIF(Control!$E$20:$E$100,BD$2)=0),VISUM_Arterial_OD!BD31*Control!$B$3,0)</f>
        <v>0</v>
      </c>
      <c r="BE31">
        <f>IF(AND(COUNTIF(Control!$E$20:$E$100,$B31)=0,COUNTIF(Control!$E$20:$E$100,BE$2)=0),VISUM_Arterial_OD!BE31*Control!$B$3,0)</f>
        <v>0</v>
      </c>
      <c r="BF31">
        <f>IF(AND(COUNTIF(Control!$E$20:$E$100,$B31)=0,COUNTIF(Control!$E$20:$E$100,BF$2)=0),VISUM_Arterial_OD!BF31*Control!$B$3,0)</f>
        <v>0</v>
      </c>
      <c r="BG31">
        <f>IF(AND(COUNTIF(Control!$E$20:$E$100,$B31)=0,COUNTIF(Control!$E$20:$E$100,BG$2)=0),VISUM_Arterial_OD!BG31*Control!$B$3,0)</f>
        <v>7.2865739999999998E-2</v>
      </c>
      <c r="BH31">
        <f>IF(AND(COUNTIF(Control!$E$20:$E$100,$B31)=0,COUNTIF(Control!$E$20:$E$100,BH$2)=0),VISUM_Arterial_OD!BH31*Control!$B$3,0)</f>
        <v>0</v>
      </c>
      <c r="BI31">
        <f>IF(AND(COUNTIF(Control!$E$20:$E$100,$B31)=0,COUNTIF(Control!$E$20:$E$100,BI$2)=0),VISUM_Arterial_OD!BI31*Control!$B$3,0)</f>
        <v>0</v>
      </c>
      <c r="BJ31">
        <f>IF(AND(COUNTIF(Control!$E$20:$E$100,$B31)=0,COUNTIF(Control!$E$20:$E$100,BJ$2)=0),VISUM_Arterial_OD!BJ31*Control!$B$3,0)</f>
        <v>0</v>
      </c>
      <c r="BK31">
        <f>IF(AND(COUNTIF(Control!$E$20:$E$100,$B31)=0,COUNTIF(Control!$E$20:$E$100,BK$2)=0),VISUM_Arterial_OD!BK31*Control!$B$3,0)</f>
        <v>0</v>
      </c>
      <c r="BL31">
        <f>IF(AND(COUNTIF(Control!$E$20:$E$100,$B31)=0,COUNTIF(Control!$E$20:$E$100,BL$2)=0),VISUM_Arterial_OD!BL31*Control!$B$3,0)</f>
        <v>0</v>
      </c>
      <c r="BM31">
        <f>IF(AND(COUNTIF(Control!$E$20:$E$100,$B31)=0,COUNTIF(Control!$E$20:$E$100,BM$2)=0),VISUM_Arterial_OD!BM31*Control!$B$3,0)</f>
        <v>0</v>
      </c>
      <c r="BN31">
        <f>IF(AND(COUNTIF(Control!$E$20:$E$100,$B31)=0,COUNTIF(Control!$E$20:$E$100,BN$2)=0),VISUM_Arterial_OD!BN31*Control!$B$3,0)</f>
        <v>0</v>
      </c>
      <c r="BO31">
        <f>IF(AND(COUNTIF(Control!$E$20:$E$100,$B31)=0,COUNTIF(Control!$E$20:$E$100,BO$2)=0),VISUM_Arterial_OD!BO31*Control!$B$3,0)</f>
        <v>0</v>
      </c>
      <c r="BP31">
        <f>IF(AND(COUNTIF(Control!$E$20:$E$100,$B31)=0,COUNTIF(Control!$E$20:$E$100,BP$2)=0),VISUM_Arterial_OD!BP31*Control!$B$3,0)</f>
        <v>0</v>
      </c>
      <c r="BQ31">
        <f>IF(AND(COUNTIF(Control!$E$20:$E$100,$B31)=0,COUNTIF(Control!$E$20:$E$100,BQ$2)=0),VISUM_Arterial_OD!BQ31*Control!$B$3,0)</f>
        <v>0</v>
      </c>
    </row>
    <row r="32" spans="1:69" x14ac:dyDescent="0.25">
      <c r="A32" s="5" t="str">
        <f>IF(VLOOKUP(B32,Arterial_Zone_Link_Mapping!$A:$C,2,FALSE)&lt;&gt;"",VLOOKUP(B32,Arterial_Zone_Link_Mapping!$A:$C,2,FALSE),"")</f>
        <v/>
      </c>
      <c r="B32" s="5">
        <v>54</v>
      </c>
      <c r="C32">
        <f>IF(AND(COUNTIF(Control!$E$20:$E$100,$B32)=0,COUNTIF(Control!$E$20:$E$100,C$2)=0),VISUM_Arterial_OD!C32*Control!$B$3,0)</f>
        <v>0</v>
      </c>
      <c r="D32">
        <f>IF(AND(COUNTIF(Control!$E$20:$E$100,$B32)=0,COUNTIF(Control!$E$20:$E$100,D$2)=0),VISUM_Arterial_OD!D32*Control!$B$3,0)</f>
        <v>0</v>
      </c>
      <c r="E32">
        <f>IF(AND(COUNTIF(Control!$E$20:$E$100,$B32)=0,COUNTIF(Control!$E$20:$E$100,E$2)=0),VISUM_Arterial_OD!E32*Control!$B$3,0)</f>
        <v>0</v>
      </c>
      <c r="F32">
        <f>IF(AND(COUNTIF(Control!$E$20:$E$100,$B32)=0,COUNTIF(Control!$E$20:$E$100,F$2)=0),VISUM_Arterial_OD!F32*Control!$B$3,0)</f>
        <v>0</v>
      </c>
      <c r="G32">
        <f>IF(AND(COUNTIF(Control!$E$20:$E$100,$B32)=0,COUNTIF(Control!$E$20:$E$100,G$2)=0),VISUM_Arterial_OD!G32*Control!$B$3,0)</f>
        <v>0</v>
      </c>
      <c r="H32">
        <f>IF(AND(COUNTIF(Control!$E$20:$E$100,$B32)=0,COUNTIF(Control!$E$20:$E$100,H$2)=0),VISUM_Arterial_OD!H32*Control!$B$3,0)</f>
        <v>0</v>
      </c>
      <c r="I32">
        <f>IF(AND(COUNTIF(Control!$E$20:$E$100,$B32)=0,COUNTIF(Control!$E$20:$E$100,I$2)=0),VISUM_Arterial_OD!I32*Control!$B$3,0)</f>
        <v>0</v>
      </c>
      <c r="J32">
        <f>IF(AND(COUNTIF(Control!$E$20:$E$100,$B32)=0,COUNTIF(Control!$E$20:$E$100,J$2)=0),VISUM_Arterial_OD!J32*Control!$B$3,0)</f>
        <v>0</v>
      </c>
      <c r="K32">
        <f>IF(AND(COUNTIF(Control!$E$20:$E$100,$B32)=0,COUNTIF(Control!$E$20:$E$100,K$2)=0),VISUM_Arterial_OD!K32*Control!$B$3,0)</f>
        <v>0</v>
      </c>
      <c r="L32">
        <f>IF(AND(COUNTIF(Control!$E$20:$E$100,$B32)=0,COUNTIF(Control!$E$20:$E$100,L$2)=0),VISUM_Arterial_OD!L32*Control!$B$3,0)</f>
        <v>0</v>
      </c>
      <c r="M32">
        <f>IF(AND(COUNTIF(Control!$E$20:$E$100,$B32)=0,COUNTIF(Control!$E$20:$E$100,M$2)=0),VISUM_Arterial_OD!M32*Control!$B$3,0)</f>
        <v>0</v>
      </c>
      <c r="N32">
        <f>IF(AND(COUNTIF(Control!$E$20:$E$100,$B32)=0,COUNTIF(Control!$E$20:$E$100,N$2)=0),VISUM_Arterial_OD!N32*Control!$B$3,0)</f>
        <v>0</v>
      </c>
      <c r="O32">
        <f>IF(AND(COUNTIF(Control!$E$20:$E$100,$B32)=0,COUNTIF(Control!$E$20:$E$100,O$2)=0),VISUM_Arterial_OD!O32*Control!$B$3,0)</f>
        <v>0</v>
      </c>
      <c r="P32">
        <f>IF(AND(COUNTIF(Control!$E$20:$E$100,$B32)=0,COUNTIF(Control!$E$20:$E$100,P$2)=0),VISUM_Arterial_OD!P32*Control!$B$3,0)</f>
        <v>0</v>
      </c>
      <c r="Q32">
        <f>IF(AND(COUNTIF(Control!$E$20:$E$100,$B32)=0,COUNTIF(Control!$E$20:$E$100,Q$2)=0),VISUM_Arterial_OD!Q32*Control!$B$3,0)</f>
        <v>0</v>
      </c>
      <c r="R32">
        <f>IF(AND(COUNTIF(Control!$E$20:$E$100,$B32)=0,COUNTIF(Control!$E$20:$E$100,R$2)=0),VISUM_Arterial_OD!R32*Control!$B$3,0)</f>
        <v>0</v>
      </c>
      <c r="S32">
        <f>IF(AND(COUNTIF(Control!$E$20:$E$100,$B32)=0,COUNTIF(Control!$E$20:$E$100,S$2)=0),VISUM_Arterial_OD!S32*Control!$B$3,0)</f>
        <v>0</v>
      </c>
      <c r="T32">
        <f>IF(AND(COUNTIF(Control!$E$20:$E$100,$B32)=0,COUNTIF(Control!$E$20:$E$100,T$2)=0),VISUM_Arterial_OD!T32*Control!$B$3,0)</f>
        <v>0</v>
      </c>
      <c r="U32">
        <f>IF(AND(COUNTIF(Control!$E$20:$E$100,$B32)=0,COUNTIF(Control!$E$20:$E$100,U$2)=0),VISUM_Arterial_OD!U32*Control!$B$3,0)</f>
        <v>0</v>
      </c>
      <c r="V32">
        <f>IF(AND(COUNTIF(Control!$E$20:$E$100,$B32)=0,COUNTIF(Control!$E$20:$E$100,V$2)=0),VISUM_Arterial_OD!V32*Control!$B$3,0)</f>
        <v>0</v>
      </c>
      <c r="W32">
        <f>IF(AND(COUNTIF(Control!$E$20:$E$100,$B32)=0,COUNTIF(Control!$E$20:$E$100,W$2)=0),VISUM_Arterial_OD!W32*Control!$B$3,0)</f>
        <v>0</v>
      </c>
      <c r="X32">
        <f>IF(AND(COUNTIF(Control!$E$20:$E$100,$B32)=0,COUNTIF(Control!$E$20:$E$100,X$2)=0),VISUM_Arterial_OD!X32*Control!$B$3,0)</f>
        <v>0</v>
      </c>
      <c r="Y32">
        <f>IF(AND(COUNTIF(Control!$E$20:$E$100,$B32)=0,COUNTIF(Control!$E$20:$E$100,Y$2)=0),VISUM_Arterial_OD!Y32*Control!$B$3,0)</f>
        <v>0</v>
      </c>
      <c r="Z32">
        <f>IF(AND(COUNTIF(Control!$E$20:$E$100,$B32)=0,COUNTIF(Control!$E$20:$E$100,Z$2)=0),VISUM_Arterial_OD!Z32*Control!$B$3,0)</f>
        <v>0</v>
      </c>
      <c r="AA32">
        <f>IF(AND(COUNTIF(Control!$E$20:$E$100,$B32)=0,COUNTIF(Control!$E$20:$E$100,AA$2)=0),VISUM_Arterial_OD!AA32*Control!$B$3,0)</f>
        <v>0</v>
      </c>
      <c r="AB32">
        <f>IF(AND(COUNTIF(Control!$E$20:$E$100,$B32)=0,COUNTIF(Control!$E$20:$E$100,AB$2)=0),VISUM_Arterial_OD!AB32*Control!$B$3,0)</f>
        <v>0</v>
      </c>
      <c r="AC32">
        <f>IF(AND(COUNTIF(Control!$E$20:$E$100,$B32)=0,COUNTIF(Control!$E$20:$E$100,AC$2)=0),VISUM_Arterial_OD!AC32*Control!$B$3,0)</f>
        <v>0</v>
      </c>
      <c r="AD32">
        <f>IF(AND(COUNTIF(Control!$E$20:$E$100,$B32)=0,COUNTIF(Control!$E$20:$E$100,AD$2)=0),VISUM_Arterial_OD!AD32*Control!$B$3,0)</f>
        <v>0</v>
      </c>
      <c r="AE32">
        <f>IF(AND(COUNTIF(Control!$E$20:$E$100,$B32)=0,COUNTIF(Control!$E$20:$E$100,AE$2)=0),VISUM_Arterial_OD!AE32*Control!$B$3,0)</f>
        <v>0</v>
      </c>
      <c r="AF32">
        <f>IF(AND(COUNTIF(Control!$E$20:$E$100,$B32)=0,COUNTIF(Control!$E$20:$E$100,AF$2)=0),VISUM_Arterial_OD!AF32*Control!$B$3,0)</f>
        <v>0</v>
      </c>
      <c r="AG32">
        <f>IF(AND(COUNTIF(Control!$E$20:$E$100,$B32)=0,COUNTIF(Control!$E$20:$E$100,AG$2)=0),VISUM_Arterial_OD!AG32*Control!$B$3,0)</f>
        <v>0</v>
      </c>
      <c r="AH32">
        <f>IF(AND(COUNTIF(Control!$E$20:$E$100,$B32)=0,COUNTIF(Control!$E$20:$E$100,AH$2)=0),VISUM_Arterial_OD!AH32*Control!$B$3,0)</f>
        <v>0</v>
      </c>
      <c r="AI32">
        <f>IF(AND(COUNTIF(Control!$E$20:$E$100,$B32)=0,COUNTIF(Control!$E$20:$E$100,AI$2)=0),VISUM_Arterial_OD!AI32*Control!$B$3,0)</f>
        <v>0</v>
      </c>
      <c r="AJ32">
        <f>IF(AND(COUNTIF(Control!$E$20:$E$100,$B32)=0,COUNTIF(Control!$E$20:$E$100,AJ$2)=0),VISUM_Arterial_OD!AJ32*Control!$B$3,0)</f>
        <v>0</v>
      </c>
      <c r="AK32">
        <f>IF(AND(COUNTIF(Control!$E$20:$E$100,$B32)=0,COUNTIF(Control!$E$20:$E$100,AK$2)=0),VISUM_Arterial_OD!AK32*Control!$B$3,0)</f>
        <v>0</v>
      </c>
      <c r="AL32">
        <f>IF(AND(COUNTIF(Control!$E$20:$E$100,$B32)=0,COUNTIF(Control!$E$20:$E$100,AL$2)=0),VISUM_Arterial_OD!AL32*Control!$B$3,0)</f>
        <v>0</v>
      </c>
      <c r="AM32">
        <f>IF(AND(COUNTIF(Control!$E$20:$E$100,$B32)=0,COUNTIF(Control!$E$20:$E$100,AM$2)=0),VISUM_Arterial_OD!AM32*Control!$B$3,0)</f>
        <v>0</v>
      </c>
      <c r="AN32">
        <f>IF(AND(COUNTIF(Control!$E$20:$E$100,$B32)=0,COUNTIF(Control!$E$20:$E$100,AN$2)=0),VISUM_Arterial_OD!AN32*Control!$B$3,0)</f>
        <v>0</v>
      </c>
      <c r="AO32">
        <f>IF(AND(COUNTIF(Control!$E$20:$E$100,$B32)=0,COUNTIF(Control!$E$20:$E$100,AO$2)=0),VISUM_Arterial_OD!AO32*Control!$B$3,0)</f>
        <v>0</v>
      </c>
      <c r="AP32">
        <f>IF(AND(COUNTIF(Control!$E$20:$E$100,$B32)=0,COUNTIF(Control!$E$20:$E$100,AP$2)=0),VISUM_Arterial_OD!AP32*Control!$B$3,0)</f>
        <v>0</v>
      </c>
      <c r="AQ32">
        <f>IF(AND(COUNTIF(Control!$E$20:$E$100,$B32)=0,COUNTIF(Control!$E$20:$E$100,AQ$2)=0),VISUM_Arterial_OD!AQ32*Control!$B$3,0)</f>
        <v>0</v>
      </c>
      <c r="AR32">
        <f>IF(AND(COUNTIF(Control!$E$20:$E$100,$B32)=0,COUNTIF(Control!$E$20:$E$100,AR$2)=0),VISUM_Arterial_OD!AR32*Control!$B$3,0)</f>
        <v>0</v>
      </c>
      <c r="AS32">
        <f>IF(AND(COUNTIF(Control!$E$20:$E$100,$B32)=0,COUNTIF(Control!$E$20:$E$100,AS$2)=0),VISUM_Arterial_OD!AS32*Control!$B$3,0)</f>
        <v>0</v>
      </c>
      <c r="AT32">
        <f>IF(AND(COUNTIF(Control!$E$20:$E$100,$B32)=0,COUNTIF(Control!$E$20:$E$100,AT$2)=0),VISUM_Arterial_OD!AT32*Control!$B$3,0)</f>
        <v>0</v>
      </c>
      <c r="AU32">
        <f>IF(AND(COUNTIF(Control!$E$20:$E$100,$B32)=0,COUNTIF(Control!$E$20:$E$100,AU$2)=0),VISUM_Arterial_OD!AU32*Control!$B$3,0)</f>
        <v>0</v>
      </c>
      <c r="AV32">
        <f>IF(AND(COUNTIF(Control!$E$20:$E$100,$B32)=0,COUNTIF(Control!$E$20:$E$100,AV$2)=0),VISUM_Arterial_OD!AV32*Control!$B$3,0)</f>
        <v>0</v>
      </c>
      <c r="AW32">
        <f>IF(AND(COUNTIF(Control!$E$20:$E$100,$B32)=0,COUNTIF(Control!$E$20:$E$100,AW$2)=0),VISUM_Arterial_OD!AW32*Control!$B$3,0)</f>
        <v>0</v>
      </c>
      <c r="AX32">
        <f>IF(AND(COUNTIF(Control!$E$20:$E$100,$B32)=0,COUNTIF(Control!$E$20:$E$100,AX$2)=0),VISUM_Arterial_OD!AX32*Control!$B$3,0)</f>
        <v>0</v>
      </c>
      <c r="AY32">
        <f>IF(AND(COUNTIF(Control!$E$20:$E$100,$B32)=0,COUNTIF(Control!$E$20:$E$100,AY$2)=0),VISUM_Arterial_OD!AY32*Control!$B$3,0)</f>
        <v>0</v>
      </c>
      <c r="AZ32">
        <f>IF(AND(COUNTIF(Control!$E$20:$E$100,$B32)=0,COUNTIF(Control!$E$20:$E$100,AZ$2)=0),VISUM_Arterial_OD!AZ32*Control!$B$3,0)</f>
        <v>0</v>
      </c>
      <c r="BA32">
        <f>IF(AND(COUNTIF(Control!$E$20:$E$100,$B32)=0,COUNTIF(Control!$E$20:$E$100,BA$2)=0),VISUM_Arterial_OD!BA32*Control!$B$3,0)</f>
        <v>0</v>
      </c>
      <c r="BB32">
        <f>IF(AND(COUNTIF(Control!$E$20:$E$100,$B32)=0,COUNTIF(Control!$E$20:$E$100,BB$2)=0),VISUM_Arterial_OD!BB32*Control!$B$3,0)</f>
        <v>0</v>
      </c>
      <c r="BC32">
        <f>IF(AND(COUNTIF(Control!$E$20:$E$100,$B32)=0,COUNTIF(Control!$E$20:$E$100,BC$2)=0),VISUM_Arterial_OD!BC32*Control!$B$3,0)</f>
        <v>0</v>
      </c>
      <c r="BD32">
        <f>IF(AND(COUNTIF(Control!$E$20:$E$100,$B32)=0,COUNTIF(Control!$E$20:$E$100,BD$2)=0),VISUM_Arterial_OD!BD32*Control!$B$3,0)</f>
        <v>0</v>
      </c>
      <c r="BE32">
        <f>IF(AND(COUNTIF(Control!$E$20:$E$100,$B32)=0,COUNTIF(Control!$E$20:$E$100,BE$2)=0),VISUM_Arterial_OD!BE32*Control!$B$3,0)</f>
        <v>0</v>
      </c>
      <c r="BF32">
        <f>IF(AND(COUNTIF(Control!$E$20:$E$100,$B32)=0,COUNTIF(Control!$E$20:$E$100,BF$2)=0),VISUM_Arterial_OD!BF32*Control!$B$3,0)</f>
        <v>0</v>
      </c>
      <c r="BG32">
        <f>IF(AND(COUNTIF(Control!$E$20:$E$100,$B32)=0,COUNTIF(Control!$E$20:$E$100,BG$2)=0),VISUM_Arterial_OD!BG32*Control!$B$3,0)</f>
        <v>0</v>
      </c>
      <c r="BH32">
        <f>IF(AND(COUNTIF(Control!$E$20:$E$100,$B32)=0,COUNTIF(Control!$E$20:$E$100,BH$2)=0),VISUM_Arterial_OD!BH32*Control!$B$3,0)</f>
        <v>0</v>
      </c>
      <c r="BI32">
        <f>IF(AND(COUNTIF(Control!$E$20:$E$100,$B32)=0,COUNTIF(Control!$E$20:$E$100,BI$2)=0),VISUM_Arterial_OD!BI32*Control!$B$3,0)</f>
        <v>0</v>
      </c>
      <c r="BJ32">
        <f>IF(AND(COUNTIF(Control!$E$20:$E$100,$B32)=0,COUNTIF(Control!$E$20:$E$100,BJ$2)=0),VISUM_Arterial_OD!BJ32*Control!$B$3,0)</f>
        <v>0</v>
      </c>
      <c r="BK32">
        <f>IF(AND(COUNTIF(Control!$E$20:$E$100,$B32)=0,COUNTIF(Control!$E$20:$E$100,BK$2)=0),VISUM_Arterial_OD!BK32*Control!$B$3,0)</f>
        <v>0</v>
      </c>
      <c r="BL32">
        <f>IF(AND(COUNTIF(Control!$E$20:$E$100,$B32)=0,COUNTIF(Control!$E$20:$E$100,BL$2)=0),VISUM_Arterial_OD!BL32*Control!$B$3,0)</f>
        <v>0</v>
      </c>
      <c r="BM32">
        <f>IF(AND(COUNTIF(Control!$E$20:$E$100,$B32)=0,COUNTIF(Control!$E$20:$E$100,BM$2)=0),VISUM_Arterial_OD!BM32*Control!$B$3,0)</f>
        <v>0</v>
      </c>
      <c r="BN32">
        <f>IF(AND(COUNTIF(Control!$E$20:$E$100,$B32)=0,COUNTIF(Control!$E$20:$E$100,BN$2)=0),VISUM_Arterial_OD!BN32*Control!$B$3,0)</f>
        <v>0</v>
      </c>
      <c r="BO32">
        <f>IF(AND(COUNTIF(Control!$E$20:$E$100,$B32)=0,COUNTIF(Control!$E$20:$E$100,BO$2)=0),VISUM_Arterial_OD!BO32*Control!$B$3,0)</f>
        <v>0</v>
      </c>
      <c r="BP32">
        <f>IF(AND(COUNTIF(Control!$E$20:$E$100,$B32)=0,COUNTIF(Control!$E$20:$E$100,BP$2)=0),VISUM_Arterial_OD!BP32*Control!$B$3,0)</f>
        <v>0</v>
      </c>
      <c r="BQ32">
        <f>IF(AND(COUNTIF(Control!$E$20:$E$100,$B32)=0,COUNTIF(Control!$E$20:$E$100,BQ$2)=0),VISUM_Arterial_OD!BQ32*Control!$B$3,0)</f>
        <v>0</v>
      </c>
    </row>
    <row r="33" spans="1:69" x14ac:dyDescent="0.25">
      <c r="A33" s="5" t="str">
        <f>IF(VLOOKUP(B33,Arterial_Zone_Link_Mapping!$A:$C,2,FALSE)&lt;&gt;"",VLOOKUP(B33,Arterial_Zone_Link_Mapping!$A:$C,2,FALSE),"")</f>
        <v/>
      </c>
      <c r="B33" s="5">
        <v>55</v>
      </c>
      <c r="C33">
        <f>IF(AND(COUNTIF(Control!$E$20:$E$100,$B33)=0,COUNTIF(Control!$E$20:$E$100,C$2)=0),VISUM_Arterial_OD!C33*Control!$B$3,0)</f>
        <v>0</v>
      </c>
      <c r="D33">
        <f>IF(AND(COUNTIF(Control!$E$20:$E$100,$B33)=0,COUNTIF(Control!$E$20:$E$100,D$2)=0),VISUM_Arterial_OD!D33*Control!$B$3,0)</f>
        <v>0</v>
      </c>
      <c r="E33">
        <f>IF(AND(COUNTIF(Control!$E$20:$E$100,$B33)=0,COUNTIF(Control!$E$20:$E$100,E$2)=0),VISUM_Arterial_OD!E33*Control!$B$3,0)</f>
        <v>0</v>
      </c>
      <c r="F33">
        <f>IF(AND(COUNTIF(Control!$E$20:$E$100,$B33)=0,COUNTIF(Control!$E$20:$E$100,F$2)=0),VISUM_Arterial_OD!F33*Control!$B$3,0)</f>
        <v>0</v>
      </c>
      <c r="G33">
        <f>IF(AND(COUNTIF(Control!$E$20:$E$100,$B33)=0,COUNTIF(Control!$E$20:$E$100,G$2)=0),VISUM_Arterial_OD!G33*Control!$B$3,0)</f>
        <v>0</v>
      </c>
      <c r="H33">
        <f>IF(AND(COUNTIF(Control!$E$20:$E$100,$B33)=0,COUNTIF(Control!$E$20:$E$100,H$2)=0),VISUM_Arterial_OD!H33*Control!$B$3,0)</f>
        <v>0</v>
      </c>
      <c r="I33">
        <f>IF(AND(COUNTIF(Control!$E$20:$E$100,$B33)=0,COUNTIF(Control!$E$20:$E$100,I$2)=0),VISUM_Arterial_OD!I33*Control!$B$3,0)</f>
        <v>0</v>
      </c>
      <c r="J33">
        <f>IF(AND(COUNTIF(Control!$E$20:$E$100,$B33)=0,COUNTIF(Control!$E$20:$E$100,J$2)=0),VISUM_Arterial_OD!J33*Control!$B$3,0)</f>
        <v>0</v>
      </c>
      <c r="K33">
        <f>IF(AND(COUNTIF(Control!$E$20:$E$100,$B33)=0,COUNTIF(Control!$E$20:$E$100,K$2)=0),VISUM_Arterial_OD!K33*Control!$B$3,0)</f>
        <v>0</v>
      </c>
      <c r="L33">
        <f>IF(AND(COUNTIF(Control!$E$20:$E$100,$B33)=0,COUNTIF(Control!$E$20:$E$100,L$2)=0),VISUM_Arterial_OD!L33*Control!$B$3,0)</f>
        <v>0</v>
      </c>
      <c r="M33">
        <f>IF(AND(COUNTIF(Control!$E$20:$E$100,$B33)=0,COUNTIF(Control!$E$20:$E$100,M$2)=0),VISUM_Arterial_OD!M33*Control!$B$3,0)</f>
        <v>0</v>
      </c>
      <c r="N33">
        <f>IF(AND(COUNTIF(Control!$E$20:$E$100,$B33)=0,COUNTIF(Control!$E$20:$E$100,N$2)=0),VISUM_Arterial_OD!N33*Control!$B$3,0)</f>
        <v>0</v>
      </c>
      <c r="O33">
        <f>IF(AND(COUNTIF(Control!$E$20:$E$100,$B33)=0,COUNTIF(Control!$E$20:$E$100,O$2)=0),VISUM_Arterial_OD!O33*Control!$B$3,0)</f>
        <v>0</v>
      </c>
      <c r="P33">
        <f>IF(AND(COUNTIF(Control!$E$20:$E$100,$B33)=0,COUNTIF(Control!$E$20:$E$100,P$2)=0),VISUM_Arterial_OD!P33*Control!$B$3,0)</f>
        <v>0</v>
      </c>
      <c r="Q33">
        <f>IF(AND(COUNTIF(Control!$E$20:$E$100,$B33)=0,COUNTIF(Control!$E$20:$E$100,Q$2)=0),VISUM_Arterial_OD!Q33*Control!$B$3,0)</f>
        <v>0</v>
      </c>
      <c r="R33">
        <f>IF(AND(COUNTIF(Control!$E$20:$E$100,$B33)=0,COUNTIF(Control!$E$20:$E$100,R$2)=0),VISUM_Arterial_OD!R33*Control!$B$3,0)</f>
        <v>0</v>
      </c>
      <c r="S33">
        <f>IF(AND(COUNTIF(Control!$E$20:$E$100,$B33)=0,COUNTIF(Control!$E$20:$E$100,S$2)=0),VISUM_Arterial_OD!S33*Control!$B$3,0)</f>
        <v>0</v>
      </c>
      <c r="T33">
        <f>IF(AND(COUNTIF(Control!$E$20:$E$100,$B33)=0,COUNTIF(Control!$E$20:$E$100,T$2)=0),VISUM_Arterial_OD!T33*Control!$B$3,0)</f>
        <v>0</v>
      </c>
      <c r="U33">
        <f>IF(AND(COUNTIF(Control!$E$20:$E$100,$B33)=0,COUNTIF(Control!$E$20:$E$100,U$2)=0),VISUM_Arterial_OD!U33*Control!$B$3,0)</f>
        <v>0</v>
      </c>
      <c r="V33">
        <f>IF(AND(COUNTIF(Control!$E$20:$E$100,$B33)=0,COUNTIF(Control!$E$20:$E$100,V$2)=0),VISUM_Arterial_OD!V33*Control!$B$3,0)</f>
        <v>0</v>
      </c>
      <c r="W33">
        <f>IF(AND(COUNTIF(Control!$E$20:$E$100,$B33)=0,COUNTIF(Control!$E$20:$E$100,W$2)=0),VISUM_Arterial_OD!W33*Control!$B$3,0)</f>
        <v>0</v>
      </c>
      <c r="X33">
        <f>IF(AND(COUNTIF(Control!$E$20:$E$100,$B33)=0,COUNTIF(Control!$E$20:$E$100,X$2)=0),VISUM_Arterial_OD!X33*Control!$B$3,0)</f>
        <v>0</v>
      </c>
      <c r="Y33">
        <f>IF(AND(COUNTIF(Control!$E$20:$E$100,$B33)=0,COUNTIF(Control!$E$20:$E$100,Y$2)=0),VISUM_Arterial_OD!Y33*Control!$B$3,0)</f>
        <v>0</v>
      </c>
      <c r="Z33">
        <f>IF(AND(COUNTIF(Control!$E$20:$E$100,$B33)=0,COUNTIF(Control!$E$20:$E$100,Z$2)=0),VISUM_Arterial_OD!Z33*Control!$B$3,0)</f>
        <v>0</v>
      </c>
      <c r="AA33">
        <f>IF(AND(COUNTIF(Control!$E$20:$E$100,$B33)=0,COUNTIF(Control!$E$20:$E$100,AA$2)=0),VISUM_Arterial_OD!AA33*Control!$B$3,0)</f>
        <v>0</v>
      </c>
      <c r="AB33">
        <f>IF(AND(COUNTIF(Control!$E$20:$E$100,$B33)=0,COUNTIF(Control!$E$20:$E$100,AB$2)=0),VISUM_Arterial_OD!AB33*Control!$B$3,0)</f>
        <v>0</v>
      </c>
      <c r="AC33">
        <f>IF(AND(COUNTIF(Control!$E$20:$E$100,$B33)=0,COUNTIF(Control!$E$20:$E$100,AC$2)=0),VISUM_Arterial_OD!AC33*Control!$B$3,0)</f>
        <v>0</v>
      </c>
      <c r="AD33">
        <f>IF(AND(COUNTIF(Control!$E$20:$E$100,$B33)=0,COUNTIF(Control!$E$20:$E$100,AD$2)=0),VISUM_Arterial_OD!AD33*Control!$B$3,0)</f>
        <v>0</v>
      </c>
      <c r="AE33">
        <f>IF(AND(COUNTIF(Control!$E$20:$E$100,$B33)=0,COUNTIF(Control!$E$20:$E$100,AE$2)=0),VISUM_Arterial_OD!AE33*Control!$B$3,0)</f>
        <v>0</v>
      </c>
      <c r="AF33">
        <f>IF(AND(COUNTIF(Control!$E$20:$E$100,$B33)=0,COUNTIF(Control!$E$20:$E$100,AF$2)=0),VISUM_Arterial_OD!AF33*Control!$B$3,0)</f>
        <v>0</v>
      </c>
      <c r="AG33">
        <f>IF(AND(COUNTIF(Control!$E$20:$E$100,$B33)=0,COUNTIF(Control!$E$20:$E$100,AG$2)=0),VISUM_Arterial_OD!AG33*Control!$B$3,0)</f>
        <v>0</v>
      </c>
      <c r="AH33">
        <f>IF(AND(COUNTIF(Control!$E$20:$E$100,$B33)=0,COUNTIF(Control!$E$20:$E$100,AH$2)=0),VISUM_Arterial_OD!AH33*Control!$B$3,0)</f>
        <v>0</v>
      </c>
      <c r="AI33">
        <f>IF(AND(COUNTIF(Control!$E$20:$E$100,$B33)=0,COUNTIF(Control!$E$20:$E$100,AI$2)=0),VISUM_Arterial_OD!AI33*Control!$B$3,0)</f>
        <v>0</v>
      </c>
      <c r="AJ33">
        <f>IF(AND(COUNTIF(Control!$E$20:$E$100,$B33)=0,COUNTIF(Control!$E$20:$E$100,AJ$2)=0),VISUM_Arterial_OD!AJ33*Control!$B$3,0)</f>
        <v>0</v>
      </c>
      <c r="AK33">
        <f>IF(AND(COUNTIF(Control!$E$20:$E$100,$B33)=0,COUNTIF(Control!$E$20:$E$100,AK$2)=0),VISUM_Arterial_OD!AK33*Control!$B$3,0)</f>
        <v>0</v>
      </c>
      <c r="AL33">
        <f>IF(AND(COUNTIF(Control!$E$20:$E$100,$B33)=0,COUNTIF(Control!$E$20:$E$100,AL$2)=0),VISUM_Arterial_OD!AL33*Control!$B$3,0)</f>
        <v>0</v>
      </c>
      <c r="AM33">
        <f>IF(AND(COUNTIF(Control!$E$20:$E$100,$B33)=0,COUNTIF(Control!$E$20:$E$100,AM$2)=0),VISUM_Arterial_OD!AM33*Control!$B$3,0)</f>
        <v>0</v>
      </c>
      <c r="AN33">
        <f>IF(AND(COUNTIF(Control!$E$20:$E$100,$B33)=0,COUNTIF(Control!$E$20:$E$100,AN$2)=0),VISUM_Arterial_OD!AN33*Control!$B$3,0)</f>
        <v>0</v>
      </c>
      <c r="AO33">
        <f>IF(AND(COUNTIF(Control!$E$20:$E$100,$B33)=0,COUNTIF(Control!$E$20:$E$100,AO$2)=0),VISUM_Arterial_OD!AO33*Control!$B$3,0)</f>
        <v>0</v>
      </c>
      <c r="AP33">
        <f>IF(AND(COUNTIF(Control!$E$20:$E$100,$B33)=0,COUNTIF(Control!$E$20:$E$100,AP$2)=0),VISUM_Arterial_OD!AP33*Control!$B$3,0)</f>
        <v>0</v>
      </c>
      <c r="AQ33">
        <f>IF(AND(COUNTIF(Control!$E$20:$E$100,$B33)=0,COUNTIF(Control!$E$20:$E$100,AQ$2)=0),VISUM_Arterial_OD!AQ33*Control!$B$3,0)</f>
        <v>0</v>
      </c>
      <c r="AR33">
        <f>IF(AND(COUNTIF(Control!$E$20:$E$100,$B33)=0,COUNTIF(Control!$E$20:$E$100,AR$2)=0),VISUM_Arterial_OD!AR33*Control!$B$3,0)</f>
        <v>0</v>
      </c>
      <c r="AS33">
        <f>IF(AND(COUNTIF(Control!$E$20:$E$100,$B33)=0,COUNTIF(Control!$E$20:$E$100,AS$2)=0),VISUM_Arterial_OD!AS33*Control!$B$3,0)</f>
        <v>0</v>
      </c>
      <c r="AT33">
        <f>IF(AND(COUNTIF(Control!$E$20:$E$100,$B33)=0,COUNTIF(Control!$E$20:$E$100,AT$2)=0),VISUM_Arterial_OD!AT33*Control!$B$3,0)</f>
        <v>0</v>
      </c>
      <c r="AU33">
        <f>IF(AND(COUNTIF(Control!$E$20:$E$100,$B33)=0,COUNTIF(Control!$E$20:$E$100,AU$2)=0),VISUM_Arterial_OD!AU33*Control!$B$3,0)</f>
        <v>0</v>
      </c>
      <c r="AV33">
        <f>IF(AND(COUNTIF(Control!$E$20:$E$100,$B33)=0,COUNTIF(Control!$E$20:$E$100,AV$2)=0),VISUM_Arterial_OD!AV33*Control!$B$3,0)</f>
        <v>0</v>
      </c>
      <c r="AW33">
        <f>IF(AND(COUNTIF(Control!$E$20:$E$100,$B33)=0,COUNTIF(Control!$E$20:$E$100,AW$2)=0),VISUM_Arterial_OD!AW33*Control!$B$3,0)</f>
        <v>0</v>
      </c>
      <c r="AX33">
        <f>IF(AND(COUNTIF(Control!$E$20:$E$100,$B33)=0,COUNTIF(Control!$E$20:$E$100,AX$2)=0),VISUM_Arterial_OD!AX33*Control!$B$3,0)</f>
        <v>0</v>
      </c>
      <c r="AY33">
        <f>IF(AND(COUNTIF(Control!$E$20:$E$100,$B33)=0,COUNTIF(Control!$E$20:$E$100,AY$2)=0),VISUM_Arterial_OD!AY33*Control!$B$3,0)</f>
        <v>0</v>
      </c>
      <c r="AZ33">
        <f>IF(AND(COUNTIF(Control!$E$20:$E$100,$B33)=0,COUNTIF(Control!$E$20:$E$100,AZ$2)=0),VISUM_Arterial_OD!AZ33*Control!$B$3,0)</f>
        <v>0</v>
      </c>
      <c r="BA33">
        <f>IF(AND(COUNTIF(Control!$E$20:$E$100,$B33)=0,COUNTIF(Control!$E$20:$E$100,BA$2)=0),VISUM_Arterial_OD!BA33*Control!$B$3,0)</f>
        <v>0</v>
      </c>
      <c r="BB33">
        <f>IF(AND(COUNTIF(Control!$E$20:$E$100,$B33)=0,COUNTIF(Control!$E$20:$E$100,BB$2)=0),VISUM_Arterial_OD!BB33*Control!$B$3,0)</f>
        <v>0</v>
      </c>
      <c r="BC33">
        <f>IF(AND(COUNTIF(Control!$E$20:$E$100,$B33)=0,COUNTIF(Control!$E$20:$E$100,BC$2)=0),VISUM_Arterial_OD!BC33*Control!$B$3,0)</f>
        <v>0</v>
      </c>
      <c r="BD33">
        <f>IF(AND(COUNTIF(Control!$E$20:$E$100,$B33)=0,COUNTIF(Control!$E$20:$E$100,BD$2)=0),VISUM_Arterial_OD!BD33*Control!$B$3,0)</f>
        <v>0</v>
      </c>
      <c r="BE33">
        <f>IF(AND(COUNTIF(Control!$E$20:$E$100,$B33)=0,COUNTIF(Control!$E$20:$E$100,BE$2)=0),VISUM_Arterial_OD!BE33*Control!$B$3,0)</f>
        <v>0</v>
      </c>
      <c r="BF33">
        <f>IF(AND(COUNTIF(Control!$E$20:$E$100,$B33)=0,COUNTIF(Control!$E$20:$E$100,BF$2)=0),VISUM_Arterial_OD!BF33*Control!$B$3,0)</f>
        <v>0</v>
      </c>
      <c r="BG33">
        <f>IF(AND(COUNTIF(Control!$E$20:$E$100,$B33)=0,COUNTIF(Control!$E$20:$E$100,BG$2)=0),VISUM_Arterial_OD!BG33*Control!$B$3,0)</f>
        <v>0</v>
      </c>
      <c r="BH33">
        <f>IF(AND(COUNTIF(Control!$E$20:$E$100,$B33)=0,COUNTIF(Control!$E$20:$E$100,BH$2)=0),VISUM_Arterial_OD!BH33*Control!$B$3,0)</f>
        <v>0</v>
      </c>
      <c r="BI33">
        <f>IF(AND(COUNTIF(Control!$E$20:$E$100,$B33)=0,COUNTIF(Control!$E$20:$E$100,BI$2)=0),VISUM_Arterial_OD!BI33*Control!$B$3,0)</f>
        <v>0</v>
      </c>
      <c r="BJ33">
        <f>IF(AND(COUNTIF(Control!$E$20:$E$100,$B33)=0,COUNTIF(Control!$E$20:$E$100,BJ$2)=0),VISUM_Arterial_OD!BJ33*Control!$B$3,0)</f>
        <v>0</v>
      </c>
      <c r="BK33">
        <f>IF(AND(COUNTIF(Control!$E$20:$E$100,$B33)=0,COUNTIF(Control!$E$20:$E$100,BK$2)=0),VISUM_Arterial_OD!BK33*Control!$B$3,0)</f>
        <v>0</v>
      </c>
      <c r="BL33">
        <f>IF(AND(COUNTIF(Control!$E$20:$E$100,$B33)=0,COUNTIF(Control!$E$20:$E$100,BL$2)=0),VISUM_Arterial_OD!BL33*Control!$B$3,0)</f>
        <v>0</v>
      </c>
      <c r="BM33">
        <f>IF(AND(COUNTIF(Control!$E$20:$E$100,$B33)=0,COUNTIF(Control!$E$20:$E$100,BM$2)=0),VISUM_Arterial_OD!BM33*Control!$B$3,0)</f>
        <v>0</v>
      </c>
      <c r="BN33">
        <f>IF(AND(COUNTIF(Control!$E$20:$E$100,$B33)=0,COUNTIF(Control!$E$20:$E$100,BN$2)=0),VISUM_Arterial_OD!BN33*Control!$B$3,0)</f>
        <v>0</v>
      </c>
      <c r="BO33">
        <f>IF(AND(COUNTIF(Control!$E$20:$E$100,$B33)=0,COUNTIF(Control!$E$20:$E$100,BO$2)=0),VISUM_Arterial_OD!BO33*Control!$B$3,0)</f>
        <v>0</v>
      </c>
      <c r="BP33">
        <f>IF(AND(COUNTIF(Control!$E$20:$E$100,$B33)=0,COUNTIF(Control!$E$20:$E$100,BP$2)=0),VISUM_Arterial_OD!BP33*Control!$B$3,0)</f>
        <v>0</v>
      </c>
      <c r="BQ33">
        <f>IF(AND(COUNTIF(Control!$E$20:$E$100,$B33)=0,COUNTIF(Control!$E$20:$E$100,BQ$2)=0),VISUM_Arterial_OD!BQ33*Control!$B$3,0)</f>
        <v>0</v>
      </c>
    </row>
    <row r="34" spans="1:69" x14ac:dyDescent="0.25">
      <c r="A34" s="5">
        <f>IF(VLOOKUP(B34,Arterial_Zone_Link_Mapping!$A:$C,2,FALSE)&lt;&gt;"",VLOOKUP(B34,Arterial_Zone_Link_Mapping!$A:$C,2,FALSE),"")</f>
        <v>193</v>
      </c>
      <c r="B34" s="5">
        <v>56</v>
      </c>
      <c r="C34">
        <f>IF(AND(COUNTIF(Control!$E$20:$E$100,$B34)=0,COUNTIF(Control!$E$20:$E$100,C$2)=0),VISUM_Arterial_OD!C34*Control!$B$3,0)</f>
        <v>0</v>
      </c>
      <c r="D34">
        <f>IF(AND(COUNTIF(Control!$E$20:$E$100,$B34)=0,COUNTIF(Control!$E$20:$E$100,D$2)=0),VISUM_Arterial_OD!D34*Control!$B$3,0)</f>
        <v>0</v>
      </c>
      <c r="E34">
        <f>IF(AND(COUNTIF(Control!$E$20:$E$100,$B34)=0,COUNTIF(Control!$E$20:$E$100,E$2)=0),VISUM_Arterial_OD!E34*Control!$B$3,0)</f>
        <v>0</v>
      </c>
      <c r="F34">
        <f>IF(AND(COUNTIF(Control!$E$20:$E$100,$B34)=0,COUNTIF(Control!$E$20:$E$100,F$2)=0),VISUM_Arterial_OD!F34*Control!$B$3,0)</f>
        <v>0</v>
      </c>
      <c r="G34">
        <f>IF(AND(COUNTIF(Control!$E$20:$E$100,$B34)=0,COUNTIF(Control!$E$20:$E$100,G$2)=0),VISUM_Arterial_OD!G34*Control!$B$3,0)</f>
        <v>0</v>
      </c>
      <c r="H34">
        <f>IF(AND(COUNTIF(Control!$E$20:$E$100,$B34)=0,COUNTIF(Control!$E$20:$E$100,H$2)=0),VISUM_Arterial_OD!H34*Control!$B$3,0)</f>
        <v>0</v>
      </c>
      <c r="I34">
        <f>IF(AND(COUNTIF(Control!$E$20:$E$100,$B34)=0,COUNTIF(Control!$E$20:$E$100,I$2)=0),VISUM_Arterial_OD!I34*Control!$B$3,0)</f>
        <v>0</v>
      </c>
      <c r="J34">
        <f>IF(AND(COUNTIF(Control!$E$20:$E$100,$B34)=0,COUNTIF(Control!$E$20:$E$100,J$2)=0),VISUM_Arterial_OD!J34*Control!$B$3,0)</f>
        <v>0</v>
      </c>
      <c r="K34">
        <f>IF(AND(COUNTIF(Control!$E$20:$E$100,$B34)=0,COUNTIF(Control!$E$20:$E$100,K$2)=0),VISUM_Arterial_OD!K34*Control!$B$3,0)</f>
        <v>0</v>
      </c>
      <c r="L34">
        <f>IF(AND(COUNTIF(Control!$E$20:$E$100,$B34)=0,COUNTIF(Control!$E$20:$E$100,L$2)=0),VISUM_Arterial_OD!L34*Control!$B$3,0)</f>
        <v>0</v>
      </c>
      <c r="M34">
        <f>IF(AND(COUNTIF(Control!$E$20:$E$100,$B34)=0,COUNTIF(Control!$E$20:$E$100,M$2)=0),VISUM_Arterial_OD!M34*Control!$B$3,0)</f>
        <v>0</v>
      </c>
      <c r="N34">
        <f>IF(AND(COUNTIF(Control!$E$20:$E$100,$B34)=0,COUNTIF(Control!$E$20:$E$100,N$2)=0),VISUM_Arterial_OD!N34*Control!$B$3,0)</f>
        <v>0</v>
      </c>
      <c r="O34">
        <f>IF(AND(COUNTIF(Control!$E$20:$E$100,$B34)=0,COUNTIF(Control!$E$20:$E$100,O$2)=0),VISUM_Arterial_OD!O34*Control!$B$3,0)</f>
        <v>0</v>
      </c>
      <c r="P34">
        <f>IF(AND(COUNTIF(Control!$E$20:$E$100,$B34)=0,COUNTIF(Control!$E$20:$E$100,P$2)=0),VISUM_Arterial_OD!P34*Control!$B$3,0)</f>
        <v>0</v>
      </c>
      <c r="Q34">
        <f>IF(AND(COUNTIF(Control!$E$20:$E$100,$B34)=0,COUNTIF(Control!$E$20:$E$100,Q$2)=0),VISUM_Arterial_OD!Q34*Control!$B$3,0)</f>
        <v>0</v>
      </c>
      <c r="R34">
        <f>IF(AND(COUNTIF(Control!$E$20:$E$100,$B34)=0,COUNTIF(Control!$E$20:$E$100,R$2)=0),VISUM_Arterial_OD!R34*Control!$B$3,0)</f>
        <v>0</v>
      </c>
      <c r="S34">
        <f>IF(AND(COUNTIF(Control!$E$20:$E$100,$B34)=0,COUNTIF(Control!$E$20:$E$100,S$2)=0),VISUM_Arterial_OD!S34*Control!$B$3,0)</f>
        <v>0</v>
      </c>
      <c r="T34">
        <f>IF(AND(COUNTIF(Control!$E$20:$E$100,$B34)=0,COUNTIF(Control!$E$20:$E$100,T$2)=0),VISUM_Arterial_OD!T34*Control!$B$3,0)</f>
        <v>0</v>
      </c>
      <c r="U34">
        <f>IF(AND(COUNTIF(Control!$E$20:$E$100,$B34)=0,COUNTIF(Control!$E$20:$E$100,U$2)=0),VISUM_Arterial_OD!U34*Control!$B$3,0)</f>
        <v>0</v>
      </c>
      <c r="V34">
        <f>IF(AND(COUNTIF(Control!$E$20:$E$100,$B34)=0,COUNTIF(Control!$E$20:$E$100,V$2)=0),VISUM_Arterial_OD!V34*Control!$B$3,0)</f>
        <v>0</v>
      </c>
      <c r="W34">
        <f>IF(AND(COUNTIF(Control!$E$20:$E$100,$B34)=0,COUNTIF(Control!$E$20:$E$100,W$2)=0),VISUM_Arterial_OD!W34*Control!$B$3,0)</f>
        <v>0</v>
      </c>
      <c r="X34">
        <f>IF(AND(COUNTIF(Control!$E$20:$E$100,$B34)=0,COUNTIF(Control!$E$20:$E$100,X$2)=0),VISUM_Arterial_OD!X34*Control!$B$3,0)</f>
        <v>0</v>
      </c>
      <c r="Y34">
        <f>IF(AND(COUNTIF(Control!$E$20:$E$100,$B34)=0,COUNTIF(Control!$E$20:$E$100,Y$2)=0),VISUM_Arterial_OD!Y34*Control!$B$3,0)</f>
        <v>0</v>
      </c>
      <c r="Z34">
        <f>IF(AND(COUNTIF(Control!$E$20:$E$100,$B34)=0,COUNTIF(Control!$E$20:$E$100,Z$2)=0),VISUM_Arterial_OD!Z34*Control!$B$3,0)</f>
        <v>0</v>
      </c>
      <c r="AA34">
        <f>IF(AND(COUNTIF(Control!$E$20:$E$100,$B34)=0,COUNTIF(Control!$E$20:$E$100,AA$2)=0),VISUM_Arterial_OD!AA34*Control!$B$3,0)</f>
        <v>0</v>
      </c>
      <c r="AB34">
        <f>IF(AND(COUNTIF(Control!$E$20:$E$100,$B34)=0,COUNTIF(Control!$E$20:$E$100,AB$2)=0),VISUM_Arterial_OD!AB34*Control!$B$3,0)</f>
        <v>0</v>
      </c>
      <c r="AC34">
        <f>IF(AND(COUNTIF(Control!$E$20:$E$100,$B34)=0,COUNTIF(Control!$E$20:$E$100,AC$2)=0),VISUM_Arterial_OD!AC34*Control!$B$3,0)</f>
        <v>0</v>
      </c>
      <c r="AD34">
        <f>IF(AND(COUNTIF(Control!$E$20:$E$100,$B34)=0,COUNTIF(Control!$E$20:$E$100,AD$2)=0),VISUM_Arterial_OD!AD34*Control!$B$3,0)</f>
        <v>0</v>
      </c>
      <c r="AE34">
        <f>IF(AND(COUNTIF(Control!$E$20:$E$100,$B34)=0,COUNTIF(Control!$E$20:$E$100,AE$2)=0),VISUM_Arterial_OD!AE34*Control!$B$3,0)</f>
        <v>0</v>
      </c>
      <c r="AF34">
        <f>IF(AND(COUNTIF(Control!$E$20:$E$100,$B34)=0,COUNTIF(Control!$E$20:$E$100,AF$2)=0),VISUM_Arterial_OD!AF34*Control!$B$3,0)</f>
        <v>0</v>
      </c>
      <c r="AG34">
        <f>IF(AND(COUNTIF(Control!$E$20:$E$100,$B34)=0,COUNTIF(Control!$E$20:$E$100,AG$2)=0),VISUM_Arterial_OD!AG34*Control!$B$3,0)</f>
        <v>0</v>
      </c>
      <c r="AH34">
        <f>IF(AND(COUNTIF(Control!$E$20:$E$100,$B34)=0,COUNTIF(Control!$E$20:$E$100,AH$2)=0),VISUM_Arterial_OD!AH34*Control!$B$3,0)</f>
        <v>0</v>
      </c>
      <c r="AI34">
        <f>IF(AND(COUNTIF(Control!$E$20:$E$100,$B34)=0,COUNTIF(Control!$E$20:$E$100,AI$2)=0),VISUM_Arterial_OD!AI34*Control!$B$3,0)</f>
        <v>0</v>
      </c>
      <c r="AJ34">
        <f>IF(AND(COUNTIF(Control!$E$20:$E$100,$B34)=0,COUNTIF(Control!$E$20:$E$100,AJ$2)=0),VISUM_Arterial_OD!AJ34*Control!$B$3,0)</f>
        <v>0</v>
      </c>
      <c r="AK34">
        <f>IF(AND(COUNTIF(Control!$E$20:$E$100,$B34)=0,COUNTIF(Control!$E$20:$E$100,AK$2)=0),VISUM_Arterial_OD!AK34*Control!$B$3,0)</f>
        <v>0</v>
      </c>
      <c r="AL34">
        <f>IF(AND(COUNTIF(Control!$E$20:$E$100,$B34)=0,COUNTIF(Control!$E$20:$E$100,AL$2)=0),VISUM_Arterial_OD!AL34*Control!$B$3,0)</f>
        <v>0</v>
      </c>
      <c r="AM34">
        <f>IF(AND(COUNTIF(Control!$E$20:$E$100,$B34)=0,COUNTIF(Control!$E$20:$E$100,AM$2)=0),VISUM_Arterial_OD!AM34*Control!$B$3,0)</f>
        <v>0</v>
      </c>
      <c r="AN34">
        <f>IF(AND(COUNTIF(Control!$E$20:$E$100,$B34)=0,COUNTIF(Control!$E$20:$E$100,AN$2)=0),VISUM_Arterial_OD!AN34*Control!$B$3,0)</f>
        <v>0</v>
      </c>
      <c r="AO34">
        <f>IF(AND(COUNTIF(Control!$E$20:$E$100,$B34)=0,COUNTIF(Control!$E$20:$E$100,AO$2)=0),VISUM_Arterial_OD!AO34*Control!$B$3,0)</f>
        <v>0</v>
      </c>
      <c r="AP34">
        <f>IF(AND(COUNTIF(Control!$E$20:$E$100,$B34)=0,COUNTIF(Control!$E$20:$E$100,AP$2)=0),VISUM_Arterial_OD!AP34*Control!$B$3,0)</f>
        <v>0</v>
      </c>
      <c r="AQ34">
        <f>IF(AND(COUNTIF(Control!$E$20:$E$100,$B34)=0,COUNTIF(Control!$E$20:$E$100,AQ$2)=0),VISUM_Arterial_OD!AQ34*Control!$B$3,0)</f>
        <v>0</v>
      </c>
      <c r="AR34">
        <f>IF(AND(COUNTIF(Control!$E$20:$E$100,$B34)=0,COUNTIF(Control!$E$20:$E$100,AR$2)=0),VISUM_Arterial_OD!AR34*Control!$B$3,0)</f>
        <v>0</v>
      </c>
      <c r="AS34">
        <f>IF(AND(COUNTIF(Control!$E$20:$E$100,$B34)=0,COUNTIF(Control!$E$20:$E$100,AS$2)=0),VISUM_Arterial_OD!AS34*Control!$B$3,0)</f>
        <v>0</v>
      </c>
      <c r="AT34">
        <f>IF(AND(COUNTIF(Control!$E$20:$E$100,$B34)=0,COUNTIF(Control!$E$20:$E$100,AT$2)=0),VISUM_Arterial_OD!AT34*Control!$B$3,0)</f>
        <v>0</v>
      </c>
      <c r="AU34">
        <f>IF(AND(COUNTIF(Control!$E$20:$E$100,$B34)=0,COUNTIF(Control!$E$20:$E$100,AU$2)=0),VISUM_Arterial_OD!AU34*Control!$B$3,0)</f>
        <v>0</v>
      </c>
      <c r="AV34">
        <f>IF(AND(COUNTIF(Control!$E$20:$E$100,$B34)=0,COUNTIF(Control!$E$20:$E$100,AV$2)=0),VISUM_Arterial_OD!AV34*Control!$B$3,0)</f>
        <v>0</v>
      </c>
      <c r="AW34">
        <f>IF(AND(COUNTIF(Control!$E$20:$E$100,$B34)=0,COUNTIF(Control!$E$20:$E$100,AW$2)=0),VISUM_Arterial_OD!AW34*Control!$B$3,0)</f>
        <v>0</v>
      </c>
      <c r="AX34">
        <f>IF(AND(COUNTIF(Control!$E$20:$E$100,$B34)=0,COUNTIF(Control!$E$20:$E$100,AX$2)=0),VISUM_Arterial_OD!AX34*Control!$B$3,0)</f>
        <v>0</v>
      </c>
      <c r="AY34">
        <f>IF(AND(COUNTIF(Control!$E$20:$E$100,$B34)=0,COUNTIF(Control!$E$20:$E$100,AY$2)=0),VISUM_Arterial_OD!AY34*Control!$B$3,0)</f>
        <v>0</v>
      </c>
      <c r="AZ34">
        <f>IF(AND(COUNTIF(Control!$E$20:$E$100,$B34)=0,COUNTIF(Control!$E$20:$E$100,AZ$2)=0),VISUM_Arterial_OD!AZ34*Control!$B$3,0)</f>
        <v>0</v>
      </c>
      <c r="BA34">
        <f>IF(AND(COUNTIF(Control!$E$20:$E$100,$B34)=0,COUNTIF(Control!$E$20:$E$100,BA$2)=0),VISUM_Arterial_OD!BA34*Control!$B$3,0)</f>
        <v>0</v>
      </c>
      <c r="BB34">
        <f>IF(AND(COUNTIF(Control!$E$20:$E$100,$B34)=0,COUNTIF(Control!$E$20:$E$100,BB$2)=0),VISUM_Arterial_OD!BB34*Control!$B$3,0)</f>
        <v>0</v>
      </c>
      <c r="BC34">
        <f>IF(AND(COUNTIF(Control!$E$20:$E$100,$B34)=0,COUNTIF(Control!$E$20:$E$100,BC$2)=0),VISUM_Arterial_OD!BC34*Control!$B$3,0)</f>
        <v>0</v>
      </c>
      <c r="BD34">
        <f>IF(AND(COUNTIF(Control!$E$20:$E$100,$B34)=0,COUNTIF(Control!$E$20:$E$100,BD$2)=0),VISUM_Arterial_OD!BD34*Control!$B$3,0)</f>
        <v>0</v>
      </c>
      <c r="BE34">
        <f>IF(AND(COUNTIF(Control!$E$20:$E$100,$B34)=0,COUNTIF(Control!$E$20:$E$100,BE$2)=0),VISUM_Arterial_OD!BE34*Control!$B$3,0)</f>
        <v>0</v>
      </c>
      <c r="BF34">
        <f>IF(AND(COUNTIF(Control!$E$20:$E$100,$B34)=0,COUNTIF(Control!$E$20:$E$100,BF$2)=0),VISUM_Arterial_OD!BF34*Control!$B$3,0)</f>
        <v>0</v>
      </c>
      <c r="BG34">
        <f>IF(AND(COUNTIF(Control!$E$20:$E$100,$B34)=0,COUNTIF(Control!$E$20:$E$100,BG$2)=0),VISUM_Arterial_OD!BG34*Control!$B$3,0)</f>
        <v>0</v>
      </c>
      <c r="BH34">
        <f>IF(AND(COUNTIF(Control!$E$20:$E$100,$B34)=0,COUNTIF(Control!$E$20:$E$100,BH$2)=0),VISUM_Arterial_OD!BH34*Control!$B$3,0)</f>
        <v>0</v>
      </c>
      <c r="BI34">
        <f>IF(AND(COUNTIF(Control!$E$20:$E$100,$B34)=0,COUNTIF(Control!$E$20:$E$100,BI$2)=0),VISUM_Arterial_OD!BI34*Control!$B$3,0)</f>
        <v>0</v>
      </c>
      <c r="BJ34">
        <f>IF(AND(COUNTIF(Control!$E$20:$E$100,$B34)=0,COUNTIF(Control!$E$20:$E$100,BJ$2)=0),VISUM_Arterial_OD!BJ34*Control!$B$3,0)</f>
        <v>0</v>
      </c>
      <c r="BK34">
        <f>IF(AND(COUNTIF(Control!$E$20:$E$100,$B34)=0,COUNTIF(Control!$E$20:$E$100,BK$2)=0),VISUM_Arterial_OD!BK34*Control!$B$3,0)</f>
        <v>0</v>
      </c>
      <c r="BL34">
        <f>IF(AND(COUNTIF(Control!$E$20:$E$100,$B34)=0,COUNTIF(Control!$E$20:$E$100,BL$2)=0),VISUM_Arterial_OD!BL34*Control!$B$3,0)</f>
        <v>0</v>
      </c>
      <c r="BM34">
        <f>IF(AND(COUNTIF(Control!$E$20:$E$100,$B34)=0,COUNTIF(Control!$E$20:$E$100,BM$2)=0),VISUM_Arterial_OD!BM34*Control!$B$3,0)</f>
        <v>0</v>
      </c>
      <c r="BN34">
        <f>IF(AND(COUNTIF(Control!$E$20:$E$100,$B34)=0,COUNTIF(Control!$E$20:$E$100,BN$2)=0),VISUM_Arterial_OD!BN34*Control!$B$3,0)</f>
        <v>0</v>
      </c>
      <c r="BO34">
        <f>IF(AND(COUNTIF(Control!$E$20:$E$100,$B34)=0,COUNTIF(Control!$E$20:$E$100,BO$2)=0),VISUM_Arterial_OD!BO34*Control!$B$3,0)</f>
        <v>0</v>
      </c>
      <c r="BP34">
        <f>IF(AND(COUNTIF(Control!$E$20:$E$100,$B34)=0,COUNTIF(Control!$E$20:$E$100,BP$2)=0),VISUM_Arterial_OD!BP34*Control!$B$3,0)</f>
        <v>0</v>
      </c>
      <c r="BQ34">
        <f>IF(AND(COUNTIF(Control!$E$20:$E$100,$B34)=0,COUNTIF(Control!$E$20:$E$100,BQ$2)=0),VISUM_Arterial_OD!BQ34*Control!$B$3,0)</f>
        <v>0</v>
      </c>
    </row>
    <row r="35" spans="1:69" x14ac:dyDescent="0.25">
      <c r="A35" s="5">
        <f>IF(VLOOKUP(B35,Arterial_Zone_Link_Mapping!$A:$C,2,FALSE)&lt;&gt;"",VLOOKUP(B35,Arterial_Zone_Link_Mapping!$A:$C,2,FALSE),"")</f>
        <v>10290</v>
      </c>
      <c r="B35" s="5">
        <v>57</v>
      </c>
      <c r="C35">
        <f>IF(AND(COUNTIF(Control!$E$20:$E$100,$B35)=0,COUNTIF(Control!$E$20:$E$100,C$2)=0),VISUM_Arterial_OD!C35*Control!$B$3,0)</f>
        <v>8.63540025</v>
      </c>
      <c r="D35">
        <f>IF(AND(COUNTIF(Control!$E$20:$E$100,$B35)=0,COUNTIF(Control!$E$20:$E$100,D$2)=0),VISUM_Arterial_OD!D35*Control!$B$3,0)</f>
        <v>0</v>
      </c>
      <c r="E35">
        <f>IF(AND(COUNTIF(Control!$E$20:$E$100,$B35)=0,COUNTIF(Control!$E$20:$E$100,E$2)=0),VISUM_Arterial_OD!E35*Control!$B$3,0)</f>
        <v>0</v>
      </c>
      <c r="F35">
        <f>IF(AND(COUNTIF(Control!$E$20:$E$100,$B35)=0,COUNTIF(Control!$E$20:$E$100,F$2)=0),VISUM_Arterial_OD!F35*Control!$B$3,0)</f>
        <v>0</v>
      </c>
      <c r="G35">
        <f>IF(AND(COUNTIF(Control!$E$20:$E$100,$B35)=0,COUNTIF(Control!$E$20:$E$100,G$2)=0),VISUM_Arterial_OD!G35*Control!$B$3,0)</f>
        <v>0</v>
      </c>
      <c r="H35">
        <f>IF(AND(COUNTIF(Control!$E$20:$E$100,$B35)=0,COUNTIF(Control!$E$20:$E$100,H$2)=0),VISUM_Arterial_OD!H35*Control!$B$3,0)</f>
        <v>0</v>
      </c>
      <c r="I35">
        <f>IF(AND(COUNTIF(Control!$E$20:$E$100,$B35)=0,COUNTIF(Control!$E$20:$E$100,I$2)=0),VISUM_Arterial_OD!I35*Control!$B$3,0)</f>
        <v>0</v>
      </c>
      <c r="J35">
        <f>IF(AND(COUNTIF(Control!$E$20:$E$100,$B35)=0,COUNTIF(Control!$E$20:$E$100,J$2)=0),VISUM_Arterial_OD!J35*Control!$B$3,0)</f>
        <v>0</v>
      </c>
      <c r="K35">
        <f>IF(AND(COUNTIF(Control!$E$20:$E$100,$B35)=0,COUNTIF(Control!$E$20:$E$100,K$2)=0),VISUM_Arterial_OD!K35*Control!$B$3,0)</f>
        <v>2.2865245799999996</v>
      </c>
      <c r="L35">
        <f>IF(AND(COUNTIF(Control!$E$20:$E$100,$B35)=0,COUNTIF(Control!$E$20:$E$100,L$2)=0),VISUM_Arterial_OD!L35*Control!$B$3,0)</f>
        <v>5.9004758099999997</v>
      </c>
      <c r="M35">
        <f>IF(AND(COUNTIF(Control!$E$20:$E$100,$B35)=0,COUNTIF(Control!$E$20:$E$100,M$2)=0),VISUM_Arterial_OD!M35*Control!$B$3,0)</f>
        <v>0</v>
      </c>
      <c r="N35">
        <f>IF(AND(COUNTIF(Control!$E$20:$E$100,$B35)=0,COUNTIF(Control!$E$20:$E$100,N$2)=0),VISUM_Arterial_OD!N35*Control!$B$3,0)</f>
        <v>0</v>
      </c>
      <c r="O35">
        <f>IF(AND(COUNTIF(Control!$E$20:$E$100,$B35)=0,COUNTIF(Control!$E$20:$E$100,O$2)=0),VISUM_Arterial_OD!O35*Control!$B$3,0)</f>
        <v>0</v>
      </c>
      <c r="P35">
        <f>IF(AND(COUNTIF(Control!$E$20:$E$100,$B35)=0,COUNTIF(Control!$E$20:$E$100,P$2)=0),VISUM_Arterial_OD!P35*Control!$B$3,0)</f>
        <v>2.8527318900000003</v>
      </c>
      <c r="Q35">
        <f>IF(AND(COUNTIF(Control!$E$20:$E$100,$B35)=0,COUNTIF(Control!$E$20:$E$100,Q$2)=0),VISUM_Arterial_OD!Q35*Control!$B$3,0)</f>
        <v>0</v>
      </c>
      <c r="R35">
        <f>IF(AND(COUNTIF(Control!$E$20:$E$100,$B35)=0,COUNTIF(Control!$E$20:$E$100,R$2)=0),VISUM_Arterial_OD!R35*Control!$B$3,0)</f>
        <v>0</v>
      </c>
      <c r="S35">
        <f>IF(AND(COUNTIF(Control!$E$20:$E$100,$B35)=0,COUNTIF(Control!$E$20:$E$100,S$2)=0),VISUM_Arterial_OD!S35*Control!$B$3,0)</f>
        <v>1.2322259999999998</v>
      </c>
      <c r="T35">
        <f>IF(AND(COUNTIF(Control!$E$20:$E$100,$B35)=0,COUNTIF(Control!$E$20:$E$100,T$2)=0),VISUM_Arterial_OD!T35*Control!$B$3,0)</f>
        <v>0</v>
      </c>
      <c r="U35">
        <f>IF(AND(COUNTIF(Control!$E$20:$E$100,$B35)=0,COUNTIF(Control!$E$20:$E$100,U$2)=0),VISUM_Arterial_OD!U35*Control!$B$3,0)</f>
        <v>0</v>
      </c>
      <c r="V35">
        <f>IF(AND(COUNTIF(Control!$E$20:$E$100,$B35)=0,COUNTIF(Control!$E$20:$E$100,V$2)=0),VISUM_Arterial_OD!V35*Control!$B$3,0)</f>
        <v>0</v>
      </c>
      <c r="W35">
        <f>IF(AND(COUNTIF(Control!$E$20:$E$100,$B35)=0,COUNTIF(Control!$E$20:$E$100,W$2)=0),VISUM_Arterial_OD!W35*Control!$B$3,0)</f>
        <v>0</v>
      </c>
      <c r="X35">
        <f>IF(AND(COUNTIF(Control!$E$20:$E$100,$B35)=0,COUNTIF(Control!$E$20:$E$100,X$2)=0),VISUM_Arterial_OD!X35*Control!$B$3,0)</f>
        <v>0</v>
      </c>
      <c r="Y35">
        <f>IF(AND(COUNTIF(Control!$E$20:$E$100,$B35)=0,COUNTIF(Control!$E$20:$E$100,Y$2)=0),VISUM_Arterial_OD!Y35*Control!$B$3,0)</f>
        <v>0</v>
      </c>
      <c r="Z35">
        <f>IF(AND(COUNTIF(Control!$E$20:$E$100,$B35)=0,COUNTIF(Control!$E$20:$E$100,Z$2)=0),VISUM_Arterial_OD!Z35*Control!$B$3,0)</f>
        <v>7.4497477200000004</v>
      </c>
      <c r="AA35">
        <f>IF(AND(COUNTIF(Control!$E$20:$E$100,$B35)=0,COUNTIF(Control!$E$20:$E$100,AA$2)=0),VISUM_Arterial_OD!AA35*Control!$B$3,0)</f>
        <v>0</v>
      </c>
      <c r="AB35">
        <f>IF(AND(COUNTIF(Control!$E$20:$E$100,$B35)=0,COUNTIF(Control!$E$20:$E$100,AB$2)=0),VISUM_Arterial_OD!AB35*Control!$B$3,0)</f>
        <v>3.6890546099999999</v>
      </c>
      <c r="AC35">
        <f>IF(AND(COUNTIF(Control!$E$20:$E$100,$B35)=0,COUNTIF(Control!$E$20:$E$100,AC$2)=0),VISUM_Arterial_OD!AC35*Control!$B$3,0)</f>
        <v>0.25604715</v>
      </c>
      <c r="AD35">
        <f>IF(AND(COUNTIF(Control!$E$20:$E$100,$B35)=0,COUNTIF(Control!$E$20:$E$100,AD$2)=0),VISUM_Arterial_OD!AD35*Control!$B$3,0)</f>
        <v>0</v>
      </c>
      <c r="AE35">
        <f>IF(AND(COUNTIF(Control!$E$20:$E$100,$B35)=0,COUNTIF(Control!$E$20:$E$100,AE$2)=0),VISUM_Arterial_OD!AE35*Control!$B$3,0)</f>
        <v>0</v>
      </c>
      <c r="AF35">
        <f>IF(AND(COUNTIF(Control!$E$20:$E$100,$B35)=0,COUNTIF(Control!$E$20:$E$100,AF$2)=0),VISUM_Arterial_OD!AF35*Control!$B$3,0)</f>
        <v>0</v>
      </c>
      <c r="AG35">
        <f>IF(AND(COUNTIF(Control!$E$20:$E$100,$B35)=0,COUNTIF(Control!$E$20:$E$100,AG$2)=0),VISUM_Arterial_OD!AG35*Control!$B$3,0)</f>
        <v>0</v>
      </c>
      <c r="AH35">
        <f>IF(AND(COUNTIF(Control!$E$20:$E$100,$B35)=0,COUNTIF(Control!$E$20:$E$100,AH$2)=0),VISUM_Arterial_OD!AH35*Control!$B$3,0)</f>
        <v>0</v>
      </c>
      <c r="AI35">
        <f>IF(AND(COUNTIF(Control!$E$20:$E$100,$B35)=0,COUNTIF(Control!$E$20:$E$100,AI$2)=0),VISUM_Arterial_OD!AI35*Control!$B$3,0)</f>
        <v>0</v>
      </c>
      <c r="AJ35">
        <f>IF(AND(COUNTIF(Control!$E$20:$E$100,$B35)=0,COUNTIF(Control!$E$20:$E$100,AJ$2)=0),VISUM_Arterial_OD!AJ35*Control!$B$3,0)</f>
        <v>0</v>
      </c>
      <c r="AK35">
        <f>IF(AND(COUNTIF(Control!$E$20:$E$100,$B35)=0,COUNTIF(Control!$E$20:$E$100,AK$2)=0),VISUM_Arterial_OD!AK35*Control!$B$3,0)</f>
        <v>0</v>
      </c>
      <c r="AL35">
        <f>IF(AND(COUNTIF(Control!$E$20:$E$100,$B35)=0,COUNTIF(Control!$E$20:$E$100,AL$2)=0),VISUM_Arterial_OD!AL35*Control!$B$3,0)</f>
        <v>0</v>
      </c>
      <c r="AM35">
        <f>IF(AND(COUNTIF(Control!$E$20:$E$100,$B35)=0,COUNTIF(Control!$E$20:$E$100,AM$2)=0),VISUM_Arterial_OD!AM35*Control!$B$3,0)</f>
        <v>0</v>
      </c>
      <c r="AN35">
        <f>IF(AND(COUNTIF(Control!$E$20:$E$100,$B35)=0,COUNTIF(Control!$E$20:$E$100,AN$2)=0),VISUM_Arterial_OD!AN35*Control!$B$3,0)</f>
        <v>0</v>
      </c>
      <c r="AO35">
        <f>IF(AND(COUNTIF(Control!$E$20:$E$100,$B35)=0,COUNTIF(Control!$E$20:$E$100,AO$2)=0),VISUM_Arterial_OD!AO35*Control!$B$3,0)</f>
        <v>0</v>
      </c>
      <c r="AP35">
        <f>IF(AND(COUNTIF(Control!$E$20:$E$100,$B35)=0,COUNTIF(Control!$E$20:$E$100,AP$2)=0),VISUM_Arterial_OD!AP35*Control!$B$3,0)</f>
        <v>0</v>
      </c>
      <c r="AQ35">
        <f>IF(AND(COUNTIF(Control!$E$20:$E$100,$B35)=0,COUNTIF(Control!$E$20:$E$100,AQ$2)=0),VISUM_Arterial_OD!AQ35*Control!$B$3,0)</f>
        <v>0</v>
      </c>
      <c r="AR35">
        <f>IF(AND(COUNTIF(Control!$E$20:$E$100,$B35)=0,COUNTIF(Control!$E$20:$E$100,AR$2)=0),VISUM_Arterial_OD!AR35*Control!$B$3,0)</f>
        <v>0</v>
      </c>
      <c r="AS35">
        <f>IF(AND(COUNTIF(Control!$E$20:$E$100,$B35)=0,COUNTIF(Control!$E$20:$E$100,AS$2)=0),VISUM_Arterial_OD!AS35*Control!$B$3,0)</f>
        <v>0</v>
      </c>
      <c r="AT35">
        <f>IF(AND(COUNTIF(Control!$E$20:$E$100,$B35)=0,COUNTIF(Control!$E$20:$E$100,AT$2)=0),VISUM_Arterial_OD!AT35*Control!$B$3,0)</f>
        <v>0</v>
      </c>
      <c r="AU35">
        <f>IF(AND(COUNTIF(Control!$E$20:$E$100,$B35)=0,COUNTIF(Control!$E$20:$E$100,AU$2)=0),VISUM_Arterial_OD!AU35*Control!$B$3,0)</f>
        <v>0</v>
      </c>
      <c r="AV35">
        <f>IF(AND(COUNTIF(Control!$E$20:$E$100,$B35)=0,COUNTIF(Control!$E$20:$E$100,AV$2)=0),VISUM_Arterial_OD!AV35*Control!$B$3,0)</f>
        <v>0</v>
      </c>
      <c r="AW35">
        <f>IF(AND(COUNTIF(Control!$E$20:$E$100,$B35)=0,COUNTIF(Control!$E$20:$E$100,AW$2)=0),VISUM_Arterial_OD!AW35*Control!$B$3,0)</f>
        <v>0</v>
      </c>
      <c r="AX35">
        <f>IF(AND(COUNTIF(Control!$E$20:$E$100,$B35)=0,COUNTIF(Control!$E$20:$E$100,AX$2)=0),VISUM_Arterial_OD!AX35*Control!$B$3,0)</f>
        <v>6.9619319999999998E-2</v>
      </c>
      <c r="AY35">
        <f>IF(AND(COUNTIF(Control!$E$20:$E$100,$B35)=0,COUNTIF(Control!$E$20:$E$100,AY$2)=0),VISUM_Arterial_OD!AY35*Control!$B$3,0)</f>
        <v>0</v>
      </c>
      <c r="AZ35">
        <f>IF(AND(COUNTIF(Control!$E$20:$E$100,$B35)=0,COUNTIF(Control!$E$20:$E$100,AZ$2)=0),VISUM_Arterial_OD!AZ35*Control!$B$3,0)</f>
        <v>0</v>
      </c>
      <c r="BA35">
        <f>IF(AND(COUNTIF(Control!$E$20:$E$100,$B35)=0,COUNTIF(Control!$E$20:$E$100,BA$2)=0),VISUM_Arterial_OD!BA35*Control!$B$3,0)</f>
        <v>0</v>
      </c>
      <c r="BB35">
        <f>IF(AND(COUNTIF(Control!$E$20:$E$100,$B35)=0,COUNTIF(Control!$E$20:$E$100,BB$2)=0),VISUM_Arterial_OD!BB35*Control!$B$3,0)</f>
        <v>0</v>
      </c>
      <c r="BC35">
        <f>IF(AND(COUNTIF(Control!$E$20:$E$100,$B35)=0,COUNTIF(Control!$E$20:$E$100,BC$2)=0),VISUM_Arterial_OD!BC35*Control!$B$3,0)</f>
        <v>0</v>
      </c>
      <c r="BD35">
        <f>IF(AND(COUNTIF(Control!$E$20:$E$100,$B35)=0,COUNTIF(Control!$E$20:$E$100,BD$2)=0),VISUM_Arterial_OD!BD35*Control!$B$3,0)</f>
        <v>0</v>
      </c>
      <c r="BE35">
        <f>IF(AND(COUNTIF(Control!$E$20:$E$100,$B35)=0,COUNTIF(Control!$E$20:$E$100,BE$2)=0),VISUM_Arterial_OD!BE35*Control!$B$3,0)</f>
        <v>0</v>
      </c>
      <c r="BF35">
        <f>IF(AND(COUNTIF(Control!$E$20:$E$100,$B35)=0,COUNTIF(Control!$E$20:$E$100,BF$2)=0),VISUM_Arterial_OD!BF35*Control!$B$3,0)</f>
        <v>0</v>
      </c>
      <c r="BG35">
        <f>IF(AND(COUNTIF(Control!$E$20:$E$100,$B35)=0,COUNTIF(Control!$E$20:$E$100,BG$2)=0),VISUM_Arterial_OD!BG35*Control!$B$3,0)</f>
        <v>0</v>
      </c>
      <c r="BH35">
        <f>IF(AND(COUNTIF(Control!$E$20:$E$100,$B35)=0,COUNTIF(Control!$E$20:$E$100,BH$2)=0),VISUM_Arterial_OD!BH35*Control!$B$3,0)</f>
        <v>0</v>
      </c>
      <c r="BI35">
        <f>IF(AND(COUNTIF(Control!$E$20:$E$100,$B35)=0,COUNTIF(Control!$E$20:$E$100,BI$2)=0),VISUM_Arterial_OD!BI35*Control!$B$3,0)</f>
        <v>0</v>
      </c>
      <c r="BJ35">
        <f>IF(AND(COUNTIF(Control!$E$20:$E$100,$B35)=0,COUNTIF(Control!$E$20:$E$100,BJ$2)=0),VISUM_Arterial_OD!BJ35*Control!$B$3,0)</f>
        <v>0</v>
      </c>
      <c r="BK35">
        <f>IF(AND(COUNTIF(Control!$E$20:$E$100,$B35)=0,COUNTIF(Control!$E$20:$E$100,BK$2)=0),VISUM_Arterial_OD!BK35*Control!$B$3,0)</f>
        <v>0</v>
      </c>
      <c r="BL35">
        <f>IF(AND(COUNTIF(Control!$E$20:$E$100,$B35)=0,COUNTIF(Control!$E$20:$E$100,BL$2)=0),VISUM_Arterial_OD!BL35*Control!$B$3,0)</f>
        <v>0</v>
      </c>
      <c r="BM35">
        <f>IF(AND(COUNTIF(Control!$E$20:$E$100,$B35)=0,COUNTIF(Control!$E$20:$E$100,BM$2)=0),VISUM_Arterial_OD!BM35*Control!$B$3,0)</f>
        <v>0</v>
      </c>
      <c r="BN35">
        <f>IF(AND(COUNTIF(Control!$E$20:$E$100,$B35)=0,COUNTIF(Control!$E$20:$E$100,BN$2)=0),VISUM_Arterial_OD!BN35*Control!$B$3,0)</f>
        <v>0</v>
      </c>
      <c r="BO35">
        <f>IF(AND(COUNTIF(Control!$E$20:$E$100,$B35)=0,COUNTIF(Control!$E$20:$E$100,BO$2)=0),VISUM_Arterial_OD!BO35*Control!$B$3,0)</f>
        <v>5.5370850300000001</v>
      </c>
      <c r="BP35">
        <f>IF(AND(COUNTIF(Control!$E$20:$E$100,$B35)=0,COUNTIF(Control!$E$20:$E$100,BP$2)=0),VISUM_Arterial_OD!BP35*Control!$B$3,0)</f>
        <v>4.39112832</v>
      </c>
      <c r="BQ35">
        <f>IF(AND(COUNTIF(Control!$E$20:$E$100,$B35)=0,COUNTIF(Control!$E$20:$E$100,BQ$2)=0),VISUM_Arterial_OD!BQ35*Control!$B$3,0)</f>
        <v>0</v>
      </c>
    </row>
    <row r="36" spans="1:69" x14ac:dyDescent="0.25">
      <c r="A36" s="5" t="str">
        <f>IF(VLOOKUP(B36,Arterial_Zone_Link_Mapping!$A:$C,2,FALSE)&lt;&gt;"",VLOOKUP(B36,Arterial_Zone_Link_Mapping!$A:$C,2,FALSE),"")</f>
        <v/>
      </c>
      <c r="B36" s="5">
        <v>58</v>
      </c>
      <c r="C36">
        <f>IF(AND(COUNTIF(Control!$E$20:$E$100,$B36)=0,COUNTIF(Control!$E$20:$E$100,C$2)=0),VISUM_Arterial_OD!C36*Control!$B$3,0)</f>
        <v>0</v>
      </c>
      <c r="D36">
        <f>IF(AND(COUNTIF(Control!$E$20:$E$100,$B36)=0,COUNTIF(Control!$E$20:$E$100,D$2)=0),VISUM_Arterial_OD!D36*Control!$B$3,0)</f>
        <v>0</v>
      </c>
      <c r="E36">
        <f>IF(AND(COUNTIF(Control!$E$20:$E$100,$B36)=0,COUNTIF(Control!$E$20:$E$100,E$2)=0),VISUM_Arterial_OD!E36*Control!$B$3,0)</f>
        <v>0</v>
      </c>
      <c r="F36">
        <f>IF(AND(COUNTIF(Control!$E$20:$E$100,$B36)=0,COUNTIF(Control!$E$20:$E$100,F$2)=0),VISUM_Arterial_OD!F36*Control!$B$3,0)</f>
        <v>0</v>
      </c>
      <c r="G36">
        <f>IF(AND(COUNTIF(Control!$E$20:$E$100,$B36)=0,COUNTIF(Control!$E$20:$E$100,G$2)=0),VISUM_Arterial_OD!G36*Control!$B$3,0)</f>
        <v>0</v>
      </c>
      <c r="H36">
        <f>IF(AND(COUNTIF(Control!$E$20:$E$100,$B36)=0,COUNTIF(Control!$E$20:$E$100,H$2)=0),VISUM_Arterial_OD!H36*Control!$B$3,0)</f>
        <v>0</v>
      </c>
      <c r="I36">
        <f>IF(AND(COUNTIF(Control!$E$20:$E$100,$B36)=0,COUNTIF(Control!$E$20:$E$100,I$2)=0),VISUM_Arterial_OD!I36*Control!$B$3,0)</f>
        <v>0</v>
      </c>
      <c r="J36">
        <f>IF(AND(COUNTIF(Control!$E$20:$E$100,$B36)=0,COUNTIF(Control!$E$20:$E$100,J$2)=0),VISUM_Arterial_OD!J36*Control!$B$3,0)</f>
        <v>0</v>
      </c>
      <c r="K36">
        <f>IF(AND(COUNTIF(Control!$E$20:$E$100,$B36)=0,COUNTIF(Control!$E$20:$E$100,K$2)=0),VISUM_Arterial_OD!K36*Control!$B$3,0)</f>
        <v>0</v>
      </c>
      <c r="L36">
        <f>IF(AND(COUNTIF(Control!$E$20:$E$100,$B36)=0,COUNTIF(Control!$E$20:$E$100,L$2)=0),VISUM_Arterial_OD!L36*Control!$B$3,0)</f>
        <v>0</v>
      </c>
      <c r="M36">
        <f>IF(AND(COUNTIF(Control!$E$20:$E$100,$B36)=0,COUNTIF(Control!$E$20:$E$100,M$2)=0),VISUM_Arterial_OD!M36*Control!$B$3,0)</f>
        <v>0</v>
      </c>
      <c r="N36">
        <f>IF(AND(COUNTIF(Control!$E$20:$E$100,$B36)=0,COUNTIF(Control!$E$20:$E$100,N$2)=0),VISUM_Arterial_OD!N36*Control!$B$3,0)</f>
        <v>0</v>
      </c>
      <c r="O36">
        <f>IF(AND(COUNTIF(Control!$E$20:$E$100,$B36)=0,COUNTIF(Control!$E$20:$E$100,O$2)=0),VISUM_Arterial_OD!O36*Control!$B$3,0)</f>
        <v>0</v>
      </c>
      <c r="P36">
        <f>IF(AND(COUNTIF(Control!$E$20:$E$100,$B36)=0,COUNTIF(Control!$E$20:$E$100,P$2)=0),VISUM_Arterial_OD!P36*Control!$B$3,0)</f>
        <v>0</v>
      </c>
      <c r="Q36">
        <f>IF(AND(COUNTIF(Control!$E$20:$E$100,$B36)=0,COUNTIF(Control!$E$20:$E$100,Q$2)=0),VISUM_Arterial_OD!Q36*Control!$B$3,0)</f>
        <v>0</v>
      </c>
      <c r="R36">
        <f>IF(AND(COUNTIF(Control!$E$20:$E$100,$B36)=0,COUNTIF(Control!$E$20:$E$100,R$2)=0),VISUM_Arterial_OD!R36*Control!$B$3,0)</f>
        <v>0</v>
      </c>
      <c r="S36">
        <f>IF(AND(COUNTIF(Control!$E$20:$E$100,$B36)=0,COUNTIF(Control!$E$20:$E$100,S$2)=0),VISUM_Arterial_OD!S36*Control!$B$3,0)</f>
        <v>0</v>
      </c>
      <c r="T36">
        <f>IF(AND(COUNTIF(Control!$E$20:$E$100,$B36)=0,COUNTIF(Control!$E$20:$E$100,T$2)=0),VISUM_Arterial_OD!T36*Control!$B$3,0)</f>
        <v>0</v>
      </c>
      <c r="U36">
        <f>IF(AND(COUNTIF(Control!$E$20:$E$100,$B36)=0,COUNTIF(Control!$E$20:$E$100,U$2)=0),VISUM_Arterial_OD!U36*Control!$B$3,0)</f>
        <v>0</v>
      </c>
      <c r="V36">
        <f>IF(AND(COUNTIF(Control!$E$20:$E$100,$B36)=0,COUNTIF(Control!$E$20:$E$100,V$2)=0),VISUM_Arterial_OD!V36*Control!$B$3,0)</f>
        <v>0</v>
      </c>
      <c r="W36">
        <f>IF(AND(COUNTIF(Control!$E$20:$E$100,$B36)=0,COUNTIF(Control!$E$20:$E$100,W$2)=0),VISUM_Arterial_OD!W36*Control!$B$3,0)</f>
        <v>0</v>
      </c>
      <c r="X36">
        <f>IF(AND(COUNTIF(Control!$E$20:$E$100,$B36)=0,COUNTIF(Control!$E$20:$E$100,X$2)=0),VISUM_Arterial_OD!X36*Control!$B$3,0)</f>
        <v>0</v>
      </c>
      <c r="Y36">
        <f>IF(AND(COUNTIF(Control!$E$20:$E$100,$B36)=0,COUNTIF(Control!$E$20:$E$100,Y$2)=0),VISUM_Arterial_OD!Y36*Control!$B$3,0)</f>
        <v>0</v>
      </c>
      <c r="Z36">
        <f>IF(AND(COUNTIF(Control!$E$20:$E$100,$B36)=0,COUNTIF(Control!$E$20:$E$100,Z$2)=0),VISUM_Arterial_OD!Z36*Control!$B$3,0)</f>
        <v>0</v>
      </c>
      <c r="AA36">
        <f>IF(AND(COUNTIF(Control!$E$20:$E$100,$B36)=0,COUNTIF(Control!$E$20:$E$100,AA$2)=0),VISUM_Arterial_OD!AA36*Control!$B$3,0)</f>
        <v>0</v>
      </c>
      <c r="AB36">
        <f>IF(AND(COUNTIF(Control!$E$20:$E$100,$B36)=0,COUNTIF(Control!$E$20:$E$100,AB$2)=0),VISUM_Arterial_OD!AB36*Control!$B$3,0)</f>
        <v>0</v>
      </c>
      <c r="AC36">
        <f>IF(AND(COUNTIF(Control!$E$20:$E$100,$B36)=0,COUNTIF(Control!$E$20:$E$100,AC$2)=0),VISUM_Arterial_OD!AC36*Control!$B$3,0)</f>
        <v>0</v>
      </c>
      <c r="AD36">
        <f>IF(AND(COUNTIF(Control!$E$20:$E$100,$B36)=0,COUNTIF(Control!$E$20:$E$100,AD$2)=0),VISUM_Arterial_OD!AD36*Control!$B$3,0)</f>
        <v>0</v>
      </c>
      <c r="AE36">
        <f>IF(AND(COUNTIF(Control!$E$20:$E$100,$B36)=0,COUNTIF(Control!$E$20:$E$100,AE$2)=0),VISUM_Arterial_OD!AE36*Control!$B$3,0)</f>
        <v>0</v>
      </c>
      <c r="AF36">
        <f>IF(AND(COUNTIF(Control!$E$20:$E$100,$B36)=0,COUNTIF(Control!$E$20:$E$100,AF$2)=0),VISUM_Arterial_OD!AF36*Control!$B$3,0)</f>
        <v>0</v>
      </c>
      <c r="AG36">
        <f>IF(AND(COUNTIF(Control!$E$20:$E$100,$B36)=0,COUNTIF(Control!$E$20:$E$100,AG$2)=0),VISUM_Arterial_OD!AG36*Control!$B$3,0)</f>
        <v>0</v>
      </c>
      <c r="AH36">
        <f>IF(AND(COUNTIF(Control!$E$20:$E$100,$B36)=0,COUNTIF(Control!$E$20:$E$100,AH$2)=0),VISUM_Arterial_OD!AH36*Control!$B$3,0)</f>
        <v>0</v>
      </c>
      <c r="AI36">
        <f>IF(AND(COUNTIF(Control!$E$20:$E$100,$B36)=0,COUNTIF(Control!$E$20:$E$100,AI$2)=0),VISUM_Arterial_OD!AI36*Control!$B$3,0)</f>
        <v>0</v>
      </c>
      <c r="AJ36">
        <f>IF(AND(COUNTIF(Control!$E$20:$E$100,$B36)=0,COUNTIF(Control!$E$20:$E$100,AJ$2)=0),VISUM_Arterial_OD!AJ36*Control!$B$3,0)</f>
        <v>0</v>
      </c>
      <c r="AK36">
        <f>IF(AND(COUNTIF(Control!$E$20:$E$100,$B36)=0,COUNTIF(Control!$E$20:$E$100,AK$2)=0),VISUM_Arterial_OD!AK36*Control!$B$3,0)</f>
        <v>0</v>
      </c>
      <c r="AL36">
        <f>IF(AND(COUNTIF(Control!$E$20:$E$100,$B36)=0,COUNTIF(Control!$E$20:$E$100,AL$2)=0),VISUM_Arterial_OD!AL36*Control!$B$3,0)</f>
        <v>0</v>
      </c>
      <c r="AM36">
        <f>IF(AND(COUNTIF(Control!$E$20:$E$100,$B36)=0,COUNTIF(Control!$E$20:$E$100,AM$2)=0),VISUM_Arterial_OD!AM36*Control!$B$3,0)</f>
        <v>0</v>
      </c>
      <c r="AN36">
        <f>IF(AND(COUNTIF(Control!$E$20:$E$100,$B36)=0,COUNTIF(Control!$E$20:$E$100,AN$2)=0),VISUM_Arterial_OD!AN36*Control!$B$3,0)</f>
        <v>0</v>
      </c>
      <c r="AO36">
        <f>IF(AND(COUNTIF(Control!$E$20:$E$100,$B36)=0,COUNTIF(Control!$E$20:$E$100,AO$2)=0),VISUM_Arterial_OD!AO36*Control!$B$3,0)</f>
        <v>0</v>
      </c>
      <c r="AP36">
        <f>IF(AND(COUNTIF(Control!$E$20:$E$100,$B36)=0,COUNTIF(Control!$E$20:$E$100,AP$2)=0),VISUM_Arterial_OD!AP36*Control!$B$3,0)</f>
        <v>0</v>
      </c>
      <c r="AQ36">
        <f>IF(AND(COUNTIF(Control!$E$20:$E$100,$B36)=0,COUNTIF(Control!$E$20:$E$100,AQ$2)=0),VISUM_Arterial_OD!AQ36*Control!$B$3,0)</f>
        <v>0</v>
      </c>
      <c r="AR36">
        <f>IF(AND(COUNTIF(Control!$E$20:$E$100,$B36)=0,COUNTIF(Control!$E$20:$E$100,AR$2)=0),VISUM_Arterial_OD!AR36*Control!$B$3,0)</f>
        <v>0</v>
      </c>
      <c r="AS36">
        <f>IF(AND(COUNTIF(Control!$E$20:$E$100,$B36)=0,COUNTIF(Control!$E$20:$E$100,AS$2)=0),VISUM_Arterial_OD!AS36*Control!$B$3,0)</f>
        <v>0</v>
      </c>
      <c r="AT36">
        <f>IF(AND(COUNTIF(Control!$E$20:$E$100,$B36)=0,COUNTIF(Control!$E$20:$E$100,AT$2)=0),VISUM_Arterial_OD!AT36*Control!$B$3,0)</f>
        <v>0</v>
      </c>
      <c r="AU36">
        <f>IF(AND(COUNTIF(Control!$E$20:$E$100,$B36)=0,COUNTIF(Control!$E$20:$E$100,AU$2)=0),VISUM_Arterial_OD!AU36*Control!$B$3,0)</f>
        <v>0</v>
      </c>
      <c r="AV36">
        <f>IF(AND(COUNTIF(Control!$E$20:$E$100,$B36)=0,COUNTIF(Control!$E$20:$E$100,AV$2)=0),VISUM_Arterial_OD!AV36*Control!$B$3,0)</f>
        <v>0</v>
      </c>
      <c r="AW36">
        <f>IF(AND(COUNTIF(Control!$E$20:$E$100,$B36)=0,COUNTIF(Control!$E$20:$E$100,AW$2)=0),VISUM_Arterial_OD!AW36*Control!$B$3,0)</f>
        <v>0</v>
      </c>
      <c r="AX36">
        <f>IF(AND(COUNTIF(Control!$E$20:$E$100,$B36)=0,COUNTIF(Control!$E$20:$E$100,AX$2)=0),VISUM_Arterial_OD!AX36*Control!$B$3,0)</f>
        <v>0</v>
      </c>
      <c r="AY36">
        <f>IF(AND(COUNTIF(Control!$E$20:$E$100,$B36)=0,COUNTIF(Control!$E$20:$E$100,AY$2)=0),VISUM_Arterial_OD!AY36*Control!$B$3,0)</f>
        <v>0</v>
      </c>
      <c r="AZ36">
        <f>IF(AND(COUNTIF(Control!$E$20:$E$100,$B36)=0,COUNTIF(Control!$E$20:$E$100,AZ$2)=0),VISUM_Arterial_OD!AZ36*Control!$B$3,0)</f>
        <v>0</v>
      </c>
      <c r="BA36">
        <f>IF(AND(COUNTIF(Control!$E$20:$E$100,$B36)=0,COUNTIF(Control!$E$20:$E$100,BA$2)=0),VISUM_Arterial_OD!BA36*Control!$B$3,0)</f>
        <v>0</v>
      </c>
      <c r="BB36">
        <f>IF(AND(COUNTIF(Control!$E$20:$E$100,$B36)=0,COUNTIF(Control!$E$20:$E$100,BB$2)=0),VISUM_Arterial_OD!BB36*Control!$B$3,0)</f>
        <v>0</v>
      </c>
      <c r="BC36">
        <f>IF(AND(COUNTIF(Control!$E$20:$E$100,$B36)=0,COUNTIF(Control!$E$20:$E$100,BC$2)=0),VISUM_Arterial_OD!BC36*Control!$B$3,0)</f>
        <v>0</v>
      </c>
      <c r="BD36">
        <f>IF(AND(COUNTIF(Control!$E$20:$E$100,$B36)=0,COUNTIF(Control!$E$20:$E$100,BD$2)=0),VISUM_Arterial_OD!BD36*Control!$B$3,0)</f>
        <v>0</v>
      </c>
      <c r="BE36">
        <f>IF(AND(COUNTIF(Control!$E$20:$E$100,$B36)=0,COUNTIF(Control!$E$20:$E$100,BE$2)=0),VISUM_Arterial_OD!BE36*Control!$B$3,0)</f>
        <v>0</v>
      </c>
      <c r="BF36">
        <f>IF(AND(COUNTIF(Control!$E$20:$E$100,$B36)=0,COUNTIF(Control!$E$20:$E$100,BF$2)=0),VISUM_Arterial_OD!BF36*Control!$B$3,0)</f>
        <v>0</v>
      </c>
      <c r="BG36">
        <f>IF(AND(COUNTIF(Control!$E$20:$E$100,$B36)=0,COUNTIF(Control!$E$20:$E$100,BG$2)=0),VISUM_Arterial_OD!BG36*Control!$B$3,0)</f>
        <v>0</v>
      </c>
      <c r="BH36">
        <f>IF(AND(COUNTIF(Control!$E$20:$E$100,$B36)=0,COUNTIF(Control!$E$20:$E$100,BH$2)=0),VISUM_Arterial_OD!BH36*Control!$B$3,0)</f>
        <v>0</v>
      </c>
      <c r="BI36">
        <f>IF(AND(COUNTIF(Control!$E$20:$E$100,$B36)=0,COUNTIF(Control!$E$20:$E$100,BI$2)=0),VISUM_Arterial_OD!BI36*Control!$B$3,0)</f>
        <v>0</v>
      </c>
      <c r="BJ36">
        <f>IF(AND(COUNTIF(Control!$E$20:$E$100,$B36)=0,COUNTIF(Control!$E$20:$E$100,BJ$2)=0),VISUM_Arterial_OD!BJ36*Control!$B$3,0)</f>
        <v>0</v>
      </c>
      <c r="BK36">
        <f>IF(AND(COUNTIF(Control!$E$20:$E$100,$B36)=0,COUNTIF(Control!$E$20:$E$100,BK$2)=0),VISUM_Arterial_OD!BK36*Control!$B$3,0)</f>
        <v>0</v>
      </c>
      <c r="BL36">
        <f>IF(AND(COUNTIF(Control!$E$20:$E$100,$B36)=0,COUNTIF(Control!$E$20:$E$100,BL$2)=0),VISUM_Arterial_OD!BL36*Control!$B$3,0)</f>
        <v>0</v>
      </c>
      <c r="BM36">
        <f>IF(AND(COUNTIF(Control!$E$20:$E$100,$B36)=0,COUNTIF(Control!$E$20:$E$100,BM$2)=0),VISUM_Arterial_OD!BM36*Control!$B$3,0)</f>
        <v>0</v>
      </c>
      <c r="BN36">
        <f>IF(AND(COUNTIF(Control!$E$20:$E$100,$B36)=0,COUNTIF(Control!$E$20:$E$100,BN$2)=0),VISUM_Arterial_OD!BN36*Control!$B$3,0)</f>
        <v>0</v>
      </c>
      <c r="BO36">
        <f>IF(AND(COUNTIF(Control!$E$20:$E$100,$B36)=0,COUNTIF(Control!$E$20:$E$100,BO$2)=0),VISUM_Arterial_OD!BO36*Control!$B$3,0)</f>
        <v>0</v>
      </c>
      <c r="BP36">
        <f>IF(AND(COUNTIF(Control!$E$20:$E$100,$B36)=0,COUNTIF(Control!$E$20:$E$100,BP$2)=0),VISUM_Arterial_OD!BP36*Control!$B$3,0)</f>
        <v>0</v>
      </c>
      <c r="BQ36">
        <f>IF(AND(COUNTIF(Control!$E$20:$E$100,$B36)=0,COUNTIF(Control!$E$20:$E$100,BQ$2)=0),VISUM_Arterial_OD!BQ36*Control!$B$3,0)</f>
        <v>0</v>
      </c>
    </row>
    <row r="37" spans="1:69" x14ac:dyDescent="0.25">
      <c r="A37" s="5">
        <f>IF(VLOOKUP(B37,Arterial_Zone_Link_Mapping!$A:$C,2,FALSE)&lt;&gt;"",VLOOKUP(B37,Arterial_Zone_Link_Mapping!$A:$C,2,FALSE),"")</f>
        <v>10619</v>
      </c>
      <c r="B37" s="5">
        <v>59</v>
      </c>
      <c r="C37">
        <f>IF(AND(COUNTIF(Control!$E$20:$E$100,$B37)=0,COUNTIF(Control!$E$20:$E$100,C$2)=0),VISUM_Arterial_OD!C37*Control!$B$3,0)</f>
        <v>5.1620079600000004</v>
      </c>
      <c r="D37">
        <f>IF(AND(COUNTIF(Control!$E$20:$E$100,$B37)=0,COUNTIF(Control!$E$20:$E$100,D$2)=0),VISUM_Arterial_OD!D37*Control!$B$3,0)</f>
        <v>0</v>
      </c>
      <c r="E37">
        <f>IF(AND(COUNTIF(Control!$E$20:$E$100,$B37)=0,COUNTIF(Control!$E$20:$E$100,E$2)=0),VISUM_Arterial_OD!E37*Control!$B$3,0)</f>
        <v>0</v>
      </c>
      <c r="F37">
        <f>IF(AND(COUNTIF(Control!$E$20:$E$100,$B37)=0,COUNTIF(Control!$E$20:$E$100,F$2)=0),VISUM_Arterial_OD!F37*Control!$B$3,0)</f>
        <v>0</v>
      </c>
      <c r="G37">
        <f>IF(AND(COUNTIF(Control!$E$20:$E$100,$B37)=0,COUNTIF(Control!$E$20:$E$100,G$2)=0),VISUM_Arterial_OD!G37*Control!$B$3,0)</f>
        <v>0</v>
      </c>
      <c r="H37">
        <f>IF(AND(COUNTIF(Control!$E$20:$E$100,$B37)=0,COUNTIF(Control!$E$20:$E$100,H$2)=0),VISUM_Arterial_OD!H37*Control!$B$3,0)</f>
        <v>0</v>
      </c>
      <c r="I37">
        <f>IF(AND(COUNTIF(Control!$E$20:$E$100,$B37)=0,COUNTIF(Control!$E$20:$E$100,I$2)=0),VISUM_Arterial_OD!I37*Control!$B$3,0)</f>
        <v>0</v>
      </c>
      <c r="J37">
        <f>IF(AND(COUNTIF(Control!$E$20:$E$100,$B37)=0,COUNTIF(Control!$E$20:$E$100,J$2)=0),VISUM_Arterial_OD!J37*Control!$B$3,0)</f>
        <v>0</v>
      </c>
      <c r="K37">
        <f>IF(AND(COUNTIF(Control!$E$20:$E$100,$B37)=0,COUNTIF(Control!$E$20:$E$100,K$2)=0),VISUM_Arterial_OD!K37*Control!$B$3,0)</f>
        <v>1.2016602299999999</v>
      </c>
      <c r="L37">
        <f>IF(AND(COUNTIF(Control!$E$20:$E$100,$B37)=0,COUNTIF(Control!$E$20:$E$100,L$2)=0),VISUM_Arterial_OD!L37*Control!$B$3,0)</f>
        <v>3.1859100899999997</v>
      </c>
      <c r="M37">
        <f>IF(AND(COUNTIF(Control!$E$20:$E$100,$B37)=0,COUNTIF(Control!$E$20:$E$100,M$2)=0),VISUM_Arterial_OD!M37*Control!$B$3,0)</f>
        <v>0</v>
      </c>
      <c r="N37">
        <f>IF(AND(COUNTIF(Control!$E$20:$E$100,$B37)=0,COUNTIF(Control!$E$20:$E$100,N$2)=0),VISUM_Arterial_OD!N37*Control!$B$3,0)</f>
        <v>0</v>
      </c>
      <c r="O37">
        <f>IF(AND(COUNTIF(Control!$E$20:$E$100,$B37)=0,COUNTIF(Control!$E$20:$E$100,O$2)=0),VISUM_Arterial_OD!O37*Control!$B$3,0)</f>
        <v>0</v>
      </c>
      <c r="P37">
        <f>IF(AND(COUNTIF(Control!$E$20:$E$100,$B37)=0,COUNTIF(Control!$E$20:$E$100,P$2)=0),VISUM_Arterial_OD!P37*Control!$B$3,0)</f>
        <v>0.84598388999999996</v>
      </c>
      <c r="Q37">
        <f>IF(AND(COUNTIF(Control!$E$20:$E$100,$B37)=0,COUNTIF(Control!$E$20:$E$100,Q$2)=0),VISUM_Arterial_OD!Q37*Control!$B$3,0)</f>
        <v>0</v>
      </c>
      <c r="R37">
        <f>IF(AND(COUNTIF(Control!$E$20:$E$100,$B37)=0,COUNTIF(Control!$E$20:$E$100,R$2)=0),VISUM_Arterial_OD!R37*Control!$B$3,0)</f>
        <v>0</v>
      </c>
      <c r="S37">
        <f>IF(AND(COUNTIF(Control!$E$20:$E$100,$B37)=0,COUNTIF(Control!$E$20:$E$100,S$2)=0),VISUM_Arterial_OD!S37*Control!$B$3,0)</f>
        <v>2.1675890699999996</v>
      </c>
      <c r="T37">
        <f>IF(AND(COUNTIF(Control!$E$20:$E$100,$B37)=0,COUNTIF(Control!$E$20:$E$100,T$2)=0),VISUM_Arterial_OD!T37*Control!$B$3,0)</f>
        <v>0</v>
      </c>
      <c r="U37">
        <f>IF(AND(COUNTIF(Control!$E$20:$E$100,$B37)=0,COUNTIF(Control!$E$20:$E$100,U$2)=0),VISUM_Arterial_OD!U37*Control!$B$3,0)</f>
        <v>0</v>
      </c>
      <c r="V37">
        <f>IF(AND(COUNTIF(Control!$E$20:$E$100,$B37)=0,COUNTIF(Control!$E$20:$E$100,V$2)=0),VISUM_Arterial_OD!V37*Control!$B$3,0)</f>
        <v>0</v>
      </c>
      <c r="W37">
        <f>IF(AND(COUNTIF(Control!$E$20:$E$100,$B37)=0,COUNTIF(Control!$E$20:$E$100,W$2)=0),VISUM_Arterial_OD!W37*Control!$B$3,0)</f>
        <v>0</v>
      </c>
      <c r="X37">
        <f>IF(AND(COUNTIF(Control!$E$20:$E$100,$B37)=0,COUNTIF(Control!$E$20:$E$100,X$2)=0),VISUM_Arterial_OD!X37*Control!$B$3,0)</f>
        <v>0</v>
      </c>
      <c r="Y37">
        <f>IF(AND(COUNTIF(Control!$E$20:$E$100,$B37)=0,COUNTIF(Control!$E$20:$E$100,Y$2)=0),VISUM_Arterial_OD!Y37*Control!$B$3,0)</f>
        <v>0</v>
      </c>
      <c r="Z37">
        <f>IF(AND(COUNTIF(Control!$E$20:$E$100,$B37)=0,COUNTIF(Control!$E$20:$E$100,Z$2)=0),VISUM_Arterial_OD!Z37*Control!$B$3,0)</f>
        <v>6.8550086700000001</v>
      </c>
      <c r="AA37">
        <f>IF(AND(COUNTIF(Control!$E$20:$E$100,$B37)=0,COUNTIF(Control!$E$20:$E$100,AA$2)=0),VISUM_Arterial_OD!AA37*Control!$B$3,0)</f>
        <v>0</v>
      </c>
      <c r="AB37">
        <f>IF(AND(COUNTIF(Control!$E$20:$E$100,$B37)=0,COUNTIF(Control!$E$20:$E$100,AB$2)=0),VISUM_Arterial_OD!AB37*Control!$B$3,0)</f>
        <v>2.6477935800000001</v>
      </c>
      <c r="AC37">
        <f>IF(AND(COUNTIF(Control!$E$20:$E$100,$B37)=0,COUNTIF(Control!$E$20:$E$100,AC$2)=0),VISUM_Arterial_OD!AC37*Control!$B$3,0)</f>
        <v>0.26697233999999997</v>
      </c>
      <c r="AD37">
        <f>IF(AND(COUNTIF(Control!$E$20:$E$100,$B37)=0,COUNTIF(Control!$E$20:$E$100,AD$2)=0),VISUM_Arterial_OD!AD37*Control!$B$3,0)</f>
        <v>0</v>
      </c>
      <c r="AE37">
        <f>IF(AND(COUNTIF(Control!$E$20:$E$100,$B37)=0,COUNTIF(Control!$E$20:$E$100,AE$2)=0),VISUM_Arterial_OD!AE37*Control!$B$3,0)</f>
        <v>0</v>
      </c>
      <c r="AF37">
        <f>IF(AND(COUNTIF(Control!$E$20:$E$100,$B37)=0,COUNTIF(Control!$E$20:$E$100,AF$2)=0),VISUM_Arterial_OD!AF37*Control!$B$3,0)</f>
        <v>0</v>
      </c>
      <c r="AG37">
        <f>IF(AND(COUNTIF(Control!$E$20:$E$100,$B37)=0,COUNTIF(Control!$E$20:$E$100,AG$2)=0),VISUM_Arterial_OD!AG37*Control!$B$3,0)</f>
        <v>0</v>
      </c>
      <c r="AH37">
        <f>IF(AND(COUNTIF(Control!$E$20:$E$100,$B37)=0,COUNTIF(Control!$E$20:$E$100,AH$2)=0),VISUM_Arterial_OD!AH37*Control!$B$3,0)</f>
        <v>0</v>
      </c>
      <c r="AI37">
        <f>IF(AND(COUNTIF(Control!$E$20:$E$100,$B37)=0,COUNTIF(Control!$E$20:$E$100,AI$2)=0),VISUM_Arterial_OD!AI37*Control!$B$3,0)</f>
        <v>0</v>
      </c>
      <c r="AJ37">
        <f>IF(AND(COUNTIF(Control!$E$20:$E$100,$B37)=0,COUNTIF(Control!$E$20:$E$100,AJ$2)=0),VISUM_Arterial_OD!AJ37*Control!$B$3,0)</f>
        <v>0</v>
      </c>
      <c r="AK37">
        <f>IF(AND(COUNTIF(Control!$E$20:$E$100,$B37)=0,COUNTIF(Control!$E$20:$E$100,AK$2)=0),VISUM_Arterial_OD!AK37*Control!$B$3,0)</f>
        <v>0</v>
      </c>
      <c r="AL37">
        <f>IF(AND(COUNTIF(Control!$E$20:$E$100,$B37)=0,COUNTIF(Control!$E$20:$E$100,AL$2)=0),VISUM_Arterial_OD!AL37*Control!$B$3,0)</f>
        <v>0</v>
      </c>
      <c r="AM37">
        <f>IF(AND(COUNTIF(Control!$E$20:$E$100,$B37)=0,COUNTIF(Control!$E$20:$E$100,AM$2)=0),VISUM_Arterial_OD!AM37*Control!$B$3,0)</f>
        <v>0</v>
      </c>
      <c r="AN37">
        <f>IF(AND(COUNTIF(Control!$E$20:$E$100,$B37)=0,COUNTIF(Control!$E$20:$E$100,AN$2)=0),VISUM_Arterial_OD!AN37*Control!$B$3,0)</f>
        <v>0</v>
      </c>
      <c r="AO37">
        <f>IF(AND(COUNTIF(Control!$E$20:$E$100,$B37)=0,COUNTIF(Control!$E$20:$E$100,AO$2)=0),VISUM_Arterial_OD!AO37*Control!$B$3,0)</f>
        <v>0</v>
      </c>
      <c r="AP37">
        <f>IF(AND(COUNTIF(Control!$E$20:$E$100,$B37)=0,COUNTIF(Control!$E$20:$E$100,AP$2)=0),VISUM_Arterial_OD!AP37*Control!$B$3,0)</f>
        <v>0</v>
      </c>
      <c r="AQ37">
        <f>IF(AND(COUNTIF(Control!$E$20:$E$100,$B37)=0,COUNTIF(Control!$E$20:$E$100,AQ$2)=0),VISUM_Arterial_OD!AQ37*Control!$B$3,0)</f>
        <v>0</v>
      </c>
      <c r="AR37">
        <f>IF(AND(COUNTIF(Control!$E$20:$E$100,$B37)=0,COUNTIF(Control!$E$20:$E$100,AR$2)=0),VISUM_Arterial_OD!AR37*Control!$B$3,0)</f>
        <v>0</v>
      </c>
      <c r="AS37">
        <f>IF(AND(COUNTIF(Control!$E$20:$E$100,$B37)=0,COUNTIF(Control!$E$20:$E$100,AS$2)=0),VISUM_Arterial_OD!AS37*Control!$B$3,0)</f>
        <v>0</v>
      </c>
      <c r="AT37">
        <f>IF(AND(COUNTIF(Control!$E$20:$E$100,$B37)=0,COUNTIF(Control!$E$20:$E$100,AT$2)=0),VISUM_Arterial_OD!AT37*Control!$B$3,0)</f>
        <v>0</v>
      </c>
      <c r="AU37">
        <f>IF(AND(COUNTIF(Control!$E$20:$E$100,$B37)=0,COUNTIF(Control!$E$20:$E$100,AU$2)=0),VISUM_Arterial_OD!AU37*Control!$B$3,0)</f>
        <v>0</v>
      </c>
      <c r="AV37">
        <f>IF(AND(COUNTIF(Control!$E$20:$E$100,$B37)=0,COUNTIF(Control!$E$20:$E$100,AV$2)=0),VISUM_Arterial_OD!AV37*Control!$B$3,0)</f>
        <v>0</v>
      </c>
      <c r="AW37">
        <f>IF(AND(COUNTIF(Control!$E$20:$E$100,$B37)=0,COUNTIF(Control!$E$20:$E$100,AW$2)=0),VISUM_Arterial_OD!AW37*Control!$B$3,0)</f>
        <v>0</v>
      </c>
      <c r="AX37">
        <f>IF(AND(COUNTIF(Control!$E$20:$E$100,$B37)=0,COUNTIF(Control!$E$20:$E$100,AX$2)=0),VISUM_Arterial_OD!AX37*Control!$B$3,0)</f>
        <v>0.53232573000000005</v>
      </c>
      <c r="AY37">
        <f>IF(AND(COUNTIF(Control!$E$20:$E$100,$B37)=0,COUNTIF(Control!$E$20:$E$100,AY$2)=0),VISUM_Arterial_OD!AY37*Control!$B$3,0)</f>
        <v>0</v>
      </c>
      <c r="AZ37">
        <f>IF(AND(COUNTIF(Control!$E$20:$E$100,$B37)=0,COUNTIF(Control!$E$20:$E$100,AZ$2)=0),VISUM_Arterial_OD!AZ37*Control!$B$3,0)</f>
        <v>0</v>
      </c>
      <c r="BA37">
        <f>IF(AND(COUNTIF(Control!$E$20:$E$100,$B37)=0,COUNTIF(Control!$E$20:$E$100,BA$2)=0),VISUM_Arterial_OD!BA37*Control!$B$3,0)</f>
        <v>0</v>
      </c>
      <c r="BB37">
        <f>IF(AND(COUNTIF(Control!$E$20:$E$100,$B37)=0,COUNTIF(Control!$E$20:$E$100,BB$2)=0),VISUM_Arterial_OD!BB37*Control!$B$3,0)</f>
        <v>0</v>
      </c>
      <c r="BC37">
        <f>IF(AND(COUNTIF(Control!$E$20:$E$100,$B37)=0,COUNTIF(Control!$E$20:$E$100,BC$2)=0),VISUM_Arterial_OD!BC37*Control!$B$3,0)</f>
        <v>0</v>
      </c>
      <c r="BD37">
        <f>IF(AND(COUNTIF(Control!$E$20:$E$100,$B37)=0,COUNTIF(Control!$E$20:$E$100,BD$2)=0),VISUM_Arterial_OD!BD37*Control!$B$3,0)</f>
        <v>0</v>
      </c>
      <c r="BE37">
        <f>IF(AND(COUNTIF(Control!$E$20:$E$100,$B37)=0,COUNTIF(Control!$E$20:$E$100,BE$2)=0),VISUM_Arterial_OD!BE37*Control!$B$3,0)</f>
        <v>0</v>
      </c>
      <c r="BF37">
        <f>IF(AND(COUNTIF(Control!$E$20:$E$100,$B37)=0,COUNTIF(Control!$E$20:$E$100,BF$2)=0),VISUM_Arterial_OD!BF37*Control!$B$3,0)</f>
        <v>0</v>
      </c>
      <c r="BG37">
        <f>IF(AND(COUNTIF(Control!$E$20:$E$100,$B37)=0,COUNTIF(Control!$E$20:$E$100,BG$2)=0),VISUM_Arterial_OD!BG37*Control!$B$3,0)</f>
        <v>0</v>
      </c>
      <c r="BH37">
        <f>IF(AND(COUNTIF(Control!$E$20:$E$100,$B37)=0,COUNTIF(Control!$E$20:$E$100,BH$2)=0),VISUM_Arterial_OD!BH37*Control!$B$3,0)</f>
        <v>0</v>
      </c>
      <c r="BI37">
        <f>IF(AND(COUNTIF(Control!$E$20:$E$100,$B37)=0,COUNTIF(Control!$E$20:$E$100,BI$2)=0),VISUM_Arterial_OD!BI37*Control!$B$3,0)</f>
        <v>0</v>
      </c>
      <c r="BJ37">
        <f>IF(AND(COUNTIF(Control!$E$20:$E$100,$B37)=0,COUNTIF(Control!$E$20:$E$100,BJ$2)=0),VISUM_Arterial_OD!BJ37*Control!$B$3,0)</f>
        <v>0</v>
      </c>
      <c r="BK37">
        <f>IF(AND(COUNTIF(Control!$E$20:$E$100,$B37)=0,COUNTIF(Control!$E$20:$E$100,BK$2)=0),VISUM_Arterial_OD!BK37*Control!$B$3,0)</f>
        <v>0</v>
      </c>
      <c r="BL37">
        <f>IF(AND(COUNTIF(Control!$E$20:$E$100,$B37)=0,COUNTIF(Control!$E$20:$E$100,BL$2)=0),VISUM_Arterial_OD!BL37*Control!$B$3,0)</f>
        <v>0</v>
      </c>
      <c r="BM37">
        <f>IF(AND(COUNTIF(Control!$E$20:$E$100,$B37)=0,COUNTIF(Control!$E$20:$E$100,BM$2)=0),VISUM_Arterial_OD!BM37*Control!$B$3,0)</f>
        <v>0</v>
      </c>
      <c r="BN37">
        <f>IF(AND(COUNTIF(Control!$E$20:$E$100,$B37)=0,COUNTIF(Control!$E$20:$E$100,BN$2)=0),VISUM_Arterial_OD!BN37*Control!$B$3,0)</f>
        <v>0</v>
      </c>
      <c r="BO37">
        <f>IF(AND(COUNTIF(Control!$E$20:$E$100,$B37)=0,COUNTIF(Control!$E$20:$E$100,BO$2)=0),VISUM_Arterial_OD!BO37*Control!$B$3,0)</f>
        <v>3.3099192</v>
      </c>
      <c r="BP37">
        <f>IF(AND(COUNTIF(Control!$E$20:$E$100,$B37)=0,COUNTIF(Control!$E$20:$E$100,BP$2)=0),VISUM_Arterial_OD!BP37*Control!$B$3,0)</f>
        <v>2.6248973699999998</v>
      </c>
      <c r="BQ37">
        <f>IF(AND(COUNTIF(Control!$E$20:$E$100,$B37)=0,COUNTIF(Control!$E$20:$E$100,BQ$2)=0),VISUM_Arterial_OD!BQ37*Control!$B$3,0)</f>
        <v>0</v>
      </c>
    </row>
    <row r="38" spans="1:69" x14ac:dyDescent="0.25">
      <c r="A38" s="5" t="str">
        <f>IF(VLOOKUP(B38,Arterial_Zone_Link_Mapping!$A:$C,2,FALSE)&lt;&gt;"",VLOOKUP(B38,Arterial_Zone_Link_Mapping!$A:$C,2,FALSE),"")</f>
        <v/>
      </c>
      <c r="B38" s="5">
        <v>60</v>
      </c>
      <c r="C38">
        <f>IF(AND(COUNTIF(Control!$E$20:$E$100,$B38)=0,COUNTIF(Control!$E$20:$E$100,C$2)=0),VISUM_Arterial_OD!C38*Control!$B$3,0)</f>
        <v>0</v>
      </c>
      <c r="D38">
        <f>IF(AND(COUNTIF(Control!$E$20:$E$100,$B38)=0,COUNTIF(Control!$E$20:$E$100,D$2)=0),VISUM_Arterial_OD!D38*Control!$B$3,0)</f>
        <v>0</v>
      </c>
      <c r="E38">
        <f>IF(AND(COUNTIF(Control!$E$20:$E$100,$B38)=0,COUNTIF(Control!$E$20:$E$100,E$2)=0),VISUM_Arterial_OD!E38*Control!$B$3,0)</f>
        <v>0</v>
      </c>
      <c r="F38">
        <f>IF(AND(COUNTIF(Control!$E$20:$E$100,$B38)=0,COUNTIF(Control!$E$20:$E$100,F$2)=0),VISUM_Arterial_OD!F38*Control!$B$3,0)</f>
        <v>0</v>
      </c>
      <c r="G38">
        <f>IF(AND(COUNTIF(Control!$E$20:$E$100,$B38)=0,COUNTIF(Control!$E$20:$E$100,G$2)=0),VISUM_Arterial_OD!G38*Control!$B$3,0)</f>
        <v>0</v>
      </c>
      <c r="H38">
        <f>IF(AND(COUNTIF(Control!$E$20:$E$100,$B38)=0,COUNTIF(Control!$E$20:$E$100,H$2)=0),VISUM_Arterial_OD!H38*Control!$B$3,0)</f>
        <v>0</v>
      </c>
      <c r="I38">
        <f>IF(AND(COUNTIF(Control!$E$20:$E$100,$B38)=0,COUNTIF(Control!$E$20:$E$100,I$2)=0),VISUM_Arterial_OD!I38*Control!$B$3,0)</f>
        <v>0</v>
      </c>
      <c r="J38">
        <f>IF(AND(COUNTIF(Control!$E$20:$E$100,$B38)=0,COUNTIF(Control!$E$20:$E$100,J$2)=0),VISUM_Arterial_OD!J38*Control!$B$3,0)</f>
        <v>0</v>
      </c>
      <c r="K38">
        <f>IF(AND(COUNTIF(Control!$E$20:$E$100,$B38)=0,COUNTIF(Control!$E$20:$E$100,K$2)=0),VISUM_Arterial_OD!K38*Control!$B$3,0)</f>
        <v>0</v>
      </c>
      <c r="L38">
        <f>IF(AND(COUNTIF(Control!$E$20:$E$100,$B38)=0,COUNTIF(Control!$E$20:$E$100,L$2)=0),VISUM_Arterial_OD!L38*Control!$B$3,0)</f>
        <v>0</v>
      </c>
      <c r="M38">
        <f>IF(AND(COUNTIF(Control!$E$20:$E$100,$B38)=0,COUNTIF(Control!$E$20:$E$100,M$2)=0),VISUM_Arterial_OD!M38*Control!$B$3,0)</f>
        <v>0</v>
      </c>
      <c r="N38">
        <f>IF(AND(COUNTIF(Control!$E$20:$E$100,$B38)=0,COUNTIF(Control!$E$20:$E$100,N$2)=0),VISUM_Arterial_OD!N38*Control!$B$3,0)</f>
        <v>0</v>
      </c>
      <c r="O38">
        <f>IF(AND(COUNTIF(Control!$E$20:$E$100,$B38)=0,COUNTIF(Control!$E$20:$E$100,O$2)=0),VISUM_Arterial_OD!O38*Control!$B$3,0)</f>
        <v>0</v>
      </c>
      <c r="P38">
        <f>IF(AND(COUNTIF(Control!$E$20:$E$100,$B38)=0,COUNTIF(Control!$E$20:$E$100,P$2)=0),VISUM_Arterial_OD!P38*Control!$B$3,0)</f>
        <v>0</v>
      </c>
      <c r="Q38">
        <f>IF(AND(COUNTIF(Control!$E$20:$E$100,$B38)=0,COUNTIF(Control!$E$20:$E$100,Q$2)=0),VISUM_Arterial_OD!Q38*Control!$B$3,0)</f>
        <v>0</v>
      </c>
      <c r="R38">
        <f>IF(AND(COUNTIF(Control!$E$20:$E$100,$B38)=0,COUNTIF(Control!$E$20:$E$100,R$2)=0),VISUM_Arterial_OD!R38*Control!$B$3,0)</f>
        <v>0</v>
      </c>
      <c r="S38">
        <f>IF(AND(COUNTIF(Control!$E$20:$E$100,$B38)=0,COUNTIF(Control!$E$20:$E$100,S$2)=0),VISUM_Arterial_OD!S38*Control!$B$3,0)</f>
        <v>0</v>
      </c>
      <c r="T38">
        <f>IF(AND(COUNTIF(Control!$E$20:$E$100,$B38)=0,COUNTIF(Control!$E$20:$E$100,T$2)=0),VISUM_Arterial_OD!T38*Control!$B$3,0)</f>
        <v>0</v>
      </c>
      <c r="U38">
        <f>IF(AND(COUNTIF(Control!$E$20:$E$100,$B38)=0,COUNTIF(Control!$E$20:$E$100,U$2)=0),VISUM_Arterial_OD!U38*Control!$B$3,0)</f>
        <v>0</v>
      </c>
      <c r="V38">
        <f>IF(AND(COUNTIF(Control!$E$20:$E$100,$B38)=0,COUNTIF(Control!$E$20:$E$100,V$2)=0),VISUM_Arterial_OD!V38*Control!$B$3,0)</f>
        <v>0</v>
      </c>
      <c r="W38">
        <f>IF(AND(COUNTIF(Control!$E$20:$E$100,$B38)=0,COUNTIF(Control!$E$20:$E$100,W$2)=0),VISUM_Arterial_OD!W38*Control!$B$3,0)</f>
        <v>0</v>
      </c>
      <c r="X38">
        <f>IF(AND(COUNTIF(Control!$E$20:$E$100,$B38)=0,COUNTIF(Control!$E$20:$E$100,X$2)=0),VISUM_Arterial_OD!X38*Control!$B$3,0)</f>
        <v>0</v>
      </c>
      <c r="Y38">
        <f>IF(AND(COUNTIF(Control!$E$20:$E$100,$B38)=0,COUNTIF(Control!$E$20:$E$100,Y$2)=0),VISUM_Arterial_OD!Y38*Control!$B$3,0)</f>
        <v>0</v>
      </c>
      <c r="Z38">
        <f>IF(AND(COUNTIF(Control!$E$20:$E$100,$B38)=0,COUNTIF(Control!$E$20:$E$100,Z$2)=0),VISUM_Arterial_OD!Z38*Control!$B$3,0)</f>
        <v>0</v>
      </c>
      <c r="AA38">
        <f>IF(AND(COUNTIF(Control!$E$20:$E$100,$B38)=0,COUNTIF(Control!$E$20:$E$100,AA$2)=0),VISUM_Arterial_OD!AA38*Control!$B$3,0)</f>
        <v>0</v>
      </c>
      <c r="AB38">
        <f>IF(AND(COUNTIF(Control!$E$20:$E$100,$B38)=0,COUNTIF(Control!$E$20:$E$100,AB$2)=0),VISUM_Arterial_OD!AB38*Control!$B$3,0)</f>
        <v>0</v>
      </c>
      <c r="AC38">
        <f>IF(AND(COUNTIF(Control!$E$20:$E$100,$B38)=0,COUNTIF(Control!$E$20:$E$100,AC$2)=0),VISUM_Arterial_OD!AC38*Control!$B$3,0)</f>
        <v>0</v>
      </c>
      <c r="AD38">
        <f>IF(AND(COUNTIF(Control!$E$20:$E$100,$B38)=0,COUNTIF(Control!$E$20:$E$100,AD$2)=0),VISUM_Arterial_OD!AD38*Control!$B$3,0)</f>
        <v>0</v>
      </c>
      <c r="AE38">
        <f>IF(AND(COUNTIF(Control!$E$20:$E$100,$B38)=0,COUNTIF(Control!$E$20:$E$100,AE$2)=0),VISUM_Arterial_OD!AE38*Control!$B$3,0)</f>
        <v>0</v>
      </c>
      <c r="AF38">
        <f>IF(AND(COUNTIF(Control!$E$20:$E$100,$B38)=0,COUNTIF(Control!$E$20:$E$100,AF$2)=0),VISUM_Arterial_OD!AF38*Control!$B$3,0)</f>
        <v>0</v>
      </c>
      <c r="AG38">
        <f>IF(AND(COUNTIF(Control!$E$20:$E$100,$B38)=0,COUNTIF(Control!$E$20:$E$100,AG$2)=0),VISUM_Arterial_OD!AG38*Control!$B$3,0)</f>
        <v>0</v>
      </c>
      <c r="AH38">
        <f>IF(AND(COUNTIF(Control!$E$20:$E$100,$B38)=0,COUNTIF(Control!$E$20:$E$100,AH$2)=0),VISUM_Arterial_OD!AH38*Control!$B$3,0)</f>
        <v>0</v>
      </c>
      <c r="AI38">
        <f>IF(AND(COUNTIF(Control!$E$20:$E$100,$B38)=0,COUNTIF(Control!$E$20:$E$100,AI$2)=0),VISUM_Arterial_OD!AI38*Control!$B$3,0)</f>
        <v>0</v>
      </c>
      <c r="AJ38">
        <f>IF(AND(COUNTIF(Control!$E$20:$E$100,$B38)=0,COUNTIF(Control!$E$20:$E$100,AJ$2)=0),VISUM_Arterial_OD!AJ38*Control!$B$3,0)</f>
        <v>0</v>
      </c>
      <c r="AK38">
        <f>IF(AND(COUNTIF(Control!$E$20:$E$100,$B38)=0,COUNTIF(Control!$E$20:$E$100,AK$2)=0),VISUM_Arterial_OD!AK38*Control!$B$3,0)</f>
        <v>0</v>
      </c>
      <c r="AL38">
        <f>IF(AND(COUNTIF(Control!$E$20:$E$100,$B38)=0,COUNTIF(Control!$E$20:$E$100,AL$2)=0),VISUM_Arterial_OD!AL38*Control!$B$3,0)</f>
        <v>0</v>
      </c>
      <c r="AM38">
        <f>IF(AND(COUNTIF(Control!$E$20:$E$100,$B38)=0,COUNTIF(Control!$E$20:$E$100,AM$2)=0),VISUM_Arterial_OD!AM38*Control!$B$3,0)</f>
        <v>0</v>
      </c>
      <c r="AN38">
        <f>IF(AND(COUNTIF(Control!$E$20:$E$100,$B38)=0,COUNTIF(Control!$E$20:$E$100,AN$2)=0),VISUM_Arterial_OD!AN38*Control!$B$3,0)</f>
        <v>0</v>
      </c>
      <c r="AO38">
        <f>IF(AND(COUNTIF(Control!$E$20:$E$100,$B38)=0,COUNTIF(Control!$E$20:$E$100,AO$2)=0),VISUM_Arterial_OD!AO38*Control!$B$3,0)</f>
        <v>0</v>
      </c>
      <c r="AP38">
        <f>IF(AND(COUNTIF(Control!$E$20:$E$100,$B38)=0,COUNTIF(Control!$E$20:$E$100,AP$2)=0),VISUM_Arterial_OD!AP38*Control!$B$3,0)</f>
        <v>0</v>
      </c>
      <c r="AQ38">
        <f>IF(AND(COUNTIF(Control!$E$20:$E$100,$B38)=0,COUNTIF(Control!$E$20:$E$100,AQ$2)=0),VISUM_Arterial_OD!AQ38*Control!$B$3,0)</f>
        <v>0</v>
      </c>
      <c r="AR38">
        <f>IF(AND(COUNTIF(Control!$E$20:$E$100,$B38)=0,COUNTIF(Control!$E$20:$E$100,AR$2)=0),VISUM_Arterial_OD!AR38*Control!$B$3,0)</f>
        <v>0</v>
      </c>
      <c r="AS38">
        <f>IF(AND(COUNTIF(Control!$E$20:$E$100,$B38)=0,COUNTIF(Control!$E$20:$E$100,AS$2)=0),VISUM_Arterial_OD!AS38*Control!$B$3,0)</f>
        <v>0</v>
      </c>
      <c r="AT38">
        <f>IF(AND(COUNTIF(Control!$E$20:$E$100,$B38)=0,COUNTIF(Control!$E$20:$E$100,AT$2)=0),VISUM_Arterial_OD!AT38*Control!$B$3,0)</f>
        <v>0</v>
      </c>
      <c r="AU38">
        <f>IF(AND(COUNTIF(Control!$E$20:$E$100,$B38)=0,COUNTIF(Control!$E$20:$E$100,AU$2)=0),VISUM_Arterial_OD!AU38*Control!$B$3,0)</f>
        <v>0</v>
      </c>
      <c r="AV38">
        <f>IF(AND(COUNTIF(Control!$E$20:$E$100,$B38)=0,COUNTIF(Control!$E$20:$E$100,AV$2)=0),VISUM_Arterial_OD!AV38*Control!$B$3,0)</f>
        <v>0</v>
      </c>
      <c r="AW38">
        <f>IF(AND(COUNTIF(Control!$E$20:$E$100,$B38)=0,COUNTIF(Control!$E$20:$E$100,AW$2)=0),VISUM_Arterial_OD!AW38*Control!$B$3,0)</f>
        <v>0</v>
      </c>
      <c r="AX38">
        <f>IF(AND(COUNTIF(Control!$E$20:$E$100,$B38)=0,COUNTIF(Control!$E$20:$E$100,AX$2)=0),VISUM_Arterial_OD!AX38*Control!$B$3,0)</f>
        <v>0</v>
      </c>
      <c r="AY38">
        <f>IF(AND(COUNTIF(Control!$E$20:$E$100,$B38)=0,COUNTIF(Control!$E$20:$E$100,AY$2)=0),VISUM_Arterial_OD!AY38*Control!$B$3,0)</f>
        <v>0</v>
      </c>
      <c r="AZ38">
        <f>IF(AND(COUNTIF(Control!$E$20:$E$100,$B38)=0,COUNTIF(Control!$E$20:$E$100,AZ$2)=0),VISUM_Arterial_OD!AZ38*Control!$B$3,0)</f>
        <v>0</v>
      </c>
      <c r="BA38">
        <f>IF(AND(COUNTIF(Control!$E$20:$E$100,$B38)=0,COUNTIF(Control!$E$20:$E$100,BA$2)=0),VISUM_Arterial_OD!BA38*Control!$B$3,0)</f>
        <v>0</v>
      </c>
      <c r="BB38">
        <f>IF(AND(COUNTIF(Control!$E$20:$E$100,$B38)=0,COUNTIF(Control!$E$20:$E$100,BB$2)=0),VISUM_Arterial_OD!BB38*Control!$B$3,0)</f>
        <v>0</v>
      </c>
      <c r="BC38">
        <f>IF(AND(COUNTIF(Control!$E$20:$E$100,$B38)=0,COUNTIF(Control!$E$20:$E$100,BC$2)=0),VISUM_Arterial_OD!BC38*Control!$B$3,0)</f>
        <v>0</v>
      </c>
      <c r="BD38">
        <f>IF(AND(COUNTIF(Control!$E$20:$E$100,$B38)=0,COUNTIF(Control!$E$20:$E$100,BD$2)=0),VISUM_Arterial_OD!BD38*Control!$B$3,0)</f>
        <v>0</v>
      </c>
      <c r="BE38">
        <f>IF(AND(COUNTIF(Control!$E$20:$E$100,$B38)=0,COUNTIF(Control!$E$20:$E$100,BE$2)=0),VISUM_Arterial_OD!BE38*Control!$B$3,0)</f>
        <v>0</v>
      </c>
      <c r="BF38">
        <f>IF(AND(COUNTIF(Control!$E$20:$E$100,$B38)=0,COUNTIF(Control!$E$20:$E$100,BF$2)=0),VISUM_Arterial_OD!BF38*Control!$B$3,0)</f>
        <v>0</v>
      </c>
      <c r="BG38">
        <f>IF(AND(COUNTIF(Control!$E$20:$E$100,$B38)=0,COUNTIF(Control!$E$20:$E$100,BG$2)=0),VISUM_Arterial_OD!BG38*Control!$B$3,0)</f>
        <v>0</v>
      </c>
      <c r="BH38">
        <f>IF(AND(COUNTIF(Control!$E$20:$E$100,$B38)=0,COUNTIF(Control!$E$20:$E$100,BH$2)=0),VISUM_Arterial_OD!BH38*Control!$B$3,0)</f>
        <v>0</v>
      </c>
      <c r="BI38">
        <f>IF(AND(COUNTIF(Control!$E$20:$E$100,$B38)=0,COUNTIF(Control!$E$20:$E$100,BI$2)=0),VISUM_Arterial_OD!BI38*Control!$B$3,0)</f>
        <v>0</v>
      </c>
      <c r="BJ38">
        <f>IF(AND(COUNTIF(Control!$E$20:$E$100,$B38)=0,COUNTIF(Control!$E$20:$E$100,BJ$2)=0),VISUM_Arterial_OD!BJ38*Control!$B$3,0)</f>
        <v>0</v>
      </c>
      <c r="BK38">
        <f>IF(AND(COUNTIF(Control!$E$20:$E$100,$B38)=0,COUNTIF(Control!$E$20:$E$100,BK$2)=0),VISUM_Arterial_OD!BK38*Control!$B$3,0)</f>
        <v>0</v>
      </c>
      <c r="BL38">
        <f>IF(AND(COUNTIF(Control!$E$20:$E$100,$B38)=0,COUNTIF(Control!$E$20:$E$100,BL$2)=0),VISUM_Arterial_OD!BL38*Control!$B$3,0)</f>
        <v>0</v>
      </c>
      <c r="BM38">
        <f>IF(AND(COUNTIF(Control!$E$20:$E$100,$B38)=0,COUNTIF(Control!$E$20:$E$100,BM$2)=0),VISUM_Arterial_OD!BM38*Control!$B$3,0)</f>
        <v>0</v>
      </c>
      <c r="BN38">
        <f>IF(AND(COUNTIF(Control!$E$20:$E$100,$B38)=0,COUNTIF(Control!$E$20:$E$100,BN$2)=0),VISUM_Arterial_OD!BN38*Control!$B$3,0)</f>
        <v>0</v>
      </c>
      <c r="BO38">
        <f>IF(AND(COUNTIF(Control!$E$20:$E$100,$B38)=0,COUNTIF(Control!$E$20:$E$100,BO$2)=0),VISUM_Arterial_OD!BO38*Control!$B$3,0)</f>
        <v>0</v>
      </c>
      <c r="BP38">
        <f>IF(AND(COUNTIF(Control!$E$20:$E$100,$B38)=0,COUNTIF(Control!$E$20:$E$100,BP$2)=0),VISUM_Arterial_OD!BP38*Control!$B$3,0)</f>
        <v>0</v>
      </c>
      <c r="BQ38">
        <f>IF(AND(COUNTIF(Control!$E$20:$E$100,$B38)=0,COUNTIF(Control!$E$20:$E$100,BQ$2)=0),VISUM_Arterial_OD!BQ38*Control!$B$3,0)</f>
        <v>0</v>
      </c>
    </row>
    <row r="39" spans="1:69" x14ac:dyDescent="0.25">
      <c r="A39" s="5">
        <f>IF(VLOOKUP(B39,Arterial_Zone_Link_Mapping!$A:$C,2,FALSE)&lt;&gt;"",VLOOKUP(B39,Arterial_Zone_Link_Mapping!$A:$C,2,FALSE),"")</f>
        <v>10664</v>
      </c>
      <c r="B39" s="5">
        <v>61</v>
      </c>
      <c r="C39">
        <f>IF(AND(COUNTIF(Control!$E$20:$E$100,$B39)=0,COUNTIF(Control!$E$20:$E$100,C$2)=0),VISUM_Arterial_OD!C39*Control!$B$3,0)</f>
        <v>0</v>
      </c>
      <c r="D39">
        <f>IF(AND(COUNTIF(Control!$E$20:$E$100,$B39)=0,COUNTIF(Control!$E$20:$E$100,D$2)=0),VISUM_Arterial_OD!D39*Control!$B$3,0)</f>
        <v>1.3776284699999999</v>
      </c>
      <c r="E39">
        <f>IF(AND(COUNTIF(Control!$E$20:$E$100,$B39)=0,COUNTIF(Control!$E$20:$E$100,E$2)=0),VISUM_Arterial_OD!E39*Control!$B$3,0)</f>
        <v>0</v>
      </c>
      <c r="F39">
        <f>IF(AND(COUNTIF(Control!$E$20:$E$100,$B39)=0,COUNTIF(Control!$E$20:$E$100,F$2)=0),VISUM_Arterial_OD!F39*Control!$B$3,0)</f>
        <v>0</v>
      </c>
      <c r="G39">
        <f>IF(AND(COUNTIF(Control!$E$20:$E$100,$B39)=0,COUNTIF(Control!$E$20:$E$100,G$2)=0),VISUM_Arterial_OD!G39*Control!$B$3,0)</f>
        <v>0</v>
      </c>
      <c r="H39">
        <f>IF(AND(COUNTIF(Control!$E$20:$E$100,$B39)=0,COUNTIF(Control!$E$20:$E$100,H$2)=0),VISUM_Arterial_OD!H39*Control!$B$3,0)</f>
        <v>0</v>
      </c>
      <c r="I39">
        <f>IF(AND(COUNTIF(Control!$E$20:$E$100,$B39)=0,COUNTIF(Control!$E$20:$E$100,I$2)=0),VISUM_Arterial_OD!I39*Control!$B$3,0)</f>
        <v>0</v>
      </c>
      <c r="J39">
        <f>IF(AND(COUNTIF(Control!$E$20:$E$100,$B39)=0,COUNTIF(Control!$E$20:$E$100,J$2)=0),VISUM_Arterial_OD!J39*Control!$B$3,0)</f>
        <v>27.13754217</v>
      </c>
      <c r="K39">
        <f>IF(AND(COUNTIF(Control!$E$20:$E$100,$B39)=0,COUNTIF(Control!$E$20:$E$100,K$2)=0),VISUM_Arterial_OD!K39*Control!$B$3,0)</f>
        <v>0</v>
      </c>
      <c r="L39">
        <f>IF(AND(COUNTIF(Control!$E$20:$E$100,$B39)=0,COUNTIF(Control!$E$20:$E$100,L$2)=0),VISUM_Arterial_OD!L39*Control!$B$3,0)</f>
        <v>0</v>
      </c>
      <c r="M39">
        <f>IF(AND(COUNTIF(Control!$E$20:$E$100,$B39)=0,COUNTIF(Control!$E$20:$E$100,M$2)=0),VISUM_Arterial_OD!M39*Control!$B$3,0)</f>
        <v>0</v>
      </c>
      <c r="N39">
        <f>IF(AND(COUNTIF(Control!$E$20:$E$100,$B39)=0,COUNTIF(Control!$E$20:$E$100,N$2)=0),VISUM_Arterial_OD!N39*Control!$B$3,0)</f>
        <v>0</v>
      </c>
      <c r="O39">
        <f>IF(AND(COUNTIF(Control!$E$20:$E$100,$B39)=0,COUNTIF(Control!$E$20:$E$100,O$2)=0),VISUM_Arterial_OD!O39*Control!$B$3,0)</f>
        <v>19.181751719999998</v>
      </c>
      <c r="P39">
        <f>IF(AND(COUNTIF(Control!$E$20:$E$100,$B39)=0,COUNTIF(Control!$E$20:$E$100,P$2)=0),VISUM_Arterial_OD!P39*Control!$B$3,0)</f>
        <v>0</v>
      </c>
      <c r="Q39">
        <f>IF(AND(COUNTIF(Control!$E$20:$E$100,$B39)=0,COUNTIF(Control!$E$20:$E$100,Q$2)=0),VISUM_Arterial_OD!Q39*Control!$B$3,0)</f>
        <v>0</v>
      </c>
      <c r="R39">
        <f>IF(AND(COUNTIF(Control!$E$20:$E$100,$B39)=0,COUNTIF(Control!$E$20:$E$100,R$2)=0),VISUM_Arterial_OD!R39*Control!$B$3,0)</f>
        <v>0</v>
      </c>
      <c r="S39">
        <f>IF(AND(COUNTIF(Control!$E$20:$E$100,$B39)=0,COUNTIF(Control!$E$20:$E$100,S$2)=0),VISUM_Arterial_OD!S39*Control!$B$3,0)</f>
        <v>0</v>
      </c>
      <c r="T39">
        <f>IF(AND(COUNTIF(Control!$E$20:$E$100,$B39)=0,COUNTIF(Control!$E$20:$E$100,T$2)=0),VISUM_Arterial_OD!T39*Control!$B$3,0)</f>
        <v>0</v>
      </c>
      <c r="U39">
        <f>IF(AND(COUNTIF(Control!$E$20:$E$100,$B39)=0,COUNTIF(Control!$E$20:$E$100,U$2)=0),VISUM_Arterial_OD!U39*Control!$B$3,0)</f>
        <v>0</v>
      </c>
      <c r="V39">
        <f>IF(AND(COUNTIF(Control!$E$20:$E$100,$B39)=0,COUNTIF(Control!$E$20:$E$100,V$2)=0),VISUM_Arterial_OD!V39*Control!$B$3,0)</f>
        <v>0</v>
      </c>
      <c r="W39">
        <f>IF(AND(COUNTIF(Control!$E$20:$E$100,$B39)=0,COUNTIF(Control!$E$20:$E$100,W$2)=0),VISUM_Arterial_OD!W39*Control!$B$3,0)</f>
        <v>0</v>
      </c>
      <c r="X39">
        <f>IF(AND(COUNTIF(Control!$E$20:$E$100,$B39)=0,COUNTIF(Control!$E$20:$E$100,X$2)=0),VISUM_Arterial_OD!X39*Control!$B$3,0)</f>
        <v>0</v>
      </c>
      <c r="Y39">
        <f>IF(AND(COUNTIF(Control!$E$20:$E$100,$B39)=0,COUNTIF(Control!$E$20:$E$100,Y$2)=0),VISUM_Arterial_OD!Y39*Control!$B$3,0)</f>
        <v>0</v>
      </c>
      <c r="Z39">
        <f>IF(AND(COUNTIF(Control!$E$20:$E$100,$B39)=0,COUNTIF(Control!$E$20:$E$100,Z$2)=0),VISUM_Arterial_OD!Z39*Control!$B$3,0)</f>
        <v>0</v>
      </c>
      <c r="AA39">
        <f>IF(AND(COUNTIF(Control!$E$20:$E$100,$B39)=0,COUNTIF(Control!$E$20:$E$100,AA$2)=0),VISUM_Arterial_OD!AA39*Control!$B$3,0)</f>
        <v>0</v>
      </c>
      <c r="AB39">
        <f>IF(AND(COUNTIF(Control!$E$20:$E$100,$B39)=0,COUNTIF(Control!$E$20:$E$100,AB$2)=0),VISUM_Arterial_OD!AB39*Control!$B$3,0)</f>
        <v>0</v>
      </c>
      <c r="AC39">
        <f>IF(AND(COUNTIF(Control!$E$20:$E$100,$B39)=0,COUNTIF(Control!$E$20:$E$100,AC$2)=0),VISUM_Arterial_OD!AC39*Control!$B$3,0)</f>
        <v>0</v>
      </c>
      <c r="AD39">
        <f>IF(AND(COUNTIF(Control!$E$20:$E$100,$B39)=0,COUNTIF(Control!$E$20:$E$100,AD$2)=0),VISUM_Arterial_OD!AD39*Control!$B$3,0)</f>
        <v>0</v>
      </c>
      <c r="AE39">
        <f>IF(AND(COUNTIF(Control!$E$20:$E$100,$B39)=0,COUNTIF(Control!$E$20:$E$100,AE$2)=0),VISUM_Arterial_OD!AE39*Control!$B$3,0)</f>
        <v>0</v>
      </c>
      <c r="AF39">
        <f>IF(AND(COUNTIF(Control!$E$20:$E$100,$B39)=0,COUNTIF(Control!$E$20:$E$100,AF$2)=0),VISUM_Arterial_OD!AF39*Control!$B$3,0)</f>
        <v>0</v>
      </c>
      <c r="AG39">
        <f>IF(AND(COUNTIF(Control!$E$20:$E$100,$B39)=0,COUNTIF(Control!$E$20:$E$100,AG$2)=0),VISUM_Arterial_OD!AG39*Control!$B$3,0)</f>
        <v>0</v>
      </c>
      <c r="AH39">
        <f>IF(AND(COUNTIF(Control!$E$20:$E$100,$B39)=0,COUNTIF(Control!$E$20:$E$100,AH$2)=0),VISUM_Arterial_OD!AH39*Control!$B$3,0)</f>
        <v>0</v>
      </c>
      <c r="AI39">
        <f>IF(AND(COUNTIF(Control!$E$20:$E$100,$B39)=0,COUNTIF(Control!$E$20:$E$100,AI$2)=0),VISUM_Arterial_OD!AI39*Control!$B$3,0)</f>
        <v>0</v>
      </c>
      <c r="AJ39">
        <f>IF(AND(COUNTIF(Control!$E$20:$E$100,$B39)=0,COUNTIF(Control!$E$20:$E$100,AJ$2)=0),VISUM_Arterial_OD!AJ39*Control!$B$3,0)</f>
        <v>0</v>
      </c>
      <c r="AK39">
        <f>IF(AND(COUNTIF(Control!$E$20:$E$100,$B39)=0,COUNTIF(Control!$E$20:$E$100,AK$2)=0),VISUM_Arterial_OD!AK39*Control!$B$3,0)</f>
        <v>0</v>
      </c>
      <c r="AL39">
        <f>IF(AND(COUNTIF(Control!$E$20:$E$100,$B39)=0,COUNTIF(Control!$E$20:$E$100,AL$2)=0),VISUM_Arterial_OD!AL39*Control!$B$3,0)</f>
        <v>0</v>
      </c>
      <c r="AM39">
        <f>IF(AND(COUNTIF(Control!$E$20:$E$100,$B39)=0,COUNTIF(Control!$E$20:$E$100,AM$2)=0),VISUM_Arterial_OD!AM39*Control!$B$3,0)</f>
        <v>0</v>
      </c>
      <c r="AN39">
        <f>IF(AND(COUNTIF(Control!$E$20:$E$100,$B39)=0,COUNTIF(Control!$E$20:$E$100,AN$2)=0),VISUM_Arterial_OD!AN39*Control!$B$3,0)</f>
        <v>0</v>
      </c>
      <c r="AO39">
        <f>IF(AND(COUNTIF(Control!$E$20:$E$100,$B39)=0,COUNTIF(Control!$E$20:$E$100,AO$2)=0),VISUM_Arterial_OD!AO39*Control!$B$3,0)</f>
        <v>0</v>
      </c>
      <c r="AP39">
        <f>IF(AND(COUNTIF(Control!$E$20:$E$100,$B39)=0,COUNTIF(Control!$E$20:$E$100,AP$2)=0),VISUM_Arterial_OD!AP39*Control!$B$3,0)</f>
        <v>0</v>
      </c>
      <c r="AQ39">
        <f>IF(AND(COUNTIF(Control!$E$20:$E$100,$B39)=0,COUNTIF(Control!$E$20:$E$100,AQ$2)=0),VISUM_Arterial_OD!AQ39*Control!$B$3,0)</f>
        <v>0</v>
      </c>
      <c r="AR39">
        <f>IF(AND(COUNTIF(Control!$E$20:$E$100,$B39)=0,COUNTIF(Control!$E$20:$E$100,AR$2)=0),VISUM_Arterial_OD!AR39*Control!$B$3,0)</f>
        <v>0</v>
      </c>
      <c r="AS39">
        <f>IF(AND(COUNTIF(Control!$E$20:$E$100,$B39)=0,COUNTIF(Control!$E$20:$E$100,AS$2)=0),VISUM_Arterial_OD!AS39*Control!$B$3,0)</f>
        <v>0</v>
      </c>
      <c r="AT39">
        <f>IF(AND(COUNTIF(Control!$E$20:$E$100,$B39)=0,COUNTIF(Control!$E$20:$E$100,AT$2)=0),VISUM_Arterial_OD!AT39*Control!$B$3,0)</f>
        <v>0</v>
      </c>
      <c r="AU39">
        <f>IF(AND(COUNTIF(Control!$E$20:$E$100,$B39)=0,COUNTIF(Control!$E$20:$E$100,AU$2)=0),VISUM_Arterial_OD!AU39*Control!$B$3,0)</f>
        <v>0</v>
      </c>
      <c r="AV39">
        <f>IF(AND(COUNTIF(Control!$E$20:$E$100,$B39)=0,COUNTIF(Control!$E$20:$E$100,AV$2)=0),VISUM_Arterial_OD!AV39*Control!$B$3,0)</f>
        <v>0</v>
      </c>
      <c r="AW39">
        <f>IF(AND(COUNTIF(Control!$E$20:$E$100,$B39)=0,COUNTIF(Control!$E$20:$E$100,AW$2)=0),VISUM_Arterial_OD!AW39*Control!$B$3,0)</f>
        <v>0</v>
      </c>
      <c r="AX39">
        <f>IF(AND(COUNTIF(Control!$E$20:$E$100,$B39)=0,COUNTIF(Control!$E$20:$E$100,AX$2)=0),VISUM_Arterial_OD!AX39*Control!$B$3,0)</f>
        <v>0</v>
      </c>
      <c r="AY39">
        <f>IF(AND(COUNTIF(Control!$E$20:$E$100,$B39)=0,COUNTIF(Control!$E$20:$E$100,AY$2)=0),VISUM_Arterial_OD!AY39*Control!$B$3,0)</f>
        <v>0</v>
      </c>
      <c r="AZ39">
        <f>IF(AND(COUNTIF(Control!$E$20:$E$100,$B39)=0,COUNTIF(Control!$E$20:$E$100,AZ$2)=0),VISUM_Arterial_OD!AZ39*Control!$B$3,0)</f>
        <v>0</v>
      </c>
      <c r="BA39">
        <f>IF(AND(COUNTIF(Control!$E$20:$E$100,$B39)=0,COUNTIF(Control!$E$20:$E$100,BA$2)=0),VISUM_Arterial_OD!BA39*Control!$B$3,0)</f>
        <v>0</v>
      </c>
      <c r="BB39">
        <f>IF(AND(COUNTIF(Control!$E$20:$E$100,$B39)=0,COUNTIF(Control!$E$20:$E$100,BB$2)=0),VISUM_Arterial_OD!BB39*Control!$B$3,0)</f>
        <v>0</v>
      </c>
      <c r="BC39">
        <f>IF(AND(COUNTIF(Control!$E$20:$E$100,$B39)=0,COUNTIF(Control!$E$20:$E$100,BC$2)=0),VISUM_Arterial_OD!BC39*Control!$B$3,0)</f>
        <v>0</v>
      </c>
      <c r="BD39">
        <f>IF(AND(COUNTIF(Control!$E$20:$E$100,$B39)=0,COUNTIF(Control!$E$20:$E$100,BD$2)=0),VISUM_Arterial_OD!BD39*Control!$B$3,0)</f>
        <v>0</v>
      </c>
      <c r="BE39">
        <f>IF(AND(COUNTIF(Control!$E$20:$E$100,$B39)=0,COUNTIF(Control!$E$20:$E$100,BE$2)=0),VISUM_Arterial_OD!BE39*Control!$B$3,0)</f>
        <v>0</v>
      </c>
      <c r="BF39">
        <f>IF(AND(COUNTIF(Control!$E$20:$E$100,$B39)=0,COUNTIF(Control!$E$20:$E$100,BF$2)=0),VISUM_Arterial_OD!BF39*Control!$B$3,0)</f>
        <v>0</v>
      </c>
      <c r="BG39">
        <f>IF(AND(COUNTIF(Control!$E$20:$E$100,$B39)=0,COUNTIF(Control!$E$20:$E$100,BG$2)=0),VISUM_Arterial_OD!BG39*Control!$B$3,0)</f>
        <v>0</v>
      </c>
      <c r="BH39">
        <f>IF(AND(COUNTIF(Control!$E$20:$E$100,$B39)=0,COUNTIF(Control!$E$20:$E$100,BH$2)=0),VISUM_Arterial_OD!BH39*Control!$B$3,0)</f>
        <v>0</v>
      </c>
      <c r="BI39">
        <f>IF(AND(COUNTIF(Control!$E$20:$E$100,$B39)=0,COUNTIF(Control!$E$20:$E$100,BI$2)=0),VISUM_Arterial_OD!BI39*Control!$B$3,0)</f>
        <v>0</v>
      </c>
      <c r="BJ39">
        <f>IF(AND(COUNTIF(Control!$E$20:$E$100,$B39)=0,COUNTIF(Control!$E$20:$E$100,BJ$2)=0),VISUM_Arterial_OD!BJ39*Control!$B$3,0)</f>
        <v>0</v>
      </c>
      <c r="BK39">
        <f>IF(AND(COUNTIF(Control!$E$20:$E$100,$B39)=0,COUNTIF(Control!$E$20:$E$100,BK$2)=0),VISUM_Arterial_OD!BK39*Control!$B$3,0)</f>
        <v>0</v>
      </c>
      <c r="BL39">
        <f>IF(AND(COUNTIF(Control!$E$20:$E$100,$B39)=0,COUNTIF(Control!$E$20:$E$100,BL$2)=0),VISUM_Arterial_OD!BL39*Control!$B$3,0)</f>
        <v>0</v>
      </c>
      <c r="BM39">
        <f>IF(AND(COUNTIF(Control!$E$20:$E$100,$B39)=0,COUNTIF(Control!$E$20:$E$100,BM$2)=0),VISUM_Arterial_OD!BM39*Control!$B$3,0)</f>
        <v>0</v>
      </c>
      <c r="BN39">
        <f>IF(AND(COUNTIF(Control!$E$20:$E$100,$B39)=0,COUNTIF(Control!$E$20:$E$100,BN$2)=0),VISUM_Arterial_OD!BN39*Control!$B$3,0)</f>
        <v>0</v>
      </c>
      <c r="BO39">
        <f>IF(AND(COUNTIF(Control!$E$20:$E$100,$B39)=0,COUNTIF(Control!$E$20:$E$100,BO$2)=0),VISUM_Arterial_OD!BO39*Control!$B$3,0)</f>
        <v>0</v>
      </c>
      <c r="BP39">
        <f>IF(AND(COUNTIF(Control!$E$20:$E$100,$B39)=0,COUNTIF(Control!$E$20:$E$100,BP$2)=0),VISUM_Arterial_OD!BP39*Control!$B$3,0)</f>
        <v>0</v>
      </c>
      <c r="BQ39">
        <f>IF(AND(COUNTIF(Control!$E$20:$E$100,$B39)=0,COUNTIF(Control!$E$20:$E$100,BQ$2)=0),VISUM_Arterial_OD!BQ39*Control!$B$3,0)</f>
        <v>0</v>
      </c>
    </row>
    <row r="40" spans="1:69" x14ac:dyDescent="0.25">
      <c r="A40" s="5" t="str">
        <f>IF(VLOOKUP(B40,Arterial_Zone_Link_Mapping!$A:$C,2,FALSE)&lt;&gt;"",VLOOKUP(B40,Arterial_Zone_Link_Mapping!$A:$C,2,FALSE),"")</f>
        <v/>
      </c>
      <c r="B40" s="5">
        <v>62</v>
      </c>
      <c r="C40">
        <f>IF(AND(COUNTIF(Control!$E$20:$E$100,$B40)=0,COUNTIF(Control!$E$20:$E$100,C$2)=0),VISUM_Arterial_OD!C40*Control!$B$3,0)</f>
        <v>0</v>
      </c>
      <c r="D40">
        <f>IF(AND(COUNTIF(Control!$E$20:$E$100,$B40)=0,COUNTIF(Control!$E$20:$E$100,D$2)=0),VISUM_Arterial_OD!D40*Control!$B$3,0)</f>
        <v>0</v>
      </c>
      <c r="E40">
        <f>IF(AND(COUNTIF(Control!$E$20:$E$100,$B40)=0,COUNTIF(Control!$E$20:$E$100,E$2)=0),VISUM_Arterial_OD!E40*Control!$B$3,0)</f>
        <v>0</v>
      </c>
      <c r="F40">
        <f>IF(AND(COUNTIF(Control!$E$20:$E$100,$B40)=0,COUNTIF(Control!$E$20:$E$100,F$2)=0),VISUM_Arterial_OD!F40*Control!$B$3,0)</f>
        <v>0</v>
      </c>
      <c r="G40">
        <f>IF(AND(COUNTIF(Control!$E$20:$E$100,$B40)=0,COUNTIF(Control!$E$20:$E$100,G$2)=0),VISUM_Arterial_OD!G40*Control!$B$3,0)</f>
        <v>0</v>
      </c>
      <c r="H40">
        <f>IF(AND(COUNTIF(Control!$E$20:$E$100,$B40)=0,COUNTIF(Control!$E$20:$E$100,H$2)=0),VISUM_Arterial_OD!H40*Control!$B$3,0)</f>
        <v>0</v>
      </c>
      <c r="I40">
        <f>IF(AND(COUNTIF(Control!$E$20:$E$100,$B40)=0,COUNTIF(Control!$E$20:$E$100,I$2)=0),VISUM_Arterial_OD!I40*Control!$B$3,0)</f>
        <v>0</v>
      </c>
      <c r="J40">
        <f>IF(AND(COUNTIF(Control!$E$20:$E$100,$B40)=0,COUNTIF(Control!$E$20:$E$100,J$2)=0),VISUM_Arterial_OD!J40*Control!$B$3,0)</f>
        <v>0</v>
      </c>
      <c r="K40">
        <f>IF(AND(COUNTIF(Control!$E$20:$E$100,$B40)=0,COUNTIF(Control!$E$20:$E$100,K$2)=0),VISUM_Arterial_OD!K40*Control!$B$3,0)</f>
        <v>0</v>
      </c>
      <c r="L40">
        <f>IF(AND(COUNTIF(Control!$E$20:$E$100,$B40)=0,COUNTIF(Control!$E$20:$E$100,L$2)=0),VISUM_Arterial_OD!L40*Control!$B$3,0)</f>
        <v>0</v>
      </c>
      <c r="M40">
        <f>IF(AND(COUNTIF(Control!$E$20:$E$100,$B40)=0,COUNTIF(Control!$E$20:$E$100,M$2)=0),VISUM_Arterial_OD!M40*Control!$B$3,0)</f>
        <v>0</v>
      </c>
      <c r="N40">
        <f>IF(AND(COUNTIF(Control!$E$20:$E$100,$B40)=0,COUNTIF(Control!$E$20:$E$100,N$2)=0),VISUM_Arterial_OD!N40*Control!$B$3,0)</f>
        <v>0</v>
      </c>
      <c r="O40">
        <f>IF(AND(COUNTIF(Control!$E$20:$E$100,$B40)=0,COUNTIF(Control!$E$20:$E$100,O$2)=0),VISUM_Arterial_OD!O40*Control!$B$3,0)</f>
        <v>0</v>
      </c>
      <c r="P40">
        <f>IF(AND(COUNTIF(Control!$E$20:$E$100,$B40)=0,COUNTIF(Control!$E$20:$E$100,P$2)=0),VISUM_Arterial_OD!P40*Control!$B$3,0)</f>
        <v>0</v>
      </c>
      <c r="Q40">
        <f>IF(AND(COUNTIF(Control!$E$20:$E$100,$B40)=0,COUNTIF(Control!$E$20:$E$100,Q$2)=0),VISUM_Arterial_OD!Q40*Control!$B$3,0)</f>
        <v>0</v>
      </c>
      <c r="R40">
        <f>IF(AND(COUNTIF(Control!$E$20:$E$100,$B40)=0,COUNTIF(Control!$E$20:$E$100,R$2)=0),VISUM_Arterial_OD!R40*Control!$B$3,0)</f>
        <v>0</v>
      </c>
      <c r="S40">
        <f>IF(AND(COUNTIF(Control!$E$20:$E$100,$B40)=0,COUNTIF(Control!$E$20:$E$100,S$2)=0),VISUM_Arterial_OD!S40*Control!$B$3,0)</f>
        <v>0</v>
      </c>
      <c r="T40">
        <f>IF(AND(COUNTIF(Control!$E$20:$E$100,$B40)=0,COUNTIF(Control!$E$20:$E$100,T$2)=0),VISUM_Arterial_OD!T40*Control!$B$3,0)</f>
        <v>0</v>
      </c>
      <c r="U40">
        <f>IF(AND(COUNTIF(Control!$E$20:$E$100,$B40)=0,COUNTIF(Control!$E$20:$E$100,U$2)=0),VISUM_Arterial_OD!U40*Control!$B$3,0)</f>
        <v>0</v>
      </c>
      <c r="V40">
        <f>IF(AND(COUNTIF(Control!$E$20:$E$100,$B40)=0,COUNTIF(Control!$E$20:$E$100,V$2)=0),VISUM_Arterial_OD!V40*Control!$B$3,0)</f>
        <v>0</v>
      </c>
      <c r="W40">
        <f>IF(AND(COUNTIF(Control!$E$20:$E$100,$B40)=0,COUNTIF(Control!$E$20:$E$100,W$2)=0),VISUM_Arterial_OD!W40*Control!$B$3,0)</f>
        <v>0</v>
      </c>
      <c r="X40">
        <f>IF(AND(COUNTIF(Control!$E$20:$E$100,$B40)=0,COUNTIF(Control!$E$20:$E$100,X$2)=0),VISUM_Arterial_OD!X40*Control!$B$3,0)</f>
        <v>0</v>
      </c>
      <c r="Y40">
        <f>IF(AND(COUNTIF(Control!$E$20:$E$100,$B40)=0,COUNTIF(Control!$E$20:$E$100,Y$2)=0),VISUM_Arterial_OD!Y40*Control!$B$3,0)</f>
        <v>0</v>
      </c>
      <c r="Z40">
        <f>IF(AND(COUNTIF(Control!$E$20:$E$100,$B40)=0,COUNTIF(Control!$E$20:$E$100,Z$2)=0),VISUM_Arterial_OD!Z40*Control!$B$3,0)</f>
        <v>0</v>
      </c>
      <c r="AA40">
        <f>IF(AND(COUNTIF(Control!$E$20:$E$100,$B40)=0,COUNTIF(Control!$E$20:$E$100,AA$2)=0),VISUM_Arterial_OD!AA40*Control!$B$3,0)</f>
        <v>0</v>
      </c>
      <c r="AB40">
        <f>IF(AND(COUNTIF(Control!$E$20:$E$100,$B40)=0,COUNTIF(Control!$E$20:$E$100,AB$2)=0),VISUM_Arterial_OD!AB40*Control!$B$3,0)</f>
        <v>0</v>
      </c>
      <c r="AC40">
        <f>IF(AND(COUNTIF(Control!$E$20:$E$100,$B40)=0,COUNTIF(Control!$E$20:$E$100,AC$2)=0),VISUM_Arterial_OD!AC40*Control!$B$3,0)</f>
        <v>0</v>
      </c>
      <c r="AD40">
        <f>IF(AND(COUNTIF(Control!$E$20:$E$100,$B40)=0,COUNTIF(Control!$E$20:$E$100,AD$2)=0),VISUM_Arterial_OD!AD40*Control!$B$3,0)</f>
        <v>0</v>
      </c>
      <c r="AE40">
        <f>IF(AND(COUNTIF(Control!$E$20:$E$100,$B40)=0,COUNTIF(Control!$E$20:$E$100,AE$2)=0),VISUM_Arterial_OD!AE40*Control!$B$3,0)</f>
        <v>0</v>
      </c>
      <c r="AF40">
        <f>IF(AND(COUNTIF(Control!$E$20:$E$100,$B40)=0,COUNTIF(Control!$E$20:$E$100,AF$2)=0),VISUM_Arterial_OD!AF40*Control!$B$3,0)</f>
        <v>0</v>
      </c>
      <c r="AG40">
        <f>IF(AND(COUNTIF(Control!$E$20:$E$100,$B40)=0,COUNTIF(Control!$E$20:$E$100,AG$2)=0),VISUM_Arterial_OD!AG40*Control!$B$3,0)</f>
        <v>0</v>
      </c>
      <c r="AH40">
        <f>IF(AND(COUNTIF(Control!$E$20:$E$100,$B40)=0,COUNTIF(Control!$E$20:$E$100,AH$2)=0),VISUM_Arterial_OD!AH40*Control!$B$3,0)</f>
        <v>0</v>
      </c>
      <c r="AI40">
        <f>IF(AND(COUNTIF(Control!$E$20:$E$100,$B40)=0,COUNTIF(Control!$E$20:$E$100,AI$2)=0),VISUM_Arterial_OD!AI40*Control!$B$3,0)</f>
        <v>0</v>
      </c>
      <c r="AJ40">
        <f>IF(AND(COUNTIF(Control!$E$20:$E$100,$B40)=0,COUNTIF(Control!$E$20:$E$100,AJ$2)=0),VISUM_Arterial_OD!AJ40*Control!$B$3,0)</f>
        <v>0</v>
      </c>
      <c r="AK40">
        <f>IF(AND(COUNTIF(Control!$E$20:$E$100,$B40)=0,COUNTIF(Control!$E$20:$E$100,AK$2)=0),VISUM_Arterial_OD!AK40*Control!$B$3,0)</f>
        <v>0</v>
      </c>
      <c r="AL40">
        <f>IF(AND(COUNTIF(Control!$E$20:$E$100,$B40)=0,COUNTIF(Control!$E$20:$E$100,AL$2)=0),VISUM_Arterial_OD!AL40*Control!$B$3,0)</f>
        <v>0</v>
      </c>
      <c r="AM40">
        <f>IF(AND(COUNTIF(Control!$E$20:$E$100,$B40)=0,COUNTIF(Control!$E$20:$E$100,AM$2)=0),VISUM_Arterial_OD!AM40*Control!$B$3,0)</f>
        <v>0</v>
      </c>
      <c r="AN40">
        <f>IF(AND(COUNTIF(Control!$E$20:$E$100,$B40)=0,COUNTIF(Control!$E$20:$E$100,AN$2)=0),VISUM_Arterial_OD!AN40*Control!$B$3,0)</f>
        <v>0</v>
      </c>
      <c r="AO40">
        <f>IF(AND(COUNTIF(Control!$E$20:$E$100,$B40)=0,COUNTIF(Control!$E$20:$E$100,AO$2)=0),VISUM_Arterial_OD!AO40*Control!$B$3,0)</f>
        <v>0</v>
      </c>
      <c r="AP40">
        <f>IF(AND(COUNTIF(Control!$E$20:$E$100,$B40)=0,COUNTIF(Control!$E$20:$E$100,AP$2)=0),VISUM_Arterial_OD!AP40*Control!$B$3,0)</f>
        <v>0</v>
      </c>
      <c r="AQ40">
        <f>IF(AND(COUNTIF(Control!$E$20:$E$100,$B40)=0,COUNTIF(Control!$E$20:$E$100,AQ$2)=0),VISUM_Arterial_OD!AQ40*Control!$B$3,0)</f>
        <v>0</v>
      </c>
      <c r="AR40">
        <f>IF(AND(COUNTIF(Control!$E$20:$E$100,$B40)=0,COUNTIF(Control!$E$20:$E$100,AR$2)=0),VISUM_Arterial_OD!AR40*Control!$B$3,0)</f>
        <v>0</v>
      </c>
      <c r="AS40">
        <f>IF(AND(COUNTIF(Control!$E$20:$E$100,$B40)=0,COUNTIF(Control!$E$20:$E$100,AS$2)=0),VISUM_Arterial_OD!AS40*Control!$B$3,0)</f>
        <v>0</v>
      </c>
      <c r="AT40">
        <f>IF(AND(COUNTIF(Control!$E$20:$E$100,$B40)=0,COUNTIF(Control!$E$20:$E$100,AT$2)=0),VISUM_Arterial_OD!AT40*Control!$B$3,0)</f>
        <v>0</v>
      </c>
      <c r="AU40">
        <f>IF(AND(COUNTIF(Control!$E$20:$E$100,$B40)=0,COUNTIF(Control!$E$20:$E$100,AU$2)=0),VISUM_Arterial_OD!AU40*Control!$B$3,0)</f>
        <v>0</v>
      </c>
      <c r="AV40">
        <f>IF(AND(COUNTIF(Control!$E$20:$E$100,$B40)=0,COUNTIF(Control!$E$20:$E$100,AV$2)=0),VISUM_Arterial_OD!AV40*Control!$B$3,0)</f>
        <v>0</v>
      </c>
      <c r="AW40">
        <f>IF(AND(COUNTIF(Control!$E$20:$E$100,$B40)=0,COUNTIF(Control!$E$20:$E$100,AW$2)=0),VISUM_Arterial_OD!AW40*Control!$B$3,0)</f>
        <v>0</v>
      </c>
      <c r="AX40">
        <f>IF(AND(COUNTIF(Control!$E$20:$E$100,$B40)=0,COUNTIF(Control!$E$20:$E$100,AX$2)=0),VISUM_Arterial_OD!AX40*Control!$B$3,0)</f>
        <v>0</v>
      </c>
      <c r="AY40">
        <f>IF(AND(COUNTIF(Control!$E$20:$E$100,$B40)=0,COUNTIF(Control!$E$20:$E$100,AY$2)=0),VISUM_Arterial_OD!AY40*Control!$B$3,0)</f>
        <v>0</v>
      </c>
      <c r="AZ40">
        <f>IF(AND(COUNTIF(Control!$E$20:$E$100,$B40)=0,COUNTIF(Control!$E$20:$E$100,AZ$2)=0),VISUM_Arterial_OD!AZ40*Control!$B$3,0)</f>
        <v>0</v>
      </c>
      <c r="BA40">
        <f>IF(AND(COUNTIF(Control!$E$20:$E$100,$B40)=0,COUNTIF(Control!$E$20:$E$100,BA$2)=0),VISUM_Arterial_OD!BA40*Control!$B$3,0)</f>
        <v>0</v>
      </c>
      <c r="BB40">
        <f>IF(AND(COUNTIF(Control!$E$20:$E$100,$B40)=0,COUNTIF(Control!$E$20:$E$100,BB$2)=0),VISUM_Arterial_OD!BB40*Control!$B$3,0)</f>
        <v>0</v>
      </c>
      <c r="BC40">
        <f>IF(AND(COUNTIF(Control!$E$20:$E$100,$B40)=0,COUNTIF(Control!$E$20:$E$100,BC$2)=0),VISUM_Arterial_OD!BC40*Control!$B$3,0)</f>
        <v>0</v>
      </c>
      <c r="BD40">
        <f>IF(AND(COUNTIF(Control!$E$20:$E$100,$B40)=0,COUNTIF(Control!$E$20:$E$100,BD$2)=0),VISUM_Arterial_OD!BD40*Control!$B$3,0)</f>
        <v>0</v>
      </c>
      <c r="BE40">
        <f>IF(AND(COUNTIF(Control!$E$20:$E$100,$B40)=0,COUNTIF(Control!$E$20:$E$100,BE$2)=0),VISUM_Arterial_OD!BE40*Control!$B$3,0)</f>
        <v>0</v>
      </c>
      <c r="BF40">
        <f>IF(AND(COUNTIF(Control!$E$20:$E$100,$B40)=0,COUNTIF(Control!$E$20:$E$100,BF$2)=0),VISUM_Arterial_OD!BF40*Control!$B$3,0)</f>
        <v>0</v>
      </c>
      <c r="BG40">
        <f>IF(AND(COUNTIF(Control!$E$20:$E$100,$B40)=0,COUNTIF(Control!$E$20:$E$100,BG$2)=0),VISUM_Arterial_OD!BG40*Control!$B$3,0)</f>
        <v>0</v>
      </c>
      <c r="BH40">
        <f>IF(AND(COUNTIF(Control!$E$20:$E$100,$B40)=0,COUNTIF(Control!$E$20:$E$100,BH$2)=0),VISUM_Arterial_OD!BH40*Control!$B$3,0)</f>
        <v>0</v>
      </c>
      <c r="BI40">
        <f>IF(AND(COUNTIF(Control!$E$20:$E$100,$B40)=0,COUNTIF(Control!$E$20:$E$100,BI$2)=0),VISUM_Arterial_OD!BI40*Control!$B$3,0)</f>
        <v>0</v>
      </c>
      <c r="BJ40">
        <f>IF(AND(COUNTIF(Control!$E$20:$E$100,$B40)=0,COUNTIF(Control!$E$20:$E$100,BJ$2)=0),VISUM_Arterial_OD!BJ40*Control!$B$3,0)</f>
        <v>0</v>
      </c>
      <c r="BK40">
        <f>IF(AND(COUNTIF(Control!$E$20:$E$100,$B40)=0,COUNTIF(Control!$E$20:$E$100,BK$2)=0),VISUM_Arterial_OD!BK40*Control!$B$3,0)</f>
        <v>0</v>
      </c>
      <c r="BL40">
        <f>IF(AND(COUNTIF(Control!$E$20:$E$100,$B40)=0,COUNTIF(Control!$E$20:$E$100,BL$2)=0),VISUM_Arterial_OD!BL40*Control!$B$3,0)</f>
        <v>0</v>
      </c>
      <c r="BM40">
        <f>IF(AND(COUNTIF(Control!$E$20:$E$100,$B40)=0,COUNTIF(Control!$E$20:$E$100,BM$2)=0),VISUM_Arterial_OD!BM40*Control!$B$3,0)</f>
        <v>0</v>
      </c>
      <c r="BN40">
        <f>IF(AND(COUNTIF(Control!$E$20:$E$100,$B40)=0,COUNTIF(Control!$E$20:$E$100,BN$2)=0),VISUM_Arterial_OD!BN40*Control!$B$3,0)</f>
        <v>0</v>
      </c>
      <c r="BO40">
        <f>IF(AND(COUNTIF(Control!$E$20:$E$100,$B40)=0,COUNTIF(Control!$E$20:$E$100,BO$2)=0),VISUM_Arterial_OD!BO40*Control!$B$3,0)</f>
        <v>0</v>
      </c>
      <c r="BP40">
        <f>IF(AND(COUNTIF(Control!$E$20:$E$100,$B40)=0,COUNTIF(Control!$E$20:$E$100,BP$2)=0),VISUM_Arterial_OD!BP40*Control!$B$3,0)</f>
        <v>0</v>
      </c>
      <c r="BQ40">
        <f>IF(AND(COUNTIF(Control!$E$20:$E$100,$B40)=0,COUNTIF(Control!$E$20:$E$100,BQ$2)=0),VISUM_Arterial_OD!BQ40*Control!$B$3,0)</f>
        <v>0</v>
      </c>
    </row>
    <row r="41" spans="1:69" x14ac:dyDescent="0.25">
      <c r="A41" s="5" t="str">
        <f>IF(VLOOKUP(B41,Arterial_Zone_Link_Mapping!$A:$C,2,FALSE)&lt;&gt;"",VLOOKUP(B41,Arterial_Zone_Link_Mapping!$A:$C,2,FALSE),"")</f>
        <v/>
      </c>
      <c r="B41" s="5">
        <v>63</v>
      </c>
      <c r="C41">
        <f>IF(AND(COUNTIF(Control!$E$20:$E$100,$B41)=0,COUNTIF(Control!$E$20:$E$100,C$2)=0),VISUM_Arterial_OD!C41*Control!$B$3,0)</f>
        <v>0</v>
      </c>
      <c r="D41">
        <f>IF(AND(COUNTIF(Control!$E$20:$E$100,$B41)=0,COUNTIF(Control!$E$20:$E$100,D$2)=0),VISUM_Arterial_OD!D41*Control!$B$3,0)</f>
        <v>0</v>
      </c>
      <c r="E41">
        <f>IF(AND(COUNTIF(Control!$E$20:$E$100,$B41)=0,COUNTIF(Control!$E$20:$E$100,E$2)=0),VISUM_Arterial_OD!E41*Control!$B$3,0)</f>
        <v>0</v>
      </c>
      <c r="F41">
        <f>IF(AND(COUNTIF(Control!$E$20:$E$100,$B41)=0,COUNTIF(Control!$E$20:$E$100,F$2)=0),VISUM_Arterial_OD!F41*Control!$B$3,0)</f>
        <v>0</v>
      </c>
      <c r="G41">
        <f>IF(AND(COUNTIF(Control!$E$20:$E$100,$B41)=0,COUNTIF(Control!$E$20:$E$100,G$2)=0),VISUM_Arterial_OD!G41*Control!$B$3,0)</f>
        <v>0</v>
      </c>
      <c r="H41">
        <f>IF(AND(COUNTIF(Control!$E$20:$E$100,$B41)=0,COUNTIF(Control!$E$20:$E$100,H$2)=0),VISUM_Arterial_OD!H41*Control!$B$3,0)</f>
        <v>0</v>
      </c>
      <c r="I41">
        <f>IF(AND(COUNTIF(Control!$E$20:$E$100,$B41)=0,COUNTIF(Control!$E$20:$E$100,I$2)=0),VISUM_Arterial_OD!I41*Control!$B$3,0)</f>
        <v>0</v>
      </c>
      <c r="J41">
        <f>IF(AND(COUNTIF(Control!$E$20:$E$100,$B41)=0,COUNTIF(Control!$E$20:$E$100,J$2)=0),VISUM_Arterial_OD!J41*Control!$B$3,0)</f>
        <v>0</v>
      </c>
      <c r="K41">
        <f>IF(AND(COUNTIF(Control!$E$20:$E$100,$B41)=0,COUNTIF(Control!$E$20:$E$100,K$2)=0),VISUM_Arterial_OD!K41*Control!$B$3,0)</f>
        <v>0</v>
      </c>
      <c r="L41">
        <f>IF(AND(COUNTIF(Control!$E$20:$E$100,$B41)=0,COUNTIF(Control!$E$20:$E$100,L$2)=0),VISUM_Arterial_OD!L41*Control!$B$3,0)</f>
        <v>0</v>
      </c>
      <c r="M41">
        <f>IF(AND(COUNTIF(Control!$E$20:$E$100,$B41)=0,COUNTIF(Control!$E$20:$E$100,M$2)=0),VISUM_Arterial_OD!M41*Control!$B$3,0)</f>
        <v>0</v>
      </c>
      <c r="N41">
        <f>IF(AND(COUNTIF(Control!$E$20:$E$100,$B41)=0,COUNTIF(Control!$E$20:$E$100,N$2)=0),VISUM_Arterial_OD!N41*Control!$B$3,0)</f>
        <v>0</v>
      </c>
      <c r="O41">
        <f>IF(AND(COUNTIF(Control!$E$20:$E$100,$B41)=0,COUNTIF(Control!$E$20:$E$100,O$2)=0),VISUM_Arterial_OD!O41*Control!$B$3,0)</f>
        <v>0</v>
      </c>
      <c r="P41">
        <f>IF(AND(COUNTIF(Control!$E$20:$E$100,$B41)=0,COUNTIF(Control!$E$20:$E$100,P$2)=0),VISUM_Arterial_OD!P41*Control!$B$3,0)</f>
        <v>0</v>
      </c>
      <c r="Q41">
        <f>IF(AND(COUNTIF(Control!$E$20:$E$100,$B41)=0,COUNTIF(Control!$E$20:$E$100,Q$2)=0),VISUM_Arterial_OD!Q41*Control!$B$3,0)</f>
        <v>0</v>
      </c>
      <c r="R41">
        <f>IF(AND(COUNTIF(Control!$E$20:$E$100,$B41)=0,COUNTIF(Control!$E$20:$E$100,R$2)=0),VISUM_Arterial_OD!R41*Control!$B$3,0)</f>
        <v>0</v>
      </c>
      <c r="S41">
        <f>IF(AND(COUNTIF(Control!$E$20:$E$100,$B41)=0,COUNTIF(Control!$E$20:$E$100,S$2)=0),VISUM_Arterial_OD!S41*Control!$B$3,0)</f>
        <v>0</v>
      </c>
      <c r="T41">
        <f>IF(AND(COUNTIF(Control!$E$20:$E$100,$B41)=0,COUNTIF(Control!$E$20:$E$100,T$2)=0),VISUM_Arterial_OD!T41*Control!$B$3,0)</f>
        <v>0</v>
      </c>
      <c r="U41">
        <f>IF(AND(COUNTIF(Control!$E$20:$E$100,$B41)=0,COUNTIF(Control!$E$20:$E$100,U$2)=0),VISUM_Arterial_OD!U41*Control!$B$3,0)</f>
        <v>0</v>
      </c>
      <c r="V41">
        <f>IF(AND(COUNTIF(Control!$E$20:$E$100,$B41)=0,COUNTIF(Control!$E$20:$E$100,V$2)=0),VISUM_Arterial_OD!V41*Control!$B$3,0)</f>
        <v>0</v>
      </c>
      <c r="W41">
        <f>IF(AND(COUNTIF(Control!$E$20:$E$100,$B41)=0,COUNTIF(Control!$E$20:$E$100,W$2)=0),VISUM_Arterial_OD!W41*Control!$B$3,0)</f>
        <v>0</v>
      </c>
      <c r="X41">
        <f>IF(AND(COUNTIF(Control!$E$20:$E$100,$B41)=0,COUNTIF(Control!$E$20:$E$100,X$2)=0),VISUM_Arterial_OD!X41*Control!$B$3,0)</f>
        <v>0</v>
      </c>
      <c r="Y41">
        <f>IF(AND(COUNTIF(Control!$E$20:$E$100,$B41)=0,COUNTIF(Control!$E$20:$E$100,Y$2)=0),VISUM_Arterial_OD!Y41*Control!$B$3,0)</f>
        <v>0</v>
      </c>
      <c r="Z41">
        <f>IF(AND(COUNTIF(Control!$E$20:$E$100,$B41)=0,COUNTIF(Control!$E$20:$E$100,Z$2)=0),VISUM_Arterial_OD!Z41*Control!$B$3,0)</f>
        <v>0</v>
      </c>
      <c r="AA41">
        <f>IF(AND(COUNTIF(Control!$E$20:$E$100,$B41)=0,COUNTIF(Control!$E$20:$E$100,AA$2)=0),VISUM_Arterial_OD!AA41*Control!$B$3,0)</f>
        <v>0</v>
      </c>
      <c r="AB41">
        <f>IF(AND(COUNTIF(Control!$E$20:$E$100,$B41)=0,COUNTIF(Control!$E$20:$E$100,AB$2)=0),VISUM_Arterial_OD!AB41*Control!$B$3,0)</f>
        <v>0</v>
      </c>
      <c r="AC41">
        <f>IF(AND(COUNTIF(Control!$E$20:$E$100,$B41)=0,COUNTIF(Control!$E$20:$E$100,AC$2)=0),VISUM_Arterial_OD!AC41*Control!$B$3,0)</f>
        <v>0</v>
      </c>
      <c r="AD41">
        <f>IF(AND(COUNTIF(Control!$E$20:$E$100,$B41)=0,COUNTIF(Control!$E$20:$E$100,AD$2)=0),VISUM_Arterial_OD!AD41*Control!$B$3,0)</f>
        <v>0</v>
      </c>
      <c r="AE41">
        <f>IF(AND(COUNTIF(Control!$E$20:$E$100,$B41)=0,COUNTIF(Control!$E$20:$E$100,AE$2)=0),VISUM_Arterial_OD!AE41*Control!$B$3,0)</f>
        <v>0</v>
      </c>
      <c r="AF41">
        <f>IF(AND(COUNTIF(Control!$E$20:$E$100,$B41)=0,COUNTIF(Control!$E$20:$E$100,AF$2)=0),VISUM_Arterial_OD!AF41*Control!$B$3,0)</f>
        <v>0</v>
      </c>
      <c r="AG41">
        <f>IF(AND(COUNTIF(Control!$E$20:$E$100,$B41)=0,COUNTIF(Control!$E$20:$E$100,AG$2)=0),VISUM_Arterial_OD!AG41*Control!$B$3,0)</f>
        <v>0</v>
      </c>
      <c r="AH41">
        <f>IF(AND(COUNTIF(Control!$E$20:$E$100,$B41)=0,COUNTIF(Control!$E$20:$E$100,AH$2)=0),VISUM_Arterial_OD!AH41*Control!$B$3,0)</f>
        <v>0</v>
      </c>
      <c r="AI41">
        <f>IF(AND(COUNTIF(Control!$E$20:$E$100,$B41)=0,COUNTIF(Control!$E$20:$E$100,AI$2)=0),VISUM_Arterial_OD!AI41*Control!$B$3,0)</f>
        <v>0</v>
      </c>
      <c r="AJ41">
        <f>IF(AND(COUNTIF(Control!$E$20:$E$100,$B41)=0,COUNTIF(Control!$E$20:$E$100,AJ$2)=0),VISUM_Arterial_OD!AJ41*Control!$B$3,0)</f>
        <v>0</v>
      </c>
      <c r="AK41">
        <f>IF(AND(COUNTIF(Control!$E$20:$E$100,$B41)=0,COUNTIF(Control!$E$20:$E$100,AK$2)=0),VISUM_Arterial_OD!AK41*Control!$B$3,0)</f>
        <v>0</v>
      </c>
      <c r="AL41">
        <f>IF(AND(COUNTIF(Control!$E$20:$E$100,$B41)=0,COUNTIF(Control!$E$20:$E$100,AL$2)=0),VISUM_Arterial_OD!AL41*Control!$B$3,0)</f>
        <v>0</v>
      </c>
      <c r="AM41">
        <f>IF(AND(COUNTIF(Control!$E$20:$E$100,$B41)=0,COUNTIF(Control!$E$20:$E$100,AM$2)=0),VISUM_Arterial_OD!AM41*Control!$B$3,0)</f>
        <v>0</v>
      </c>
      <c r="AN41">
        <f>IF(AND(COUNTIF(Control!$E$20:$E$100,$B41)=0,COUNTIF(Control!$E$20:$E$100,AN$2)=0),VISUM_Arterial_OD!AN41*Control!$B$3,0)</f>
        <v>0</v>
      </c>
      <c r="AO41">
        <f>IF(AND(COUNTIF(Control!$E$20:$E$100,$B41)=0,COUNTIF(Control!$E$20:$E$100,AO$2)=0),VISUM_Arterial_OD!AO41*Control!$B$3,0)</f>
        <v>0</v>
      </c>
      <c r="AP41">
        <f>IF(AND(COUNTIF(Control!$E$20:$E$100,$B41)=0,COUNTIF(Control!$E$20:$E$100,AP$2)=0),VISUM_Arterial_OD!AP41*Control!$B$3,0)</f>
        <v>0</v>
      </c>
      <c r="AQ41">
        <f>IF(AND(COUNTIF(Control!$E$20:$E$100,$B41)=0,COUNTIF(Control!$E$20:$E$100,AQ$2)=0),VISUM_Arterial_OD!AQ41*Control!$B$3,0)</f>
        <v>0</v>
      </c>
      <c r="AR41">
        <f>IF(AND(COUNTIF(Control!$E$20:$E$100,$B41)=0,COUNTIF(Control!$E$20:$E$100,AR$2)=0),VISUM_Arterial_OD!AR41*Control!$B$3,0)</f>
        <v>0</v>
      </c>
      <c r="AS41">
        <f>IF(AND(COUNTIF(Control!$E$20:$E$100,$B41)=0,COUNTIF(Control!$E$20:$E$100,AS$2)=0),VISUM_Arterial_OD!AS41*Control!$B$3,0)</f>
        <v>0</v>
      </c>
      <c r="AT41">
        <f>IF(AND(COUNTIF(Control!$E$20:$E$100,$B41)=0,COUNTIF(Control!$E$20:$E$100,AT$2)=0),VISUM_Arterial_OD!AT41*Control!$B$3,0)</f>
        <v>0</v>
      </c>
      <c r="AU41">
        <f>IF(AND(COUNTIF(Control!$E$20:$E$100,$B41)=0,COUNTIF(Control!$E$20:$E$100,AU$2)=0),VISUM_Arterial_OD!AU41*Control!$B$3,0)</f>
        <v>0</v>
      </c>
      <c r="AV41">
        <f>IF(AND(COUNTIF(Control!$E$20:$E$100,$B41)=0,COUNTIF(Control!$E$20:$E$100,AV$2)=0),VISUM_Arterial_OD!AV41*Control!$B$3,0)</f>
        <v>0</v>
      </c>
      <c r="AW41">
        <f>IF(AND(COUNTIF(Control!$E$20:$E$100,$B41)=0,COUNTIF(Control!$E$20:$E$100,AW$2)=0),VISUM_Arterial_OD!AW41*Control!$B$3,0)</f>
        <v>0</v>
      </c>
      <c r="AX41">
        <f>IF(AND(COUNTIF(Control!$E$20:$E$100,$B41)=0,COUNTIF(Control!$E$20:$E$100,AX$2)=0),VISUM_Arterial_OD!AX41*Control!$B$3,0)</f>
        <v>0</v>
      </c>
      <c r="AY41">
        <f>IF(AND(COUNTIF(Control!$E$20:$E$100,$B41)=0,COUNTIF(Control!$E$20:$E$100,AY$2)=0),VISUM_Arterial_OD!AY41*Control!$B$3,0)</f>
        <v>0</v>
      </c>
      <c r="AZ41">
        <f>IF(AND(COUNTIF(Control!$E$20:$E$100,$B41)=0,COUNTIF(Control!$E$20:$E$100,AZ$2)=0),VISUM_Arterial_OD!AZ41*Control!$B$3,0)</f>
        <v>0</v>
      </c>
      <c r="BA41">
        <f>IF(AND(COUNTIF(Control!$E$20:$E$100,$B41)=0,COUNTIF(Control!$E$20:$E$100,BA$2)=0),VISUM_Arterial_OD!BA41*Control!$B$3,0)</f>
        <v>0</v>
      </c>
      <c r="BB41">
        <f>IF(AND(COUNTIF(Control!$E$20:$E$100,$B41)=0,COUNTIF(Control!$E$20:$E$100,BB$2)=0),VISUM_Arterial_OD!BB41*Control!$B$3,0)</f>
        <v>0</v>
      </c>
      <c r="BC41">
        <f>IF(AND(COUNTIF(Control!$E$20:$E$100,$B41)=0,COUNTIF(Control!$E$20:$E$100,BC$2)=0),VISUM_Arterial_OD!BC41*Control!$B$3,0)</f>
        <v>0</v>
      </c>
      <c r="BD41">
        <f>IF(AND(COUNTIF(Control!$E$20:$E$100,$B41)=0,COUNTIF(Control!$E$20:$E$100,BD$2)=0),VISUM_Arterial_OD!BD41*Control!$B$3,0)</f>
        <v>0</v>
      </c>
      <c r="BE41">
        <f>IF(AND(COUNTIF(Control!$E$20:$E$100,$B41)=0,COUNTIF(Control!$E$20:$E$100,BE$2)=0),VISUM_Arterial_OD!BE41*Control!$B$3,0)</f>
        <v>0</v>
      </c>
      <c r="BF41">
        <f>IF(AND(COUNTIF(Control!$E$20:$E$100,$B41)=0,COUNTIF(Control!$E$20:$E$100,BF$2)=0),VISUM_Arterial_OD!BF41*Control!$B$3,0)</f>
        <v>0</v>
      </c>
      <c r="BG41">
        <f>IF(AND(COUNTIF(Control!$E$20:$E$100,$B41)=0,COUNTIF(Control!$E$20:$E$100,BG$2)=0),VISUM_Arterial_OD!BG41*Control!$B$3,0)</f>
        <v>0</v>
      </c>
      <c r="BH41">
        <f>IF(AND(COUNTIF(Control!$E$20:$E$100,$B41)=0,COUNTIF(Control!$E$20:$E$100,BH$2)=0),VISUM_Arterial_OD!BH41*Control!$B$3,0)</f>
        <v>0</v>
      </c>
      <c r="BI41">
        <f>IF(AND(COUNTIF(Control!$E$20:$E$100,$B41)=0,COUNTIF(Control!$E$20:$E$100,BI$2)=0),VISUM_Arterial_OD!BI41*Control!$B$3,0)</f>
        <v>0</v>
      </c>
      <c r="BJ41">
        <f>IF(AND(COUNTIF(Control!$E$20:$E$100,$B41)=0,COUNTIF(Control!$E$20:$E$100,BJ$2)=0),VISUM_Arterial_OD!BJ41*Control!$B$3,0)</f>
        <v>0</v>
      </c>
      <c r="BK41">
        <f>IF(AND(COUNTIF(Control!$E$20:$E$100,$B41)=0,COUNTIF(Control!$E$20:$E$100,BK$2)=0),VISUM_Arterial_OD!BK41*Control!$B$3,0)</f>
        <v>0</v>
      </c>
      <c r="BL41">
        <f>IF(AND(COUNTIF(Control!$E$20:$E$100,$B41)=0,COUNTIF(Control!$E$20:$E$100,BL$2)=0),VISUM_Arterial_OD!BL41*Control!$B$3,0)</f>
        <v>0</v>
      </c>
      <c r="BM41">
        <f>IF(AND(COUNTIF(Control!$E$20:$E$100,$B41)=0,COUNTIF(Control!$E$20:$E$100,BM$2)=0),VISUM_Arterial_OD!BM41*Control!$B$3,0)</f>
        <v>0</v>
      </c>
      <c r="BN41">
        <f>IF(AND(COUNTIF(Control!$E$20:$E$100,$B41)=0,COUNTIF(Control!$E$20:$E$100,BN$2)=0),VISUM_Arterial_OD!BN41*Control!$B$3,0)</f>
        <v>0</v>
      </c>
      <c r="BO41">
        <f>IF(AND(COUNTIF(Control!$E$20:$E$100,$B41)=0,COUNTIF(Control!$E$20:$E$100,BO$2)=0),VISUM_Arterial_OD!BO41*Control!$B$3,0)</f>
        <v>0</v>
      </c>
      <c r="BP41">
        <f>IF(AND(COUNTIF(Control!$E$20:$E$100,$B41)=0,COUNTIF(Control!$E$20:$E$100,BP$2)=0),VISUM_Arterial_OD!BP41*Control!$B$3,0)</f>
        <v>0</v>
      </c>
      <c r="BQ41">
        <f>IF(AND(COUNTIF(Control!$E$20:$E$100,$B41)=0,COUNTIF(Control!$E$20:$E$100,BQ$2)=0),VISUM_Arterial_OD!BQ41*Control!$B$3,0)</f>
        <v>0</v>
      </c>
    </row>
    <row r="42" spans="1:69" x14ac:dyDescent="0.25">
      <c r="A42" s="5">
        <f>IF(VLOOKUP(B42,Arterial_Zone_Link_Mapping!$A:$C,2,FALSE)&lt;&gt;"",VLOOKUP(B42,Arterial_Zone_Link_Mapping!$A:$C,2,FALSE),"")</f>
        <v>201</v>
      </c>
      <c r="B42" s="5">
        <v>64</v>
      </c>
      <c r="C42">
        <f>IF(AND(COUNTIF(Control!$E$20:$E$100,$B42)=0,COUNTIF(Control!$E$20:$E$100,C$2)=0),VISUM_Arterial_OD!C42*Control!$B$3,0)</f>
        <v>0</v>
      </c>
      <c r="D42">
        <f>IF(AND(COUNTIF(Control!$E$20:$E$100,$B42)=0,COUNTIF(Control!$E$20:$E$100,D$2)=0),VISUM_Arterial_OD!D42*Control!$B$3,0)</f>
        <v>0</v>
      </c>
      <c r="E42">
        <f>IF(AND(COUNTIF(Control!$E$20:$E$100,$B42)=0,COUNTIF(Control!$E$20:$E$100,E$2)=0),VISUM_Arterial_OD!E42*Control!$B$3,0)</f>
        <v>0</v>
      </c>
      <c r="F42">
        <f>IF(AND(COUNTIF(Control!$E$20:$E$100,$B42)=0,COUNTIF(Control!$E$20:$E$100,F$2)=0),VISUM_Arterial_OD!F42*Control!$B$3,0)</f>
        <v>0</v>
      </c>
      <c r="G42">
        <f>IF(AND(COUNTIF(Control!$E$20:$E$100,$B42)=0,COUNTIF(Control!$E$20:$E$100,G$2)=0),VISUM_Arterial_OD!G42*Control!$B$3,0)</f>
        <v>0</v>
      </c>
      <c r="H42">
        <f>IF(AND(COUNTIF(Control!$E$20:$E$100,$B42)=0,COUNTIF(Control!$E$20:$E$100,H$2)=0),VISUM_Arterial_OD!H42*Control!$B$3,0)</f>
        <v>0</v>
      </c>
      <c r="I42">
        <f>IF(AND(COUNTIF(Control!$E$20:$E$100,$B42)=0,COUNTIF(Control!$E$20:$E$100,I$2)=0),VISUM_Arterial_OD!I42*Control!$B$3,0)</f>
        <v>0</v>
      </c>
      <c r="J42">
        <f>IF(AND(COUNTIF(Control!$E$20:$E$100,$B42)=0,COUNTIF(Control!$E$20:$E$100,J$2)=0),VISUM_Arterial_OD!J42*Control!$B$3,0)</f>
        <v>0</v>
      </c>
      <c r="K42">
        <f>IF(AND(COUNTIF(Control!$E$20:$E$100,$B42)=0,COUNTIF(Control!$E$20:$E$100,K$2)=0),VISUM_Arterial_OD!K42*Control!$B$3,0)</f>
        <v>0</v>
      </c>
      <c r="L42">
        <f>IF(AND(COUNTIF(Control!$E$20:$E$100,$B42)=0,COUNTIF(Control!$E$20:$E$100,L$2)=0),VISUM_Arterial_OD!L42*Control!$B$3,0)</f>
        <v>0</v>
      </c>
      <c r="M42">
        <f>IF(AND(COUNTIF(Control!$E$20:$E$100,$B42)=0,COUNTIF(Control!$E$20:$E$100,M$2)=0),VISUM_Arterial_OD!M42*Control!$B$3,0)</f>
        <v>0</v>
      </c>
      <c r="N42">
        <f>IF(AND(COUNTIF(Control!$E$20:$E$100,$B42)=0,COUNTIF(Control!$E$20:$E$100,N$2)=0),VISUM_Arterial_OD!N42*Control!$B$3,0)</f>
        <v>0</v>
      </c>
      <c r="O42">
        <f>IF(AND(COUNTIF(Control!$E$20:$E$100,$B42)=0,COUNTIF(Control!$E$20:$E$100,O$2)=0),VISUM_Arterial_OD!O42*Control!$B$3,0)</f>
        <v>0</v>
      </c>
      <c r="P42">
        <f>IF(AND(COUNTIF(Control!$E$20:$E$100,$B42)=0,COUNTIF(Control!$E$20:$E$100,P$2)=0),VISUM_Arterial_OD!P42*Control!$B$3,0)</f>
        <v>0</v>
      </c>
      <c r="Q42">
        <f>IF(AND(COUNTIF(Control!$E$20:$E$100,$B42)=0,COUNTIF(Control!$E$20:$E$100,Q$2)=0),VISUM_Arterial_OD!Q42*Control!$B$3,0)</f>
        <v>0</v>
      </c>
      <c r="R42">
        <f>IF(AND(COUNTIF(Control!$E$20:$E$100,$B42)=0,COUNTIF(Control!$E$20:$E$100,R$2)=0),VISUM_Arterial_OD!R42*Control!$B$3,0)</f>
        <v>0</v>
      </c>
      <c r="S42">
        <f>IF(AND(COUNTIF(Control!$E$20:$E$100,$B42)=0,COUNTIF(Control!$E$20:$E$100,S$2)=0),VISUM_Arterial_OD!S42*Control!$B$3,0)</f>
        <v>0</v>
      </c>
      <c r="T42">
        <f>IF(AND(COUNTIF(Control!$E$20:$E$100,$B42)=0,COUNTIF(Control!$E$20:$E$100,T$2)=0),VISUM_Arterial_OD!T42*Control!$B$3,0)</f>
        <v>0</v>
      </c>
      <c r="U42">
        <f>IF(AND(COUNTIF(Control!$E$20:$E$100,$B42)=0,COUNTIF(Control!$E$20:$E$100,U$2)=0),VISUM_Arterial_OD!U42*Control!$B$3,0)</f>
        <v>0</v>
      </c>
      <c r="V42">
        <f>IF(AND(COUNTIF(Control!$E$20:$E$100,$B42)=0,COUNTIF(Control!$E$20:$E$100,V$2)=0),VISUM_Arterial_OD!V42*Control!$B$3,0)</f>
        <v>0</v>
      </c>
      <c r="W42">
        <f>IF(AND(COUNTIF(Control!$E$20:$E$100,$B42)=0,COUNTIF(Control!$E$20:$E$100,W$2)=0),VISUM_Arterial_OD!W42*Control!$B$3,0)</f>
        <v>0</v>
      </c>
      <c r="X42">
        <f>IF(AND(COUNTIF(Control!$E$20:$E$100,$B42)=0,COUNTIF(Control!$E$20:$E$100,X$2)=0),VISUM_Arterial_OD!X42*Control!$B$3,0)</f>
        <v>0</v>
      </c>
      <c r="Y42">
        <f>IF(AND(COUNTIF(Control!$E$20:$E$100,$B42)=0,COUNTIF(Control!$E$20:$E$100,Y$2)=0),VISUM_Arterial_OD!Y42*Control!$B$3,0)</f>
        <v>0</v>
      </c>
      <c r="Z42">
        <f>IF(AND(COUNTIF(Control!$E$20:$E$100,$B42)=0,COUNTIF(Control!$E$20:$E$100,Z$2)=0),VISUM_Arterial_OD!Z42*Control!$B$3,0)</f>
        <v>0</v>
      </c>
      <c r="AA42">
        <f>IF(AND(COUNTIF(Control!$E$20:$E$100,$B42)=0,COUNTIF(Control!$E$20:$E$100,AA$2)=0),VISUM_Arterial_OD!AA42*Control!$B$3,0)</f>
        <v>0</v>
      </c>
      <c r="AB42">
        <f>IF(AND(COUNTIF(Control!$E$20:$E$100,$B42)=0,COUNTIF(Control!$E$20:$E$100,AB$2)=0),VISUM_Arterial_OD!AB42*Control!$B$3,0)</f>
        <v>0</v>
      </c>
      <c r="AC42">
        <f>IF(AND(COUNTIF(Control!$E$20:$E$100,$B42)=0,COUNTIF(Control!$E$20:$E$100,AC$2)=0),VISUM_Arterial_OD!AC42*Control!$B$3,0)</f>
        <v>0</v>
      </c>
      <c r="AD42">
        <f>IF(AND(COUNTIF(Control!$E$20:$E$100,$B42)=0,COUNTIF(Control!$E$20:$E$100,AD$2)=0),VISUM_Arterial_OD!AD42*Control!$B$3,0)</f>
        <v>0</v>
      </c>
      <c r="AE42">
        <f>IF(AND(COUNTIF(Control!$E$20:$E$100,$B42)=0,COUNTIF(Control!$E$20:$E$100,AE$2)=0),VISUM_Arterial_OD!AE42*Control!$B$3,0)</f>
        <v>0</v>
      </c>
      <c r="AF42">
        <f>IF(AND(COUNTIF(Control!$E$20:$E$100,$B42)=0,COUNTIF(Control!$E$20:$E$100,AF$2)=0),VISUM_Arterial_OD!AF42*Control!$B$3,0)</f>
        <v>0</v>
      </c>
      <c r="AG42">
        <f>IF(AND(COUNTIF(Control!$E$20:$E$100,$B42)=0,COUNTIF(Control!$E$20:$E$100,AG$2)=0),VISUM_Arterial_OD!AG42*Control!$B$3,0)</f>
        <v>0</v>
      </c>
      <c r="AH42">
        <f>IF(AND(COUNTIF(Control!$E$20:$E$100,$B42)=0,COUNTIF(Control!$E$20:$E$100,AH$2)=0),VISUM_Arterial_OD!AH42*Control!$B$3,0)</f>
        <v>0</v>
      </c>
      <c r="AI42">
        <f>IF(AND(COUNTIF(Control!$E$20:$E$100,$B42)=0,COUNTIF(Control!$E$20:$E$100,AI$2)=0),VISUM_Arterial_OD!AI42*Control!$B$3,0)</f>
        <v>0</v>
      </c>
      <c r="AJ42">
        <f>IF(AND(COUNTIF(Control!$E$20:$E$100,$B42)=0,COUNTIF(Control!$E$20:$E$100,AJ$2)=0),VISUM_Arterial_OD!AJ42*Control!$B$3,0)</f>
        <v>0</v>
      </c>
      <c r="AK42">
        <f>IF(AND(COUNTIF(Control!$E$20:$E$100,$B42)=0,COUNTIF(Control!$E$20:$E$100,AK$2)=0),VISUM_Arterial_OD!AK42*Control!$B$3,0)</f>
        <v>0</v>
      </c>
      <c r="AL42">
        <f>IF(AND(COUNTIF(Control!$E$20:$E$100,$B42)=0,COUNTIF(Control!$E$20:$E$100,AL$2)=0),VISUM_Arterial_OD!AL42*Control!$B$3,0)</f>
        <v>0</v>
      </c>
      <c r="AM42">
        <f>IF(AND(COUNTIF(Control!$E$20:$E$100,$B42)=0,COUNTIF(Control!$E$20:$E$100,AM$2)=0),VISUM_Arterial_OD!AM42*Control!$B$3,0)</f>
        <v>0</v>
      </c>
      <c r="AN42">
        <f>IF(AND(COUNTIF(Control!$E$20:$E$100,$B42)=0,COUNTIF(Control!$E$20:$E$100,AN$2)=0),VISUM_Arterial_OD!AN42*Control!$B$3,0)</f>
        <v>0</v>
      </c>
      <c r="AO42">
        <f>IF(AND(COUNTIF(Control!$E$20:$E$100,$B42)=0,COUNTIF(Control!$E$20:$E$100,AO$2)=0),VISUM_Arterial_OD!AO42*Control!$B$3,0)</f>
        <v>0</v>
      </c>
      <c r="AP42">
        <f>IF(AND(COUNTIF(Control!$E$20:$E$100,$B42)=0,COUNTIF(Control!$E$20:$E$100,AP$2)=0),VISUM_Arterial_OD!AP42*Control!$B$3,0)</f>
        <v>0</v>
      </c>
      <c r="AQ42">
        <f>IF(AND(COUNTIF(Control!$E$20:$E$100,$B42)=0,COUNTIF(Control!$E$20:$E$100,AQ$2)=0),VISUM_Arterial_OD!AQ42*Control!$B$3,0)</f>
        <v>0</v>
      </c>
      <c r="AR42">
        <f>IF(AND(COUNTIF(Control!$E$20:$E$100,$B42)=0,COUNTIF(Control!$E$20:$E$100,AR$2)=0),VISUM_Arterial_OD!AR42*Control!$B$3,0)</f>
        <v>0</v>
      </c>
      <c r="AS42">
        <f>IF(AND(COUNTIF(Control!$E$20:$E$100,$B42)=0,COUNTIF(Control!$E$20:$E$100,AS$2)=0),VISUM_Arterial_OD!AS42*Control!$B$3,0)</f>
        <v>0</v>
      </c>
      <c r="AT42">
        <f>IF(AND(COUNTIF(Control!$E$20:$E$100,$B42)=0,COUNTIF(Control!$E$20:$E$100,AT$2)=0),VISUM_Arterial_OD!AT42*Control!$B$3,0)</f>
        <v>0</v>
      </c>
      <c r="AU42">
        <f>IF(AND(COUNTIF(Control!$E$20:$E$100,$B42)=0,COUNTIF(Control!$E$20:$E$100,AU$2)=0),VISUM_Arterial_OD!AU42*Control!$B$3,0)</f>
        <v>0</v>
      </c>
      <c r="AV42">
        <f>IF(AND(COUNTIF(Control!$E$20:$E$100,$B42)=0,COUNTIF(Control!$E$20:$E$100,AV$2)=0),VISUM_Arterial_OD!AV42*Control!$B$3,0)</f>
        <v>0</v>
      </c>
      <c r="AW42">
        <f>IF(AND(COUNTIF(Control!$E$20:$E$100,$B42)=0,COUNTIF(Control!$E$20:$E$100,AW$2)=0),VISUM_Arterial_OD!AW42*Control!$B$3,0)</f>
        <v>0</v>
      </c>
      <c r="AX42">
        <f>IF(AND(COUNTIF(Control!$E$20:$E$100,$B42)=0,COUNTIF(Control!$E$20:$E$100,AX$2)=0),VISUM_Arterial_OD!AX42*Control!$B$3,0)</f>
        <v>0</v>
      </c>
      <c r="AY42">
        <f>IF(AND(COUNTIF(Control!$E$20:$E$100,$B42)=0,COUNTIF(Control!$E$20:$E$100,AY$2)=0),VISUM_Arterial_OD!AY42*Control!$B$3,0)</f>
        <v>0</v>
      </c>
      <c r="AZ42">
        <f>IF(AND(COUNTIF(Control!$E$20:$E$100,$B42)=0,COUNTIF(Control!$E$20:$E$100,AZ$2)=0),VISUM_Arterial_OD!AZ42*Control!$B$3,0)</f>
        <v>0</v>
      </c>
      <c r="BA42">
        <f>IF(AND(COUNTIF(Control!$E$20:$E$100,$B42)=0,COUNTIF(Control!$E$20:$E$100,BA$2)=0),VISUM_Arterial_OD!BA42*Control!$B$3,0)</f>
        <v>0</v>
      </c>
      <c r="BB42">
        <f>IF(AND(COUNTIF(Control!$E$20:$E$100,$B42)=0,COUNTIF(Control!$E$20:$E$100,BB$2)=0),VISUM_Arterial_OD!BB42*Control!$B$3,0)</f>
        <v>0</v>
      </c>
      <c r="BC42">
        <f>IF(AND(COUNTIF(Control!$E$20:$E$100,$B42)=0,COUNTIF(Control!$E$20:$E$100,BC$2)=0),VISUM_Arterial_OD!BC42*Control!$B$3,0)</f>
        <v>0</v>
      </c>
      <c r="BD42">
        <f>IF(AND(COUNTIF(Control!$E$20:$E$100,$B42)=0,COUNTIF(Control!$E$20:$E$100,BD$2)=0),VISUM_Arterial_OD!BD42*Control!$B$3,0)</f>
        <v>0</v>
      </c>
      <c r="BE42">
        <f>IF(AND(COUNTIF(Control!$E$20:$E$100,$B42)=0,COUNTIF(Control!$E$20:$E$100,BE$2)=0),VISUM_Arterial_OD!BE42*Control!$B$3,0)</f>
        <v>0</v>
      </c>
      <c r="BF42">
        <f>IF(AND(COUNTIF(Control!$E$20:$E$100,$B42)=0,COUNTIF(Control!$E$20:$E$100,BF$2)=0),VISUM_Arterial_OD!BF42*Control!$B$3,0)</f>
        <v>0</v>
      </c>
      <c r="BG42">
        <f>IF(AND(COUNTIF(Control!$E$20:$E$100,$B42)=0,COUNTIF(Control!$E$20:$E$100,BG$2)=0),VISUM_Arterial_OD!BG42*Control!$B$3,0)</f>
        <v>0</v>
      </c>
      <c r="BH42">
        <f>IF(AND(COUNTIF(Control!$E$20:$E$100,$B42)=0,COUNTIF(Control!$E$20:$E$100,BH$2)=0),VISUM_Arterial_OD!BH42*Control!$B$3,0)</f>
        <v>0</v>
      </c>
      <c r="BI42">
        <f>IF(AND(COUNTIF(Control!$E$20:$E$100,$B42)=0,COUNTIF(Control!$E$20:$E$100,BI$2)=0),VISUM_Arterial_OD!BI42*Control!$B$3,0)</f>
        <v>0</v>
      </c>
      <c r="BJ42">
        <f>IF(AND(COUNTIF(Control!$E$20:$E$100,$B42)=0,COUNTIF(Control!$E$20:$E$100,BJ$2)=0),VISUM_Arterial_OD!BJ42*Control!$B$3,0)</f>
        <v>0</v>
      </c>
      <c r="BK42">
        <f>IF(AND(COUNTIF(Control!$E$20:$E$100,$B42)=0,COUNTIF(Control!$E$20:$E$100,BK$2)=0),VISUM_Arterial_OD!BK42*Control!$B$3,0)</f>
        <v>0</v>
      </c>
      <c r="BL42">
        <f>IF(AND(COUNTIF(Control!$E$20:$E$100,$B42)=0,COUNTIF(Control!$E$20:$E$100,BL$2)=0),VISUM_Arterial_OD!BL42*Control!$B$3,0)</f>
        <v>0</v>
      </c>
      <c r="BM42">
        <f>IF(AND(COUNTIF(Control!$E$20:$E$100,$B42)=0,COUNTIF(Control!$E$20:$E$100,BM$2)=0),VISUM_Arterial_OD!BM42*Control!$B$3,0)</f>
        <v>0</v>
      </c>
      <c r="BN42">
        <f>IF(AND(COUNTIF(Control!$E$20:$E$100,$B42)=0,COUNTIF(Control!$E$20:$E$100,BN$2)=0),VISUM_Arterial_OD!BN42*Control!$B$3,0)</f>
        <v>0</v>
      </c>
      <c r="BO42">
        <f>IF(AND(COUNTIF(Control!$E$20:$E$100,$B42)=0,COUNTIF(Control!$E$20:$E$100,BO$2)=0),VISUM_Arterial_OD!BO42*Control!$B$3,0)</f>
        <v>0</v>
      </c>
      <c r="BP42">
        <f>IF(AND(COUNTIF(Control!$E$20:$E$100,$B42)=0,COUNTIF(Control!$E$20:$E$100,BP$2)=0),VISUM_Arterial_OD!BP42*Control!$B$3,0)</f>
        <v>0</v>
      </c>
      <c r="BQ42">
        <f>IF(AND(COUNTIF(Control!$E$20:$E$100,$B42)=0,COUNTIF(Control!$E$20:$E$100,BQ$2)=0),VISUM_Arterial_OD!BQ42*Control!$B$3,0)</f>
        <v>0</v>
      </c>
    </row>
    <row r="43" spans="1:69" x14ac:dyDescent="0.25">
      <c r="A43" s="5">
        <f>IF(VLOOKUP(B43,Arterial_Zone_Link_Mapping!$A:$C,2,FALSE)&lt;&gt;"",VLOOKUP(B43,Arterial_Zone_Link_Mapping!$A:$C,2,FALSE),"")</f>
        <v>10228</v>
      </c>
      <c r="B43" s="5">
        <v>65</v>
      </c>
      <c r="C43">
        <f>IF(AND(COUNTIF(Control!$E$20:$E$100,$B43)=0,COUNTIF(Control!$E$20:$E$100,C$2)=0),VISUM_Arterial_OD!C43*Control!$B$3,0)</f>
        <v>0</v>
      </c>
      <c r="D43">
        <f>IF(AND(COUNTIF(Control!$E$20:$E$100,$B43)=0,COUNTIF(Control!$E$20:$E$100,D$2)=0),VISUM_Arterial_OD!D43*Control!$B$3,0)</f>
        <v>0</v>
      </c>
      <c r="E43">
        <f>IF(AND(COUNTIF(Control!$E$20:$E$100,$B43)=0,COUNTIF(Control!$E$20:$E$100,E$2)=0),VISUM_Arterial_OD!E43*Control!$B$3,0)</f>
        <v>0</v>
      </c>
      <c r="F43">
        <f>IF(AND(COUNTIF(Control!$E$20:$E$100,$B43)=0,COUNTIF(Control!$E$20:$E$100,F$2)=0),VISUM_Arterial_OD!F43*Control!$B$3,0)</f>
        <v>0</v>
      </c>
      <c r="G43">
        <f>IF(AND(COUNTIF(Control!$E$20:$E$100,$B43)=0,COUNTIF(Control!$E$20:$E$100,G$2)=0),VISUM_Arterial_OD!G43*Control!$B$3,0)</f>
        <v>0</v>
      </c>
      <c r="H43">
        <f>IF(AND(COUNTIF(Control!$E$20:$E$100,$B43)=0,COUNTIF(Control!$E$20:$E$100,H$2)=0),VISUM_Arterial_OD!H43*Control!$B$3,0)</f>
        <v>0</v>
      </c>
      <c r="I43">
        <f>IF(AND(COUNTIF(Control!$E$20:$E$100,$B43)=0,COUNTIF(Control!$E$20:$E$100,I$2)=0),VISUM_Arterial_OD!I43*Control!$B$3,0)</f>
        <v>0</v>
      </c>
      <c r="J43">
        <f>IF(AND(COUNTIF(Control!$E$20:$E$100,$B43)=0,COUNTIF(Control!$E$20:$E$100,J$2)=0),VISUM_Arterial_OD!J43*Control!$B$3,0)</f>
        <v>16.079237069999998</v>
      </c>
      <c r="K43">
        <f>IF(AND(COUNTIF(Control!$E$20:$E$100,$B43)=0,COUNTIF(Control!$E$20:$E$100,K$2)=0),VISUM_Arterial_OD!K43*Control!$B$3,0)</f>
        <v>0</v>
      </c>
      <c r="L43">
        <f>IF(AND(COUNTIF(Control!$E$20:$E$100,$B43)=0,COUNTIF(Control!$E$20:$E$100,L$2)=0),VISUM_Arterial_OD!L43*Control!$B$3,0)</f>
        <v>0</v>
      </c>
      <c r="M43">
        <f>IF(AND(COUNTIF(Control!$E$20:$E$100,$B43)=0,COUNTIF(Control!$E$20:$E$100,M$2)=0),VISUM_Arterial_OD!M43*Control!$B$3,0)</f>
        <v>0</v>
      </c>
      <c r="N43">
        <f>IF(AND(COUNTIF(Control!$E$20:$E$100,$B43)=0,COUNTIF(Control!$E$20:$E$100,N$2)=0),VISUM_Arterial_OD!N43*Control!$B$3,0)</f>
        <v>0</v>
      </c>
      <c r="O43">
        <f>IF(AND(COUNTIF(Control!$E$20:$E$100,$B43)=0,COUNTIF(Control!$E$20:$E$100,O$2)=0),VISUM_Arterial_OD!O43*Control!$B$3,0)</f>
        <v>17.520015749999999</v>
      </c>
      <c r="P43">
        <f>IF(AND(COUNTIF(Control!$E$20:$E$100,$B43)=0,COUNTIF(Control!$E$20:$E$100,P$2)=0),VISUM_Arterial_OD!P43*Control!$B$3,0)</f>
        <v>0</v>
      </c>
      <c r="Q43">
        <f>IF(AND(COUNTIF(Control!$E$20:$E$100,$B43)=0,COUNTIF(Control!$E$20:$E$100,Q$2)=0),VISUM_Arterial_OD!Q43*Control!$B$3,0)</f>
        <v>0</v>
      </c>
      <c r="R43">
        <f>IF(AND(COUNTIF(Control!$E$20:$E$100,$B43)=0,COUNTIF(Control!$E$20:$E$100,R$2)=0),VISUM_Arterial_OD!R43*Control!$B$3,0)</f>
        <v>0</v>
      </c>
      <c r="S43">
        <f>IF(AND(COUNTIF(Control!$E$20:$E$100,$B43)=0,COUNTIF(Control!$E$20:$E$100,S$2)=0),VISUM_Arterial_OD!S43*Control!$B$3,0)</f>
        <v>0</v>
      </c>
      <c r="T43">
        <f>IF(AND(COUNTIF(Control!$E$20:$E$100,$B43)=0,COUNTIF(Control!$E$20:$E$100,T$2)=0),VISUM_Arterial_OD!T43*Control!$B$3,0)</f>
        <v>0</v>
      </c>
      <c r="U43">
        <f>IF(AND(COUNTIF(Control!$E$20:$E$100,$B43)=0,COUNTIF(Control!$E$20:$E$100,U$2)=0),VISUM_Arterial_OD!U43*Control!$B$3,0)</f>
        <v>0</v>
      </c>
      <c r="V43">
        <f>IF(AND(COUNTIF(Control!$E$20:$E$100,$B43)=0,COUNTIF(Control!$E$20:$E$100,V$2)=0),VISUM_Arterial_OD!V43*Control!$B$3,0)</f>
        <v>0</v>
      </c>
      <c r="W43">
        <f>IF(AND(COUNTIF(Control!$E$20:$E$100,$B43)=0,COUNTIF(Control!$E$20:$E$100,W$2)=0),VISUM_Arterial_OD!W43*Control!$B$3,0)</f>
        <v>0</v>
      </c>
      <c r="X43">
        <f>IF(AND(COUNTIF(Control!$E$20:$E$100,$B43)=0,COUNTIF(Control!$E$20:$E$100,X$2)=0),VISUM_Arterial_OD!X43*Control!$B$3,0)</f>
        <v>0</v>
      </c>
      <c r="Y43">
        <f>IF(AND(COUNTIF(Control!$E$20:$E$100,$B43)=0,COUNTIF(Control!$E$20:$E$100,Y$2)=0),VISUM_Arterial_OD!Y43*Control!$B$3,0)</f>
        <v>0</v>
      </c>
      <c r="Z43">
        <f>IF(AND(COUNTIF(Control!$E$20:$E$100,$B43)=0,COUNTIF(Control!$E$20:$E$100,Z$2)=0),VISUM_Arterial_OD!Z43*Control!$B$3,0)</f>
        <v>0</v>
      </c>
      <c r="AA43">
        <f>IF(AND(COUNTIF(Control!$E$20:$E$100,$B43)=0,COUNTIF(Control!$E$20:$E$100,AA$2)=0),VISUM_Arterial_OD!AA43*Control!$B$3,0)</f>
        <v>0</v>
      </c>
      <c r="AB43">
        <f>IF(AND(COUNTIF(Control!$E$20:$E$100,$B43)=0,COUNTIF(Control!$E$20:$E$100,AB$2)=0),VISUM_Arterial_OD!AB43*Control!$B$3,0)</f>
        <v>0</v>
      </c>
      <c r="AC43">
        <f>IF(AND(COUNTIF(Control!$E$20:$E$100,$B43)=0,COUNTIF(Control!$E$20:$E$100,AC$2)=0),VISUM_Arterial_OD!AC43*Control!$B$3,0)</f>
        <v>0</v>
      </c>
      <c r="AD43">
        <f>IF(AND(COUNTIF(Control!$E$20:$E$100,$B43)=0,COUNTIF(Control!$E$20:$E$100,AD$2)=0),VISUM_Arterial_OD!AD43*Control!$B$3,0)</f>
        <v>0</v>
      </c>
      <c r="AE43">
        <f>IF(AND(COUNTIF(Control!$E$20:$E$100,$B43)=0,COUNTIF(Control!$E$20:$E$100,AE$2)=0),VISUM_Arterial_OD!AE43*Control!$B$3,0)</f>
        <v>0</v>
      </c>
      <c r="AF43">
        <f>IF(AND(COUNTIF(Control!$E$20:$E$100,$B43)=0,COUNTIF(Control!$E$20:$E$100,AF$2)=0),VISUM_Arterial_OD!AF43*Control!$B$3,0)</f>
        <v>0</v>
      </c>
      <c r="AG43">
        <f>IF(AND(COUNTIF(Control!$E$20:$E$100,$B43)=0,COUNTIF(Control!$E$20:$E$100,AG$2)=0),VISUM_Arterial_OD!AG43*Control!$B$3,0)</f>
        <v>0</v>
      </c>
      <c r="AH43">
        <f>IF(AND(COUNTIF(Control!$E$20:$E$100,$B43)=0,COUNTIF(Control!$E$20:$E$100,AH$2)=0),VISUM_Arterial_OD!AH43*Control!$B$3,0)</f>
        <v>0</v>
      </c>
      <c r="AI43">
        <f>IF(AND(COUNTIF(Control!$E$20:$E$100,$B43)=0,COUNTIF(Control!$E$20:$E$100,AI$2)=0),VISUM_Arterial_OD!AI43*Control!$B$3,0)</f>
        <v>0</v>
      </c>
      <c r="AJ43">
        <f>IF(AND(COUNTIF(Control!$E$20:$E$100,$B43)=0,COUNTIF(Control!$E$20:$E$100,AJ$2)=0),VISUM_Arterial_OD!AJ43*Control!$B$3,0)</f>
        <v>0</v>
      </c>
      <c r="AK43">
        <f>IF(AND(COUNTIF(Control!$E$20:$E$100,$B43)=0,COUNTIF(Control!$E$20:$E$100,AK$2)=0),VISUM_Arterial_OD!AK43*Control!$B$3,0)</f>
        <v>0</v>
      </c>
      <c r="AL43">
        <f>IF(AND(COUNTIF(Control!$E$20:$E$100,$B43)=0,COUNTIF(Control!$E$20:$E$100,AL$2)=0),VISUM_Arterial_OD!AL43*Control!$B$3,0)</f>
        <v>0</v>
      </c>
      <c r="AM43">
        <f>IF(AND(COUNTIF(Control!$E$20:$E$100,$B43)=0,COUNTIF(Control!$E$20:$E$100,AM$2)=0),VISUM_Arterial_OD!AM43*Control!$B$3,0)</f>
        <v>0</v>
      </c>
      <c r="AN43">
        <f>IF(AND(COUNTIF(Control!$E$20:$E$100,$B43)=0,COUNTIF(Control!$E$20:$E$100,AN$2)=0),VISUM_Arterial_OD!AN43*Control!$B$3,0)</f>
        <v>0</v>
      </c>
      <c r="AO43">
        <f>IF(AND(COUNTIF(Control!$E$20:$E$100,$B43)=0,COUNTIF(Control!$E$20:$E$100,AO$2)=0),VISUM_Arterial_OD!AO43*Control!$B$3,0)</f>
        <v>0</v>
      </c>
      <c r="AP43">
        <f>IF(AND(COUNTIF(Control!$E$20:$E$100,$B43)=0,COUNTIF(Control!$E$20:$E$100,AP$2)=0),VISUM_Arterial_OD!AP43*Control!$B$3,0)</f>
        <v>0</v>
      </c>
      <c r="AQ43">
        <f>IF(AND(COUNTIF(Control!$E$20:$E$100,$B43)=0,COUNTIF(Control!$E$20:$E$100,AQ$2)=0),VISUM_Arterial_OD!AQ43*Control!$B$3,0)</f>
        <v>0</v>
      </c>
      <c r="AR43">
        <f>IF(AND(COUNTIF(Control!$E$20:$E$100,$B43)=0,COUNTIF(Control!$E$20:$E$100,AR$2)=0),VISUM_Arterial_OD!AR43*Control!$B$3,0)</f>
        <v>0</v>
      </c>
      <c r="AS43">
        <f>IF(AND(COUNTIF(Control!$E$20:$E$100,$B43)=0,COUNTIF(Control!$E$20:$E$100,AS$2)=0),VISUM_Arterial_OD!AS43*Control!$B$3,0)</f>
        <v>0</v>
      </c>
      <c r="AT43">
        <f>IF(AND(COUNTIF(Control!$E$20:$E$100,$B43)=0,COUNTIF(Control!$E$20:$E$100,AT$2)=0),VISUM_Arterial_OD!AT43*Control!$B$3,0)</f>
        <v>0</v>
      </c>
      <c r="AU43">
        <f>IF(AND(COUNTIF(Control!$E$20:$E$100,$B43)=0,COUNTIF(Control!$E$20:$E$100,AU$2)=0),VISUM_Arterial_OD!AU43*Control!$B$3,0)</f>
        <v>0</v>
      </c>
      <c r="AV43">
        <f>IF(AND(COUNTIF(Control!$E$20:$E$100,$B43)=0,COUNTIF(Control!$E$20:$E$100,AV$2)=0),VISUM_Arterial_OD!AV43*Control!$B$3,0)</f>
        <v>0</v>
      </c>
      <c r="AW43">
        <f>IF(AND(COUNTIF(Control!$E$20:$E$100,$B43)=0,COUNTIF(Control!$E$20:$E$100,AW$2)=0),VISUM_Arterial_OD!AW43*Control!$B$3,0)</f>
        <v>0</v>
      </c>
      <c r="AX43">
        <f>IF(AND(COUNTIF(Control!$E$20:$E$100,$B43)=0,COUNTIF(Control!$E$20:$E$100,AX$2)=0),VISUM_Arterial_OD!AX43*Control!$B$3,0)</f>
        <v>0</v>
      </c>
      <c r="AY43">
        <f>IF(AND(COUNTIF(Control!$E$20:$E$100,$B43)=0,COUNTIF(Control!$E$20:$E$100,AY$2)=0),VISUM_Arterial_OD!AY43*Control!$B$3,0)</f>
        <v>0</v>
      </c>
      <c r="AZ43">
        <f>IF(AND(COUNTIF(Control!$E$20:$E$100,$B43)=0,COUNTIF(Control!$E$20:$E$100,AZ$2)=0),VISUM_Arterial_OD!AZ43*Control!$B$3,0)</f>
        <v>0</v>
      </c>
      <c r="BA43">
        <f>IF(AND(COUNTIF(Control!$E$20:$E$100,$B43)=0,COUNTIF(Control!$E$20:$E$100,BA$2)=0),VISUM_Arterial_OD!BA43*Control!$B$3,0)</f>
        <v>0</v>
      </c>
      <c r="BB43">
        <f>IF(AND(COUNTIF(Control!$E$20:$E$100,$B43)=0,COUNTIF(Control!$E$20:$E$100,BB$2)=0),VISUM_Arterial_OD!BB43*Control!$B$3,0)</f>
        <v>0</v>
      </c>
      <c r="BC43">
        <f>IF(AND(COUNTIF(Control!$E$20:$E$100,$B43)=0,COUNTIF(Control!$E$20:$E$100,BC$2)=0),VISUM_Arterial_OD!BC43*Control!$B$3,0)</f>
        <v>0</v>
      </c>
      <c r="BD43">
        <f>IF(AND(COUNTIF(Control!$E$20:$E$100,$B43)=0,COUNTIF(Control!$E$20:$E$100,BD$2)=0),VISUM_Arterial_OD!BD43*Control!$B$3,0)</f>
        <v>0</v>
      </c>
      <c r="BE43">
        <f>IF(AND(COUNTIF(Control!$E$20:$E$100,$B43)=0,COUNTIF(Control!$E$20:$E$100,BE$2)=0),VISUM_Arterial_OD!BE43*Control!$B$3,0)</f>
        <v>0</v>
      </c>
      <c r="BF43">
        <f>IF(AND(COUNTIF(Control!$E$20:$E$100,$B43)=0,COUNTIF(Control!$E$20:$E$100,BF$2)=0),VISUM_Arterial_OD!BF43*Control!$B$3,0)</f>
        <v>0</v>
      </c>
      <c r="BG43">
        <f>IF(AND(COUNTIF(Control!$E$20:$E$100,$B43)=0,COUNTIF(Control!$E$20:$E$100,BG$2)=0),VISUM_Arterial_OD!BG43*Control!$B$3,0)</f>
        <v>0</v>
      </c>
      <c r="BH43">
        <f>IF(AND(COUNTIF(Control!$E$20:$E$100,$B43)=0,COUNTIF(Control!$E$20:$E$100,BH$2)=0),VISUM_Arterial_OD!BH43*Control!$B$3,0)</f>
        <v>0</v>
      </c>
      <c r="BI43">
        <f>IF(AND(COUNTIF(Control!$E$20:$E$100,$B43)=0,COUNTIF(Control!$E$20:$E$100,BI$2)=0),VISUM_Arterial_OD!BI43*Control!$B$3,0)</f>
        <v>0</v>
      </c>
      <c r="BJ43">
        <f>IF(AND(COUNTIF(Control!$E$20:$E$100,$B43)=0,COUNTIF(Control!$E$20:$E$100,BJ$2)=0),VISUM_Arterial_OD!BJ43*Control!$B$3,0)</f>
        <v>0</v>
      </c>
      <c r="BK43">
        <f>IF(AND(COUNTIF(Control!$E$20:$E$100,$B43)=0,COUNTIF(Control!$E$20:$E$100,BK$2)=0),VISUM_Arterial_OD!BK43*Control!$B$3,0)</f>
        <v>0</v>
      </c>
      <c r="BL43">
        <f>IF(AND(COUNTIF(Control!$E$20:$E$100,$B43)=0,COUNTIF(Control!$E$20:$E$100,BL$2)=0),VISUM_Arterial_OD!BL43*Control!$B$3,0)</f>
        <v>0</v>
      </c>
      <c r="BM43">
        <f>IF(AND(COUNTIF(Control!$E$20:$E$100,$B43)=0,COUNTIF(Control!$E$20:$E$100,BM$2)=0),VISUM_Arterial_OD!BM43*Control!$B$3,0)</f>
        <v>0</v>
      </c>
      <c r="BN43">
        <f>IF(AND(COUNTIF(Control!$E$20:$E$100,$B43)=0,COUNTIF(Control!$E$20:$E$100,BN$2)=0),VISUM_Arterial_OD!BN43*Control!$B$3,0)</f>
        <v>0</v>
      </c>
      <c r="BO43">
        <f>IF(AND(COUNTIF(Control!$E$20:$E$100,$B43)=0,COUNTIF(Control!$E$20:$E$100,BO$2)=0),VISUM_Arterial_OD!BO43*Control!$B$3,0)</f>
        <v>0</v>
      </c>
      <c r="BP43">
        <f>IF(AND(COUNTIF(Control!$E$20:$E$100,$B43)=0,COUNTIF(Control!$E$20:$E$100,BP$2)=0),VISUM_Arterial_OD!BP43*Control!$B$3,0)</f>
        <v>0</v>
      </c>
      <c r="BQ43">
        <f>IF(AND(COUNTIF(Control!$E$20:$E$100,$B43)=0,COUNTIF(Control!$E$20:$E$100,BQ$2)=0),VISUM_Arterial_OD!BQ43*Control!$B$3,0)</f>
        <v>0</v>
      </c>
    </row>
    <row r="44" spans="1:69" x14ac:dyDescent="0.25">
      <c r="A44" s="5">
        <f>IF(VLOOKUP(B44,Arterial_Zone_Link_Mapping!$A:$C,2,FALSE)&lt;&gt;"",VLOOKUP(B44,Arterial_Zone_Link_Mapping!$A:$C,2,FALSE),"")</f>
        <v>369</v>
      </c>
      <c r="B44" s="5">
        <v>66</v>
      </c>
      <c r="C44">
        <f>IF(AND(COUNTIF(Control!$E$20:$E$100,$B44)=0,COUNTIF(Control!$E$20:$E$100,C$2)=0),VISUM_Arterial_OD!C44*Control!$B$3,0)</f>
        <v>2.56306053</v>
      </c>
      <c r="D44">
        <f>IF(AND(COUNTIF(Control!$E$20:$E$100,$B44)=0,COUNTIF(Control!$E$20:$E$100,D$2)=0),VISUM_Arterial_OD!D44*Control!$B$3,0)</f>
        <v>2.6977499999999998E-2</v>
      </c>
      <c r="E44">
        <f>IF(AND(COUNTIF(Control!$E$20:$E$100,$B44)=0,COUNTIF(Control!$E$20:$E$100,E$2)=0),VISUM_Arterial_OD!E44*Control!$B$3,0)</f>
        <v>0</v>
      </c>
      <c r="F44">
        <f>IF(AND(COUNTIF(Control!$E$20:$E$100,$B44)=0,COUNTIF(Control!$E$20:$E$100,F$2)=0),VISUM_Arterial_OD!F44*Control!$B$3,0)</f>
        <v>0</v>
      </c>
      <c r="G44">
        <f>IF(AND(COUNTIF(Control!$E$20:$E$100,$B44)=0,COUNTIF(Control!$E$20:$E$100,G$2)=0),VISUM_Arterial_OD!G44*Control!$B$3,0)</f>
        <v>0</v>
      </c>
      <c r="H44">
        <f>IF(AND(COUNTIF(Control!$E$20:$E$100,$B44)=0,COUNTIF(Control!$E$20:$E$100,H$2)=0),VISUM_Arterial_OD!H44*Control!$B$3,0)</f>
        <v>0</v>
      </c>
      <c r="I44">
        <f>IF(AND(COUNTIF(Control!$E$20:$E$100,$B44)=0,COUNTIF(Control!$E$20:$E$100,I$2)=0),VISUM_Arterial_OD!I44*Control!$B$3,0)</f>
        <v>0</v>
      </c>
      <c r="J44">
        <f>IF(AND(COUNTIF(Control!$E$20:$E$100,$B44)=0,COUNTIF(Control!$E$20:$E$100,J$2)=0),VISUM_Arterial_OD!J44*Control!$B$3,0)</f>
        <v>0.13112300999999998</v>
      </c>
      <c r="K44">
        <f>IF(AND(COUNTIF(Control!$E$20:$E$100,$B44)=0,COUNTIF(Control!$E$20:$E$100,K$2)=0),VISUM_Arterial_OD!K44*Control!$B$3,0)</f>
        <v>0.57365082000000001</v>
      </c>
      <c r="L44">
        <f>IF(AND(COUNTIF(Control!$E$20:$E$100,$B44)=0,COUNTIF(Control!$E$20:$E$100,L$2)=0),VISUM_Arterial_OD!L44*Control!$B$3,0)</f>
        <v>0.86617862999999995</v>
      </c>
      <c r="M44">
        <f>IF(AND(COUNTIF(Control!$E$20:$E$100,$B44)=0,COUNTIF(Control!$E$20:$E$100,M$2)=0),VISUM_Arterial_OD!M44*Control!$B$3,0)</f>
        <v>0</v>
      </c>
      <c r="N44">
        <f>IF(AND(COUNTIF(Control!$E$20:$E$100,$B44)=0,COUNTIF(Control!$E$20:$E$100,N$2)=0),VISUM_Arterial_OD!N44*Control!$B$3,0)</f>
        <v>0</v>
      </c>
      <c r="O44">
        <f>IF(AND(COUNTIF(Control!$E$20:$E$100,$B44)=0,COUNTIF(Control!$E$20:$E$100,O$2)=0),VISUM_Arterial_OD!O44*Control!$B$3,0)</f>
        <v>0.18066633000000001</v>
      </c>
      <c r="P44">
        <f>IF(AND(COUNTIF(Control!$E$20:$E$100,$B44)=0,COUNTIF(Control!$E$20:$E$100,P$2)=0),VISUM_Arterial_OD!P44*Control!$B$3,0)</f>
        <v>0.10469915999999999</v>
      </c>
      <c r="Q44">
        <f>IF(AND(COUNTIF(Control!$E$20:$E$100,$B44)=0,COUNTIF(Control!$E$20:$E$100,Q$2)=0),VISUM_Arterial_OD!Q44*Control!$B$3,0)</f>
        <v>0</v>
      </c>
      <c r="R44">
        <f>IF(AND(COUNTIF(Control!$E$20:$E$100,$B44)=0,COUNTIF(Control!$E$20:$E$100,R$2)=0),VISUM_Arterial_OD!R44*Control!$B$3,0)</f>
        <v>0</v>
      </c>
      <c r="S44">
        <f>IF(AND(COUNTIF(Control!$E$20:$E$100,$B44)=0,COUNTIF(Control!$E$20:$E$100,S$2)=0),VISUM_Arterial_OD!S44*Control!$B$3,0)</f>
        <v>11.398822319999999</v>
      </c>
      <c r="T44">
        <f>IF(AND(COUNTIF(Control!$E$20:$E$100,$B44)=0,COUNTIF(Control!$E$20:$E$100,T$2)=0),VISUM_Arterial_OD!T44*Control!$B$3,0)</f>
        <v>0</v>
      </c>
      <c r="U44">
        <f>IF(AND(COUNTIF(Control!$E$20:$E$100,$B44)=0,COUNTIF(Control!$E$20:$E$100,U$2)=0),VISUM_Arterial_OD!U44*Control!$B$3,0)</f>
        <v>0</v>
      </c>
      <c r="V44">
        <f>IF(AND(COUNTIF(Control!$E$20:$E$100,$B44)=0,COUNTIF(Control!$E$20:$E$100,V$2)=0),VISUM_Arterial_OD!V44*Control!$B$3,0)</f>
        <v>0</v>
      </c>
      <c r="W44">
        <f>IF(AND(COUNTIF(Control!$E$20:$E$100,$B44)=0,COUNTIF(Control!$E$20:$E$100,W$2)=0),VISUM_Arterial_OD!W44*Control!$B$3,0)</f>
        <v>0</v>
      </c>
      <c r="X44">
        <f>IF(AND(COUNTIF(Control!$E$20:$E$100,$B44)=0,COUNTIF(Control!$E$20:$E$100,X$2)=0),VISUM_Arterial_OD!X44*Control!$B$3,0)</f>
        <v>0</v>
      </c>
      <c r="Y44">
        <f>IF(AND(COUNTIF(Control!$E$20:$E$100,$B44)=0,COUNTIF(Control!$E$20:$E$100,Y$2)=0),VISUM_Arterial_OD!Y44*Control!$B$3,0)</f>
        <v>0</v>
      </c>
      <c r="Z44">
        <f>IF(AND(COUNTIF(Control!$E$20:$E$100,$B44)=0,COUNTIF(Control!$E$20:$E$100,Z$2)=0),VISUM_Arterial_OD!Z44*Control!$B$3,0)</f>
        <v>0.53378607</v>
      </c>
      <c r="AA44">
        <f>IF(AND(COUNTIF(Control!$E$20:$E$100,$B44)=0,COUNTIF(Control!$E$20:$E$100,AA$2)=0),VISUM_Arterial_OD!AA44*Control!$B$3,0)</f>
        <v>0</v>
      </c>
      <c r="AB44">
        <f>IF(AND(COUNTIF(Control!$E$20:$E$100,$B44)=0,COUNTIF(Control!$E$20:$E$100,AB$2)=0),VISUM_Arterial_OD!AB44*Control!$B$3,0)</f>
        <v>1.7830793999999999</v>
      </c>
      <c r="AC44">
        <f>IF(AND(COUNTIF(Control!$E$20:$E$100,$B44)=0,COUNTIF(Control!$E$20:$E$100,AC$2)=0),VISUM_Arterial_OD!AC44*Control!$B$3,0)</f>
        <v>0.11476022999999999</v>
      </c>
      <c r="AD44">
        <f>IF(AND(COUNTIF(Control!$E$20:$E$100,$B44)=0,COUNTIF(Control!$E$20:$E$100,AD$2)=0),VISUM_Arterial_OD!AD44*Control!$B$3,0)</f>
        <v>0</v>
      </c>
      <c r="AE44">
        <f>IF(AND(COUNTIF(Control!$E$20:$E$100,$B44)=0,COUNTIF(Control!$E$20:$E$100,AE$2)=0),VISUM_Arterial_OD!AE44*Control!$B$3,0)</f>
        <v>0</v>
      </c>
      <c r="AF44">
        <f>IF(AND(COUNTIF(Control!$E$20:$E$100,$B44)=0,COUNTIF(Control!$E$20:$E$100,AF$2)=0),VISUM_Arterial_OD!AF44*Control!$B$3,0)</f>
        <v>0</v>
      </c>
      <c r="AG44">
        <f>IF(AND(COUNTIF(Control!$E$20:$E$100,$B44)=0,COUNTIF(Control!$E$20:$E$100,AG$2)=0),VISUM_Arterial_OD!AG44*Control!$B$3,0)</f>
        <v>0</v>
      </c>
      <c r="AH44">
        <f>IF(AND(COUNTIF(Control!$E$20:$E$100,$B44)=0,COUNTIF(Control!$E$20:$E$100,AH$2)=0),VISUM_Arterial_OD!AH44*Control!$B$3,0)</f>
        <v>0</v>
      </c>
      <c r="AI44">
        <f>IF(AND(COUNTIF(Control!$E$20:$E$100,$B44)=0,COUNTIF(Control!$E$20:$E$100,AI$2)=0),VISUM_Arterial_OD!AI44*Control!$B$3,0)</f>
        <v>0</v>
      </c>
      <c r="AJ44">
        <f>IF(AND(COUNTIF(Control!$E$20:$E$100,$B44)=0,COUNTIF(Control!$E$20:$E$100,AJ$2)=0),VISUM_Arterial_OD!AJ44*Control!$B$3,0)</f>
        <v>0</v>
      </c>
      <c r="AK44">
        <f>IF(AND(COUNTIF(Control!$E$20:$E$100,$B44)=0,COUNTIF(Control!$E$20:$E$100,AK$2)=0),VISUM_Arterial_OD!AK44*Control!$B$3,0)</f>
        <v>0</v>
      </c>
      <c r="AL44">
        <f>IF(AND(COUNTIF(Control!$E$20:$E$100,$B44)=0,COUNTIF(Control!$E$20:$E$100,AL$2)=0),VISUM_Arterial_OD!AL44*Control!$B$3,0)</f>
        <v>0.17192336999999999</v>
      </c>
      <c r="AM44">
        <f>IF(AND(COUNTIF(Control!$E$20:$E$100,$B44)=0,COUNTIF(Control!$E$20:$E$100,AM$2)=0),VISUM_Arterial_OD!AM44*Control!$B$3,0)</f>
        <v>0</v>
      </c>
      <c r="AN44">
        <f>IF(AND(COUNTIF(Control!$E$20:$E$100,$B44)=0,COUNTIF(Control!$E$20:$E$100,AN$2)=0),VISUM_Arterial_OD!AN44*Control!$B$3,0)</f>
        <v>1.07351211</v>
      </c>
      <c r="AO44">
        <f>IF(AND(COUNTIF(Control!$E$20:$E$100,$B44)=0,COUNTIF(Control!$E$20:$E$100,AO$2)=0),VISUM_Arterial_OD!AO44*Control!$B$3,0)</f>
        <v>0</v>
      </c>
      <c r="AP44">
        <f>IF(AND(COUNTIF(Control!$E$20:$E$100,$B44)=0,COUNTIF(Control!$E$20:$E$100,AP$2)=0),VISUM_Arterial_OD!AP44*Control!$B$3,0)</f>
        <v>0</v>
      </c>
      <c r="AQ44">
        <f>IF(AND(COUNTIF(Control!$E$20:$E$100,$B44)=0,COUNTIF(Control!$E$20:$E$100,AQ$2)=0),VISUM_Arterial_OD!AQ44*Control!$B$3,0)</f>
        <v>0</v>
      </c>
      <c r="AR44">
        <f>IF(AND(COUNTIF(Control!$E$20:$E$100,$B44)=0,COUNTIF(Control!$E$20:$E$100,AR$2)=0),VISUM_Arterial_OD!AR44*Control!$B$3,0)</f>
        <v>0</v>
      </c>
      <c r="AS44">
        <f>IF(AND(COUNTIF(Control!$E$20:$E$100,$B44)=0,COUNTIF(Control!$E$20:$E$100,AS$2)=0),VISUM_Arterial_OD!AS44*Control!$B$3,0)</f>
        <v>0</v>
      </c>
      <c r="AT44">
        <f>IF(AND(COUNTIF(Control!$E$20:$E$100,$B44)=0,COUNTIF(Control!$E$20:$E$100,AT$2)=0),VISUM_Arterial_OD!AT44*Control!$B$3,0)</f>
        <v>0</v>
      </c>
      <c r="AU44">
        <f>IF(AND(COUNTIF(Control!$E$20:$E$100,$B44)=0,COUNTIF(Control!$E$20:$E$100,AU$2)=0),VISUM_Arterial_OD!AU44*Control!$B$3,0)</f>
        <v>0</v>
      </c>
      <c r="AV44">
        <f>IF(AND(COUNTIF(Control!$E$20:$E$100,$B44)=0,COUNTIF(Control!$E$20:$E$100,AV$2)=0),VISUM_Arterial_OD!AV44*Control!$B$3,0)</f>
        <v>0</v>
      </c>
      <c r="AW44">
        <f>IF(AND(COUNTIF(Control!$E$20:$E$100,$B44)=0,COUNTIF(Control!$E$20:$E$100,AW$2)=0),VISUM_Arterial_OD!AW44*Control!$B$3,0)</f>
        <v>0</v>
      </c>
      <c r="AX44">
        <f>IF(AND(COUNTIF(Control!$E$20:$E$100,$B44)=0,COUNTIF(Control!$E$20:$E$100,AX$2)=0),VISUM_Arterial_OD!AX44*Control!$B$3,0)</f>
        <v>0.14048405999999999</v>
      </c>
      <c r="AY44">
        <f>IF(AND(COUNTIF(Control!$E$20:$E$100,$B44)=0,COUNTIF(Control!$E$20:$E$100,AY$2)=0),VISUM_Arterial_OD!AY44*Control!$B$3,0)</f>
        <v>0</v>
      </c>
      <c r="AZ44">
        <f>IF(AND(COUNTIF(Control!$E$20:$E$100,$B44)=0,COUNTIF(Control!$E$20:$E$100,AZ$2)=0),VISUM_Arterial_OD!AZ44*Control!$B$3,0)</f>
        <v>0</v>
      </c>
      <c r="BA44">
        <f>IF(AND(COUNTIF(Control!$E$20:$E$100,$B44)=0,COUNTIF(Control!$E$20:$E$100,BA$2)=0),VISUM_Arterial_OD!BA44*Control!$B$3,0)</f>
        <v>0</v>
      </c>
      <c r="BB44">
        <f>IF(AND(COUNTIF(Control!$E$20:$E$100,$B44)=0,COUNTIF(Control!$E$20:$E$100,BB$2)=0),VISUM_Arterial_OD!BB44*Control!$B$3,0)</f>
        <v>0</v>
      </c>
      <c r="BC44">
        <f>IF(AND(COUNTIF(Control!$E$20:$E$100,$B44)=0,COUNTIF(Control!$E$20:$E$100,BC$2)=0),VISUM_Arterial_OD!BC44*Control!$B$3,0)</f>
        <v>0</v>
      </c>
      <c r="BD44">
        <f>IF(AND(COUNTIF(Control!$E$20:$E$100,$B44)=0,COUNTIF(Control!$E$20:$E$100,BD$2)=0),VISUM_Arterial_OD!BD44*Control!$B$3,0)</f>
        <v>0</v>
      </c>
      <c r="BE44">
        <f>IF(AND(COUNTIF(Control!$E$20:$E$100,$B44)=0,COUNTIF(Control!$E$20:$E$100,BE$2)=0),VISUM_Arterial_OD!BE44*Control!$B$3,0)</f>
        <v>0</v>
      </c>
      <c r="BF44">
        <f>IF(AND(COUNTIF(Control!$E$20:$E$100,$B44)=0,COUNTIF(Control!$E$20:$E$100,BF$2)=0),VISUM_Arterial_OD!BF44*Control!$B$3,0)</f>
        <v>0</v>
      </c>
      <c r="BG44">
        <f>IF(AND(COUNTIF(Control!$E$20:$E$100,$B44)=0,COUNTIF(Control!$E$20:$E$100,BG$2)=0),VISUM_Arterial_OD!BG44*Control!$B$3,0)</f>
        <v>0</v>
      </c>
      <c r="BH44">
        <f>IF(AND(COUNTIF(Control!$E$20:$E$100,$B44)=0,COUNTIF(Control!$E$20:$E$100,BH$2)=0),VISUM_Arterial_OD!BH44*Control!$B$3,0)</f>
        <v>0</v>
      </c>
      <c r="BI44">
        <f>IF(AND(COUNTIF(Control!$E$20:$E$100,$B44)=0,COUNTIF(Control!$E$20:$E$100,BI$2)=0),VISUM_Arterial_OD!BI44*Control!$B$3,0)</f>
        <v>0</v>
      </c>
      <c r="BJ44">
        <f>IF(AND(COUNTIF(Control!$E$20:$E$100,$B44)=0,COUNTIF(Control!$E$20:$E$100,BJ$2)=0),VISUM_Arterial_OD!BJ44*Control!$B$3,0)</f>
        <v>0</v>
      </c>
      <c r="BK44">
        <f>IF(AND(COUNTIF(Control!$E$20:$E$100,$B44)=0,COUNTIF(Control!$E$20:$E$100,BK$2)=0),VISUM_Arterial_OD!BK44*Control!$B$3,0)</f>
        <v>0</v>
      </c>
      <c r="BL44">
        <f>IF(AND(COUNTIF(Control!$E$20:$E$100,$B44)=0,COUNTIF(Control!$E$20:$E$100,BL$2)=0),VISUM_Arterial_OD!BL44*Control!$B$3,0)</f>
        <v>0</v>
      </c>
      <c r="BM44">
        <f>IF(AND(COUNTIF(Control!$E$20:$E$100,$B44)=0,COUNTIF(Control!$E$20:$E$100,BM$2)=0),VISUM_Arterial_OD!BM44*Control!$B$3,0)</f>
        <v>0</v>
      </c>
      <c r="BN44">
        <f>IF(AND(COUNTIF(Control!$E$20:$E$100,$B44)=0,COUNTIF(Control!$E$20:$E$100,BN$2)=0),VISUM_Arterial_OD!BN44*Control!$B$3,0)</f>
        <v>0</v>
      </c>
      <c r="BO44">
        <f>IF(AND(COUNTIF(Control!$E$20:$E$100,$B44)=0,COUNTIF(Control!$E$20:$E$100,BO$2)=0),VISUM_Arterial_OD!BO44*Control!$B$3,0)</f>
        <v>5.3723626499999995</v>
      </c>
      <c r="BP44">
        <f>IF(AND(COUNTIF(Control!$E$20:$E$100,$B44)=0,COUNTIF(Control!$E$20:$E$100,BP$2)=0),VISUM_Arterial_OD!BP44*Control!$B$3,0)</f>
        <v>0</v>
      </c>
      <c r="BQ44">
        <f>IF(AND(COUNTIF(Control!$E$20:$E$100,$B44)=0,COUNTIF(Control!$E$20:$E$100,BQ$2)=0),VISUM_Arterial_OD!BQ44*Control!$B$3,0)</f>
        <v>2.5614176400000002</v>
      </c>
    </row>
    <row r="45" spans="1:69" x14ac:dyDescent="0.25">
      <c r="A45" s="5" t="str">
        <f>IF(VLOOKUP(B45,Arterial_Zone_Link_Mapping!$A:$C,2,FALSE)&lt;&gt;"",VLOOKUP(B45,Arterial_Zone_Link_Mapping!$A:$C,2,FALSE),"")</f>
        <v/>
      </c>
      <c r="B45" s="5">
        <v>67</v>
      </c>
      <c r="C45">
        <f>IF(AND(COUNTIF(Control!$E$20:$E$100,$B45)=0,COUNTIF(Control!$E$20:$E$100,C$2)=0),VISUM_Arterial_OD!C45*Control!$B$3,0)</f>
        <v>0</v>
      </c>
      <c r="D45">
        <f>IF(AND(COUNTIF(Control!$E$20:$E$100,$B45)=0,COUNTIF(Control!$E$20:$E$100,D$2)=0),VISUM_Arterial_OD!D45*Control!$B$3,0)</f>
        <v>0</v>
      </c>
      <c r="E45">
        <f>IF(AND(COUNTIF(Control!$E$20:$E$100,$B45)=0,COUNTIF(Control!$E$20:$E$100,E$2)=0),VISUM_Arterial_OD!E45*Control!$B$3,0)</f>
        <v>0</v>
      </c>
      <c r="F45">
        <f>IF(AND(COUNTIF(Control!$E$20:$E$100,$B45)=0,COUNTIF(Control!$E$20:$E$100,F$2)=0),VISUM_Arterial_OD!F45*Control!$B$3,0)</f>
        <v>0</v>
      </c>
      <c r="G45">
        <f>IF(AND(COUNTIF(Control!$E$20:$E$100,$B45)=0,COUNTIF(Control!$E$20:$E$100,G$2)=0),VISUM_Arterial_OD!G45*Control!$B$3,0)</f>
        <v>0</v>
      </c>
      <c r="H45">
        <f>IF(AND(COUNTIF(Control!$E$20:$E$100,$B45)=0,COUNTIF(Control!$E$20:$E$100,H$2)=0),VISUM_Arterial_OD!H45*Control!$B$3,0)</f>
        <v>0</v>
      </c>
      <c r="I45">
        <f>IF(AND(COUNTIF(Control!$E$20:$E$100,$B45)=0,COUNTIF(Control!$E$20:$E$100,I$2)=0),VISUM_Arterial_OD!I45*Control!$B$3,0)</f>
        <v>0</v>
      </c>
      <c r="J45">
        <f>IF(AND(COUNTIF(Control!$E$20:$E$100,$B45)=0,COUNTIF(Control!$E$20:$E$100,J$2)=0),VISUM_Arterial_OD!J45*Control!$B$3,0)</f>
        <v>0</v>
      </c>
      <c r="K45">
        <f>IF(AND(COUNTIF(Control!$E$20:$E$100,$B45)=0,COUNTIF(Control!$E$20:$E$100,K$2)=0),VISUM_Arterial_OD!K45*Control!$B$3,0)</f>
        <v>0</v>
      </c>
      <c r="L45">
        <f>IF(AND(COUNTIF(Control!$E$20:$E$100,$B45)=0,COUNTIF(Control!$E$20:$E$100,L$2)=0),VISUM_Arterial_OD!L45*Control!$B$3,0)</f>
        <v>0</v>
      </c>
      <c r="M45">
        <f>IF(AND(COUNTIF(Control!$E$20:$E$100,$B45)=0,COUNTIF(Control!$E$20:$E$100,M$2)=0),VISUM_Arterial_OD!M45*Control!$B$3,0)</f>
        <v>0</v>
      </c>
      <c r="N45">
        <f>IF(AND(COUNTIF(Control!$E$20:$E$100,$B45)=0,COUNTIF(Control!$E$20:$E$100,N$2)=0),VISUM_Arterial_OD!N45*Control!$B$3,0)</f>
        <v>0</v>
      </c>
      <c r="O45">
        <f>IF(AND(COUNTIF(Control!$E$20:$E$100,$B45)=0,COUNTIF(Control!$E$20:$E$100,O$2)=0),VISUM_Arterial_OD!O45*Control!$B$3,0)</f>
        <v>0</v>
      </c>
      <c r="P45">
        <f>IF(AND(COUNTIF(Control!$E$20:$E$100,$B45)=0,COUNTIF(Control!$E$20:$E$100,P$2)=0),VISUM_Arterial_OD!P45*Control!$B$3,0)</f>
        <v>0</v>
      </c>
      <c r="Q45">
        <f>IF(AND(COUNTIF(Control!$E$20:$E$100,$B45)=0,COUNTIF(Control!$E$20:$E$100,Q$2)=0),VISUM_Arterial_OD!Q45*Control!$B$3,0)</f>
        <v>0</v>
      </c>
      <c r="R45">
        <f>IF(AND(COUNTIF(Control!$E$20:$E$100,$B45)=0,COUNTIF(Control!$E$20:$E$100,R$2)=0),VISUM_Arterial_OD!R45*Control!$B$3,0)</f>
        <v>0</v>
      </c>
      <c r="S45">
        <f>IF(AND(COUNTIF(Control!$E$20:$E$100,$B45)=0,COUNTIF(Control!$E$20:$E$100,S$2)=0),VISUM_Arterial_OD!S45*Control!$B$3,0)</f>
        <v>0</v>
      </c>
      <c r="T45">
        <f>IF(AND(COUNTIF(Control!$E$20:$E$100,$B45)=0,COUNTIF(Control!$E$20:$E$100,T$2)=0),VISUM_Arterial_OD!T45*Control!$B$3,0)</f>
        <v>0</v>
      </c>
      <c r="U45">
        <f>IF(AND(COUNTIF(Control!$E$20:$E$100,$B45)=0,COUNTIF(Control!$E$20:$E$100,U$2)=0),VISUM_Arterial_OD!U45*Control!$B$3,0)</f>
        <v>0</v>
      </c>
      <c r="V45">
        <f>IF(AND(COUNTIF(Control!$E$20:$E$100,$B45)=0,COUNTIF(Control!$E$20:$E$100,V$2)=0),VISUM_Arterial_OD!V45*Control!$B$3,0)</f>
        <v>0</v>
      </c>
      <c r="W45">
        <f>IF(AND(COUNTIF(Control!$E$20:$E$100,$B45)=0,COUNTIF(Control!$E$20:$E$100,W$2)=0),VISUM_Arterial_OD!W45*Control!$B$3,0)</f>
        <v>0</v>
      </c>
      <c r="X45">
        <f>IF(AND(COUNTIF(Control!$E$20:$E$100,$B45)=0,COUNTIF(Control!$E$20:$E$100,X$2)=0),VISUM_Arterial_OD!X45*Control!$B$3,0)</f>
        <v>0</v>
      </c>
      <c r="Y45">
        <f>IF(AND(COUNTIF(Control!$E$20:$E$100,$B45)=0,COUNTIF(Control!$E$20:$E$100,Y$2)=0),VISUM_Arterial_OD!Y45*Control!$B$3,0)</f>
        <v>0</v>
      </c>
      <c r="Z45">
        <f>IF(AND(COUNTIF(Control!$E$20:$E$100,$B45)=0,COUNTIF(Control!$E$20:$E$100,Z$2)=0),VISUM_Arterial_OD!Z45*Control!$B$3,0)</f>
        <v>0</v>
      </c>
      <c r="AA45">
        <f>IF(AND(COUNTIF(Control!$E$20:$E$100,$B45)=0,COUNTIF(Control!$E$20:$E$100,AA$2)=0),VISUM_Arterial_OD!AA45*Control!$B$3,0)</f>
        <v>0</v>
      </c>
      <c r="AB45">
        <f>IF(AND(COUNTIF(Control!$E$20:$E$100,$B45)=0,COUNTIF(Control!$E$20:$E$100,AB$2)=0),VISUM_Arterial_OD!AB45*Control!$B$3,0)</f>
        <v>0</v>
      </c>
      <c r="AC45">
        <f>IF(AND(COUNTIF(Control!$E$20:$E$100,$B45)=0,COUNTIF(Control!$E$20:$E$100,AC$2)=0),VISUM_Arterial_OD!AC45*Control!$B$3,0)</f>
        <v>0</v>
      </c>
      <c r="AD45">
        <f>IF(AND(COUNTIF(Control!$E$20:$E$100,$B45)=0,COUNTIF(Control!$E$20:$E$100,AD$2)=0),VISUM_Arterial_OD!AD45*Control!$B$3,0)</f>
        <v>0</v>
      </c>
      <c r="AE45">
        <f>IF(AND(COUNTIF(Control!$E$20:$E$100,$B45)=0,COUNTIF(Control!$E$20:$E$100,AE$2)=0),VISUM_Arterial_OD!AE45*Control!$B$3,0)</f>
        <v>0</v>
      </c>
      <c r="AF45">
        <f>IF(AND(COUNTIF(Control!$E$20:$E$100,$B45)=0,COUNTIF(Control!$E$20:$E$100,AF$2)=0),VISUM_Arterial_OD!AF45*Control!$B$3,0)</f>
        <v>0</v>
      </c>
      <c r="AG45">
        <f>IF(AND(COUNTIF(Control!$E$20:$E$100,$B45)=0,COUNTIF(Control!$E$20:$E$100,AG$2)=0),VISUM_Arterial_OD!AG45*Control!$B$3,0)</f>
        <v>0</v>
      </c>
      <c r="AH45">
        <f>IF(AND(COUNTIF(Control!$E$20:$E$100,$B45)=0,COUNTIF(Control!$E$20:$E$100,AH$2)=0),VISUM_Arterial_OD!AH45*Control!$B$3,0)</f>
        <v>0</v>
      </c>
      <c r="AI45">
        <f>IF(AND(COUNTIF(Control!$E$20:$E$100,$B45)=0,COUNTIF(Control!$E$20:$E$100,AI$2)=0),VISUM_Arterial_OD!AI45*Control!$B$3,0)</f>
        <v>0</v>
      </c>
      <c r="AJ45">
        <f>IF(AND(COUNTIF(Control!$E$20:$E$100,$B45)=0,COUNTIF(Control!$E$20:$E$100,AJ$2)=0),VISUM_Arterial_OD!AJ45*Control!$B$3,0)</f>
        <v>0</v>
      </c>
      <c r="AK45">
        <f>IF(AND(COUNTIF(Control!$E$20:$E$100,$B45)=0,COUNTIF(Control!$E$20:$E$100,AK$2)=0),VISUM_Arterial_OD!AK45*Control!$B$3,0)</f>
        <v>0</v>
      </c>
      <c r="AL45">
        <f>IF(AND(COUNTIF(Control!$E$20:$E$100,$B45)=0,COUNTIF(Control!$E$20:$E$100,AL$2)=0),VISUM_Arterial_OD!AL45*Control!$B$3,0)</f>
        <v>0</v>
      </c>
      <c r="AM45">
        <f>IF(AND(COUNTIF(Control!$E$20:$E$100,$B45)=0,COUNTIF(Control!$E$20:$E$100,AM$2)=0),VISUM_Arterial_OD!AM45*Control!$B$3,0)</f>
        <v>0</v>
      </c>
      <c r="AN45">
        <f>IF(AND(COUNTIF(Control!$E$20:$E$100,$B45)=0,COUNTIF(Control!$E$20:$E$100,AN$2)=0),VISUM_Arterial_OD!AN45*Control!$B$3,0)</f>
        <v>0</v>
      </c>
      <c r="AO45">
        <f>IF(AND(COUNTIF(Control!$E$20:$E$100,$B45)=0,COUNTIF(Control!$E$20:$E$100,AO$2)=0),VISUM_Arterial_OD!AO45*Control!$B$3,0)</f>
        <v>0</v>
      </c>
      <c r="AP45">
        <f>IF(AND(COUNTIF(Control!$E$20:$E$100,$B45)=0,COUNTIF(Control!$E$20:$E$100,AP$2)=0),VISUM_Arterial_OD!AP45*Control!$B$3,0)</f>
        <v>0</v>
      </c>
      <c r="AQ45">
        <f>IF(AND(COUNTIF(Control!$E$20:$E$100,$B45)=0,COUNTIF(Control!$E$20:$E$100,AQ$2)=0),VISUM_Arterial_OD!AQ45*Control!$B$3,0)</f>
        <v>0</v>
      </c>
      <c r="AR45">
        <f>IF(AND(COUNTIF(Control!$E$20:$E$100,$B45)=0,COUNTIF(Control!$E$20:$E$100,AR$2)=0),VISUM_Arterial_OD!AR45*Control!$B$3,0)</f>
        <v>0</v>
      </c>
      <c r="AS45">
        <f>IF(AND(COUNTIF(Control!$E$20:$E$100,$B45)=0,COUNTIF(Control!$E$20:$E$100,AS$2)=0),VISUM_Arterial_OD!AS45*Control!$B$3,0)</f>
        <v>0</v>
      </c>
      <c r="AT45">
        <f>IF(AND(COUNTIF(Control!$E$20:$E$100,$B45)=0,COUNTIF(Control!$E$20:$E$100,AT$2)=0),VISUM_Arterial_OD!AT45*Control!$B$3,0)</f>
        <v>0</v>
      </c>
      <c r="AU45">
        <f>IF(AND(COUNTIF(Control!$E$20:$E$100,$B45)=0,COUNTIF(Control!$E$20:$E$100,AU$2)=0),VISUM_Arterial_OD!AU45*Control!$B$3,0)</f>
        <v>0</v>
      </c>
      <c r="AV45">
        <f>IF(AND(COUNTIF(Control!$E$20:$E$100,$B45)=0,COUNTIF(Control!$E$20:$E$100,AV$2)=0),VISUM_Arterial_OD!AV45*Control!$B$3,0)</f>
        <v>0</v>
      </c>
      <c r="AW45">
        <f>IF(AND(COUNTIF(Control!$E$20:$E$100,$B45)=0,COUNTIF(Control!$E$20:$E$100,AW$2)=0),VISUM_Arterial_OD!AW45*Control!$B$3,0)</f>
        <v>0</v>
      </c>
      <c r="AX45">
        <f>IF(AND(COUNTIF(Control!$E$20:$E$100,$B45)=0,COUNTIF(Control!$E$20:$E$100,AX$2)=0),VISUM_Arterial_OD!AX45*Control!$B$3,0)</f>
        <v>0</v>
      </c>
      <c r="AY45">
        <f>IF(AND(COUNTIF(Control!$E$20:$E$100,$B45)=0,COUNTIF(Control!$E$20:$E$100,AY$2)=0),VISUM_Arterial_OD!AY45*Control!$B$3,0)</f>
        <v>0</v>
      </c>
      <c r="AZ45">
        <f>IF(AND(COUNTIF(Control!$E$20:$E$100,$B45)=0,COUNTIF(Control!$E$20:$E$100,AZ$2)=0),VISUM_Arterial_OD!AZ45*Control!$B$3,0)</f>
        <v>0</v>
      </c>
      <c r="BA45">
        <f>IF(AND(COUNTIF(Control!$E$20:$E$100,$B45)=0,COUNTIF(Control!$E$20:$E$100,BA$2)=0),VISUM_Arterial_OD!BA45*Control!$B$3,0)</f>
        <v>0</v>
      </c>
      <c r="BB45">
        <f>IF(AND(COUNTIF(Control!$E$20:$E$100,$B45)=0,COUNTIF(Control!$E$20:$E$100,BB$2)=0),VISUM_Arterial_OD!BB45*Control!$B$3,0)</f>
        <v>0</v>
      </c>
      <c r="BC45">
        <f>IF(AND(COUNTIF(Control!$E$20:$E$100,$B45)=0,COUNTIF(Control!$E$20:$E$100,BC$2)=0),VISUM_Arterial_OD!BC45*Control!$B$3,0)</f>
        <v>0</v>
      </c>
      <c r="BD45">
        <f>IF(AND(COUNTIF(Control!$E$20:$E$100,$B45)=0,COUNTIF(Control!$E$20:$E$100,BD$2)=0),VISUM_Arterial_OD!BD45*Control!$B$3,0)</f>
        <v>0</v>
      </c>
      <c r="BE45">
        <f>IF(AND(COUNTIF(Control!$E$20:$E$100,$B45)=0,COUNTIF(Control!$E$20:$E$100,BE$2)=0),VISUM_Arterial_OD!BE45*Control!$B$3,0)</f>
        <v>0</v>
      </c>
      <c r="BF45">
        <f>IF(AND(COUNTIF(Control!$E$20:$E$100,$B45)=0,COUNTIF(Control!$E$20:$E$100,BF$2)=0),VISUM_Arterial_OD!BF45*Control!$B$3,0)</f>
        <v>0</v>
      </c>
      <c r="BG45">
        <f>IF(AND(COUNTIF(Control!$E$20:$E$100,$B45)=0,COUNTIF(Control!$E$20:$E$100,BG$2)=0),VISUM_Arterial_OD!BG45*Control!$B$3,0)</f>
        <v>0</v>
      </c>
      <c r="BH45">
        <f>IF(AND(COUNTIF(Control!$E$20:$E$100,$B45)=0,COUNTIF(Control!$E$20:$E$100,BH$2)=0),VISUM_Arterial_OD!BH45*Control!$B$3,0)</f>
        <v>0</v>
      </c>
      <c r="BI45">
        <f>IF(AND(COUNTIF(Control!$E$20:$E$100,$B45)=0,COUNTIF(Control!$E$20:$E$100,BI$2)=0),VISUM_Arterial_OD!BI45*Control!$B$3,0)</f>
        <v>0</v>
      </c>
      <c r="BJ45">
        <f>IF(AND(COUNTIF(Control!$E$20:$E$100,$B45)=0,COUNTIF(Control!$E$20:$E$100,BJ$2)=0),VISUM_Arterial_OD!BJ45*Control!$B$3,0)</f>
        <v>0</v>
      </c>
      <c r="BK45">
        <f>IF(AND(COUNTIF(Control!$E$20:$E$100,$B45)=0,COUNTIF(Control!$E$20:$E$100,BK$2)=0),VISUM_Arterial_OD!BK45*Control!$B$3,0)</f>
        <v>0</v>
      </c>
      <c r="BL45">
        <f>IF(AND(COUNTIF(Control!$E$20:$E$100,$B45)=0,COUNTIF(Control!$E$20:$E$100,BL$2)=0),VISUM_Arterial_OD!BL45*Control!$B$3,0)</f>
        <v>0</v>
      </c>
      <c r="BM45">
        <f>IF(AND(COUNTIF(Control!$E$20:$E$100,$B45)=0,COUNTIF(Control!$E$20:$E$100,BM$2)=0),VISUM_Arterial_OD!BM45*Control!$B$3,0)</f>
        <v>0</v>
      </c>
      <c r="BN45">
        <f>IF(AND(COUNTIF(Control!$E$20:$E$100,$B45)=0,COUNTIF(Control!$E$20:$E$100,BN$2)=0),VISUM_Arterial_OD!BN45*Control!$B$3,0)</f>
        <v>0</v>
      </c>
      <c r="BO45">
        <f>IF(AND(COUNTIF(Control!$E$20:$E$100,$B45)=0,COUNTIF(Control!$E$20:$E$100,BO$2)=0),VISUM_Arterial_OD!BO45*Control!$B$3,0)</f>
        <v>0</v>
      </c>
      <c r="BP45">
        <f>IF(AND(COUNTIF(Control!$E$20:$E$100,$B45)=0,COUNTIF(Control!$E$20:$E$100,BP$2)=0),VISUM_Arterial_OD!BP45*Control!$B$3,0)</f>
        <v>0</v>
      </c>
      <c r="BQ45">
        <f>IF(AND(COUNTIF(Control!$E$20:$E$100,$B45)=0,COUNTIF(Control!$E$20:$E$100,BQ$2)=0),VISUM_Arterial_OD!BQ45*Control!$B$3,0)</f>
        <v>0</v>
      </c>
    </row>
    <row r="46" spans="1:69" x14ac:dyDescent="0.25">
      <c r="A46" s="5">
        <f>IF(VLOOKUP(B46,Arterial_Zone_Link_Mapping!$A:$C,2,FALSE)&lt;&gt;"",VLOOKUP(B46,Arterial_Zone_Link_Mapping!$A:$C,2,FALSE),"")</f>
        <v>401</v>
      </c>
      <c r="B46" s="5">
        <v>68</v>
      </c>
      <c r="C46">
        <f>IF(AND(COUNTIF(Control!$E$20:$E$100,$B46)=0,COUNTIF(Control!$E$20:$E$100,C$2)=0),VISUM_Arterial_OD!C46*Control!$B$3,0)</f>
        <v>2.7380992799999997</v>
      </c>
      <c r="D46">
        <f>IF(AND(COUNTIF(Control!$E$20:$E$100,$B46)=0,COUNTIF(Control!$E$20:$E$100,D$2)=0),VISUM_Arterial_OD!D46*Control!$B$3,0)</f>
        <v>0.90127619999999997</v>
      </c>
      <c r="E46">
        <f>IF(AND(COUNTIF(Control!$E$20:$E$100,$B46)=0,COUNTIF(Control!$E$20:$E$100,E$2)=0),VISUM_Arterial_OD!E46*Control!$B$3,0)</f>
        <v>0</v>
      </c>
      <c r="F46">
        <f>IF(AND(COUNTIF(Control!$E$20:$E$100,$B46)=0,COUNTIF(Control!$E$20:$E$100,F$2)=0),VISUM_Arterial_OD!F46*Control!$B$3,0)</f>
        <v>0</v>
      </c>
      <c r="G46">
        <f>IF(AND(COUNTIF(Control!$E$20:$E$100,$B46)=0,COUNTIF(Control!$E$20:$E$100,G$2)=0),VISUM_Arterial_OD!G46*Control!$B$3,0)</f>
        <v>0</v>
      </c>
      <c r="H46">
        <f>IF(AND(COUNTIF(Control!$E$20:$E$100,$B46)=0,COUNTIF(Control!$E$20:$E$100,H$2)=0),VISUM_Arterial_OD!H46*Control!$B$3,0)</f>
        <v>0</v>
      </c>
      <c r="I46">
        <f>IF(AND(COUNTIF(Control!$E$20:$E$100,$B46)=0,COUNTIF(Control!$E$20:$E$100,I$2)=0),VISUM_Arterial_OD!I46*Control!$B$3,0)</f>
        <v>0</v>
      </c>
      <c r="J46">
        <f>IF(AND(COUNTIF(Control!$E$20:$E$100,$B46)=0,COUNTIF(Control!$E$20:$E$100,J$2)=0),VISUM_Arterial_OD!J46*Control!$B$3,0)</f>
        <v>8.5102555199999994</v>
      </c>
      <c r="K46">
        <f>IF(AND(COUNTIF(Control!$E$20:$E$100,$B46)=0,COUNTIF(Control!$E$20:$E$100,K$2)=0),VISUM_Arterial_OD!K46*Control!$B$3,0)</f>
        <v>0</v>
      </c>
      <c r="L46">
        <f>IF(AND(COUNTIF(Control!$E$20:$E$100,$B46)=0,COUNTIF(Control!$E$20:$E$100,L$2)=0),VISUM_Arterial_OD!L46*Control!$B$3,0)</f>
        <v>0</v>
      </c>
      <c r="M46">
        <f>IF(AND(COUNTIF(Control!$E$20:$E$100,$B46)=0,COUNTIF(Control!$E$20:$E$100,M$2)=0),VISUM_Arterial_OD!M46*Control!$B$3,0)</f>
        <v>0</v>
      </c>
      <c r="N46">
        <f>IF(AND(COUNTIF(Control!$E$20:$E$100,$B46)=0,COUNTIF(Control!$E$20:$E$100,N$2)=0),VISUM_Arterial_OD!N46*Control!$B$3,0)</f>
        <v>0</v>
      </c>
      <c r="O46">
        <f>IF(AND(COUNTIF(Control!$E$20:$E$100,$B46)=0,COUNTIF(Control!$E$20:$E$100,O$2)=0),VISUM_Arterial_OD!O46*Control!$B$3,0)</f>
        <v>6.7964485499999991</v>
      </c>
      <c r="P46">
        <f>IF(AND(COUNTIF(Control!$E$20:$E$100,$B46)=0,COUNTIF(Control!$E$20:$E$100,P$2)=0),VISUM_Arterial_OD!P46*Control!$B$3,0)</f>
        <v>0</v>
      </c>
      <c r="Q46">
        <f>IF(AND(COUNTIF(Control!$E$20:$E$100,$B46)=0,COUNTIF(Control!$E$20:$E$100,Q$2)=0),VISUM_Arterial_OD!Q46*Control!$B$3,0)</f>
        <v>0</v>
      </c>
      <c r="R46">
        <f>IF(AND(COUNTIF(Control!$E$20:$E$100,$B46)=0,COUNTIF(Control!$E$20:$E$100,R$2)=0),VISUM_Arterial_OD!R46*Control!$B$3,0)</f>
        <v>0</v>
      </c>
      <c r="S46">
        <f>IF(AND(COUNTIF(Control!$E$20:$E$100,$B46)=0,COUNTIF(Control!$E$20:$E$100,S$2)=0),VISUM_Arterial_OD!S46*Control!$B$3,0)</f>
        <v>4.2793520699999998</v>
      </c>
      <c r="T46">
        <f>IF(AND(COUNTIF(Control!$E$20:$E$100,$B46)=0,COUNTIF(Control!$E$20:$E$100,T$2)=0),VISUM_Arterial_OD!T46*Control!$B$3,0)</f>
        <v>0</v>
      </c>
      <c r="U46">
        <f>IF(AND(COUNTIF(Control!$E$20:$E$100,$B46)=0,COUNTIF(Control!$E$20:$E$100,U$2)=0),VISUM_Arterial_OD!U46*Control!$B$3,0)</f>
        <v>0</v>
      </c>
      <c r="V46">
        <f>IF(AND(COUNTIF(Control!$E$20:$E$100,$B46)=0,COUNTIF(Control!$E$20:$E$100,V$2)=0),VISUM_Arterial_OD!V46*Control!$B$3,0)</f>
        <v>0</v>
      </c>
      <c r="W46">
        <f>IF(AND(COUNTIF(Control!$E$20:$E$100,$B46)=0,COUNTIF(Control!$E$20:$E$100,W$2)=0),VISUM_Arterial_OD!W46*Control!$B$3,0)</f>
        <v>0</v>
      </c>
      <c r="X46">
        <f>IF(AND(COUNTIF(Control!$E$20:$E$100,$B46)=0,COUNTIF(Control!$E$20:$E$100,X$2)=0),VISUM_Arterial_OD!X46*Control!$B$3,0)</f>
        <v>0</v>
      </c>
      <c r="Y46">
        <f>IF(AND(COUNTIF(Control!$E$20:$E$100,$B46)=0,COUNTIF(Control!$E$20:$E$100,Y$2)=0),VISUM_Arterial_OD!Y46*Control!$B$3,0)</f>
        <v>0</v>
      </c>
      <c r="Z46">
        <f>IF(AND(COUNTIF(Control!$E$20:$E$100,$B46)=0,COUNTIF(Control!$E$20:$E$100,Z$2)=0),VISUM_Arterial_OD!Z46*Control!$B$3,0)</f>
        <v>0.56383607999999996</v>
      </c>
      <c r="AA46">
        <f>IF(AND(COUNTIF(Control!$E$20:$E$100,$B46)=0,COUNTIF(Control!$E$20:$E$100,AA$2)=0),VISUM_Arterial_OD!AA46*Control!$B$3,0)</f>
        <v>0</v>
      </c>
      <c r="AB46">
        <f>IF(AND(COUNTIF(Control!$E$20:$E$100,$B46)=0,COUNTIF(Control!$E$20:$E$100,AB$2)=0),VISUM_Arterial_OD!AB46*Control!$B$3,0)</f>
        <v>3.3422193899999999</v>
      </c>
      <c r="AC46">
        <f>IF(AND(COUNTIF(Control!$E$20:$E$100,$B46)=0,COUNTIF(Control!$E$20:$E$100,AC$2)=0),VISUM_Arterial_OD!AC46*Control!$B$3,0)</f>
        <v>0</v>
      </c>
      <c r="AD46">
        <f>IF(AND(COUNTIF(Control!$E$20:$E$100,$B46)=0,COUNTIF(Control!$E$20:$E$100,AD$2)=0),VISUM_Arterial_OD!AD46*Control!$B$3,0)</f>
        <v>0</v>
      </c>
      <c r="AE46">
        <f>IF(AND(COUNTIF(Control!$E$20:$E$100,$B46)=0,COUNTIF(Control!$E$20:$E$100,AE$2)=0),VISUM_Arterial_OD!AE46*Control!$B$3,0)</f>
        <v>0</v>
      </c>
      <c r="AF46">
        <f>IF(AND(COUNTIF(Control!$E$20:$E$100,$B46)=0,COUNTIF(Control!$E$20:$E$100,AF$2)=0),VISUM_Arterial_OD!AF46*Control!$B$3,0)</f>
        <v>0</v>
      </c>
      <c r="AG46">
        <f>IF(AND(COUNTIF(Control!$E$20:$E$100,$B46)=0,COUNTIF(Control!$E$20:$E$100,AG$2)=0),VISUM_Arterial_OD!AG46*Control!$B$3,0)</f>
        <v>0</v>
      </c>
      <c r="AH46">
        <f>IF(AND(COUNTIF(Control!$E$20:$E$100,$B46)=0,COUNTIF(Control!$E$20:$E$100,AH$2)=0),VISUM_Arterial_OD!AH46*Control!$B$3,0)</f>
        <v>0</v>
      </c>
      <c r="AI46">
        <f>IF(AND(COUNTIF(Control!$E$20:$E$100,$B46)=0,COUNTIF(Control!$E$20:$E$100,AI$2)=0),VISUM_Arterial_OD!AI46*Control!$B$3,0)</f>
        <v>0</v>
      </c>
      <c r="AJ46">
        <f>IF(AND(COUNTIF(Control!$E$20:$E$100,$B46)=0,COUNTIF(Control!$E$20:$E$100,AJ$2)=0),VISUM_Arterial_OD!AJ46*Control!$B$3,0)</f>
        <v>0</v>
      </c>
      <c r="AK46">
        <f>IF(AND(COUNTIF(Control!$E$20:$E$100,$B46)=0,COUNTIF(Control!$E$20:$E$100,AK$2)=0),VISUM_Arterial_OD!AK46*Control!$B$3,0)</f>
        <v>0</v>
      </c>
      <c r="AL46">
        <f>IF(AND(COUNTIF(Control!$E$20:$E$100,$B46)=0,COUNTIF(Control!$E$20:$E$100,AL$2)=0),VISUM_Arterial_OD!AL46*Control!$B$3,0)</f>
        <v>0.14530166999999999</v>
      </c>
      <c r="AM46">
        <f>IF(AND(COUNTIF(Control!$E$20:$E$100,$B46)=0,COUNTIF(Control!$E$20:$E$100,AM$2)=0),VISUM_Arterial_OD!AM46*Control!$B$3,0)</f>
        <v>0</v>
      </c>
      <c r="AN46">
        <f>IF(AND(COUNTIF(Control!$E$20:$E$100,$B46)=0,COUNTIF(Control!$E$20:$E$100,AN$2)=0),VISUM_Arterial_OD!AN46*Control!$B$3,0)</f>
        <v>0.24692411999999997</v>
      </c>
      <c r="AO46">
        <f>IF(AND(COUNTIF(Control!$E$20:$E$100,$B46)=0,COUNTIF(Control!$E$20:$E$100,AO$2)=0),VISUM_Arterial_OD!AO46*Control!$B$3,0)</f>
        <v>0</v>
      </c>
      <c r="AP46">
        <f>IF(AND(COUNTIF(Control!$E$20:$E$100,$B46)=0,COUNTIF(Control!$E$20:$E$100,AP$2)=0),VISUM_Arterial_OD!AP46*Control!$B$3,0)</f>
        <v>0</v>
      </c>
      <c r="AQ46">
        <f>IF(AND(COUNTIF(Control!$E$20:$E$100,$B46)=0,COUNTIF(Control!$E$20:$E$100,AQ$2)=0),VISUM_Arterial_OD!AQ46*Control!$B$3,0)</f>
        <v>0</v>
      </c>
      <c r="AR46">
        <f>IF(AND(COUNTIF(Control!$E$20:$E$100,$B46)=0,COUNTIF(Control!$E$20:$E$100,AR$2)=0),VISUM_Arterial_OD!AR46*Control!$B$3,0)</f>
        <v>0</v>
      </c>
      <c r="AS46">
        <f>IF(AND(COUNTIF(Control!$E$20:$E$100,$B46)=0,COUNTIF(Control!$E$20:$E$100,AS$2)=0),VISUM_Arterial_OD!AS46*Control!$B$3,0)</f>
        <v>0</v>
      </c>
      <c r="AT46">
        <f>IF(AND(COUNTIF(Control!$E$20:$E$100,$B46)=0,COUNTIF(Control!$E$20:$E$100,AT$2)=0),VISUM_Arterial_OD!AT46*Control!$B$3,0)</f>
        <v>0</v>
      </c>
      <c r="AU46">
        <f>IF(AND(COUNTIF(Control!$E$20:$E$100,$B46)=0,COUNTIF(Control!$E$20:$E$100,AU$2)=0),VISUM_Arterial_OD!AU46*Control!$B$3,0)</f>
        <v>0</v>
      </c>
      <c r="AV46">
        <f>IF(AND(COUNTIF(Control!$E$20:$E$100,$B46)=0,COUNTIF(Control!$E$20:$E$100,AV$2)=0),VISUM_Arterial_OD!AV46*Control!$B$3,0)</f>
        <v>0</v>
      </c>
      <c r="AW46">
        <f>IF(AND(COUNTIF(Control!$E$20:$E$100,$B46)=0,COUNTIF(Control!$E$20:$E$100,AW$2)=0),VISUM_Arterial_OD!AW46*Control!$B$3,0)</f>
        <v>0</v>
      </c>
      <c r="AX46">
        <f>IF(AND(COUNTIF(Control!$E$20:$E$100,$B46)=0,COUNTIF(Control!$E$20:$E$100,AX$2)=0),VISUM_Arterial_OD!AX46*Control!$B$3,0)</f>
        <v>0</v>
      </c>
      <c r="AY46">
        <f>IF(AND(COUNTIF(Control!$E$20:$E$100,$B46)=0,COUNTIF(Control!$E$20:$E$100,AY$2)=0),VISUM_Arterial_OD!AY46*Control!$B$3,0)</f>
        <v>0</v>
      </c>
      <c r="AZ46">
        <f>IF(AND(COUNTIF(Control!$E$20:$E$100,$B46)=0,COUNTIF(Control!$E$20:$E$100,AZ$2)=0),VISUM_Arterial_OD!AZ46*Control!$B$3,0)</f>
        <v>0</v>
      </c>
      <c r="BA46">
        <f>IF(AND(COUNTIF(Control!$E$20:$E$100,$B46)=0,COUNTIF(Control!$E$20:$E$100,BA$2)=0),VISUM_Arterial_OD!BA46*Control!$B$3,0)</f>
        <v>0</v>
      </c>
      <c r="BB46">
        <f>IF(AND(COUNTIF(Control!$E$20:$E$100,$B46)=0,COUNTIF(Control!$E$20:$E$100,BB$2)=0),VISUM_Arterial_OD!BB46*Control!$B$3,0)</f>
        <v>0</v>
      </c>
      <c r="BC46">
        <f>IF(AND(COUNTIF(Control!$E$20:$E$100,$B46)=0,COUNTIF(Control!$E$20:$E$100,BC$2)=0),VISUM_Arterial_OD!BC46*Control!$B$3,0)</f>
        <v>0</v>
      </c>
      <c r="BD46">
        <f>IF(AND(COUNTIF(Control!$E$20:$E$100,$B46)=0,COUNTIF(Control!$E$20:$E$100,BD$2)=0),VISUM_Arterial_OD!BD46*Control!$B$3,0)</f>
        <v>0</v>
      </c>
      <c r="BE46">
        <f>IF(AND(COUNTIF(Control!$E$20:$E$100,$B46)=0,COUNTIF(Control!$E$20:$E$100,BE$2)=0),VISUM_Arterial_OD!BE46*Control!$B$3,0)</f>
        <v>0</v>
      </c>
      <c r="BF46">
        <f>IF(AND(COUNTIF(Control!$E$20:$E$100,$B46)=0,COUNTIF(Control!$E$20:$E$100,BF$2)=0),VISUM_Arterial_OD!BF46*Control!$B$3,0)</f>
        <v>0</v>
      </c>
      <c r="BG46">
        <f>IF(AND(COUNTIF(Control!$E$20:$E$100,$B46)=0,COUNTIF(Control!$E$20:$E$100,BG$2)=0),VISUM_Arterial_OD!BG46*Control!$B$3,0)</f>
        <v>0</v>
      </c>
      <c r="BH46">
        <f>IF(AND(COUNTIF(Control!$E$20:$E$100,$B46)=0,COUNTIF(Control!$E$20:$E$100,BH$2)=0),VISUM_Arterial_OD!BH46*Control!$B$3,0)</f>
        <v>0</v>
      </c>
      <c r="BI46">
        <f>IF(AND(COUNTIF(Control!$E$20:$E$100,$B46)=0,COUNTIF(Control!$E$20:$E$100,BI$2)=0),VISUM_Arterial_OD!BI46*Control!$B$3,0)</f>
        <v>0</v>
      </c>
      <c r="BJ46">
        <f>IF(AND(COUNTIF(Control!$E$20:$E$100,$B46)=0,COUNTIF(Control!$E$20:$E$100,BJ$2)=0),VISUM_Arterial_OD!BJ46*Control!$B$3,0)</f>
        <v>0</v>
      </c>
      <c r="BK46">
        <f>IF(AND(COUNTIF(Control!$E$20:$E$100,$B46)=0,COUNTIF(Control!$E$20:$E$100,BK$2)=0),VISUM_Arterial_OD!BK46*Control!$B$3,0)</f>
        <v>0</v>
      </c>
      <c r="BL46">
        <f>IF(AND(COUNTIF(Control!$E$20:$E$100,$B46)=0,COUNTIF(Control!$E$20:$E$100,BL$2)=0),VISUM_Arterial_OD!BL46*Control!$B$3,0)</f>
        <v>0</v>
      </c>
      <c r="BM46">
        <f>IF(AND(COUNTIF(Control!$E$20:$E$100,$B46)=0,COUNTIF(Control!$E$20:$E$100,BM$2)=0),VISUM_Arterial_OD!BM46*Control!$B$3,0)</f>
        <v>0</v>
      </c>
      <c r="BN46">
        <f>IF(AND(COUNTIF(Control!$E$20:$E$100,$B46)=0,COUNTIF(Control!$E$20:$E$100,BN$2)=0),VISUM_Arterial_OD!BN46*Control!$B$3,0)</f>
        <v>0</v>
      </c>
      <c r="BO46">
        <f>IF(AND(COUNTIF(Control!$E$20:$E$100,$B46)=0,COUNTIF(Control!$E$20:$E$100,BO$2)=0),VISUM_Arterial_OD!BO46*Control!$B$3,0)</f>
        <v>5.7392567100000003</v>
      </c>
      <c r="BP46">
        <f>IF(AND(COUNTIF(Control!$E$20:$E$100,$B46)=0,COUNTIF(Control!$E$20:$E$100,BP$2)=0),VISUM_Arterial_OD!BP46*Control!$B$3,0)</f>
        <v>0</v>
      </c>
      <c r="BQ46">
        <f>IF(AND(COUNTIF(Control!$E$20:$E$100,$B46)=0,COUNTIF(Control!$E$20:$E$100,BQ$2)=0),VISUM_Arterial_OD!BQ46*Control!$B$3,0)</f>
        <v>2.7363442199999999</v>
      </c>
    </row>
    <row r="47" spans="1:69" x14ac:dyDescent="0.25">
      <c r="A47" s="5" t="str">
        <f>IF(VLOOKUP(B47,Arterial_Zone_Link_Mapping!$A:$C,2,FALSE)&lt;&gt;"",VLOOKUP(B47,Arterial_Zone_Link_Mapping!$A:$C,2,FALSE),"")</f>
        <v/>
      </c>
      <c r="B47" s="5">
        <v>69</v>
      </c>
      <c r="C47">
        <f>IF(AND(COUNTIF(Control!$E$20:$E$100,$B47)=0,COUNTIF(Control!$E$20:$E$100,C$2)=0),VISUM_Arterial_OD!C47*Control!$B$3,0)</f>
        <v>0</v>
      </c>
      <c r="D47">
        <f>IF(AND(COUNTIF(Control!$E$20:$E$100,$B47)=0,COUNTIF(Control!$E$20:$E$100,D$2)=0),VISUM_Arterial_OD!D47*Control!$B$3,0)</f>
        <v>0</v>
      </c>
      <c r="E47">
        <f>IF(AND(COUNTIF(Control!$E$20:$E$100,$B47)=0,COUNTIF(Control!$E$20:$E$100,E$2)=0),VISUM_Arterial_OD!E47*Control!$B$3,0)</f>
        <v>0</v>
      </c>
      <c r="F47">
        <f>IF(AND(COUNTIF(Control!$E$20:$E$100,$B47)=0,COUNTIF(Control!$E$20:$E$100,F$2)=0),VISUM_Arterial_OD!F47*Control!$B$3,0)</f>
        <v>0</v>
      </c>
      <c r="G47">
        <f>IF(AND(COUNTIF(Control!$E$20:$E$100,$B47)=0,COUNTIF(Control!$E$20:$E$100,G$2)=0),VISUM_Arterial_OD!G47*Control!$B$3,0)</f>
        <v>0</v>
      </c>
      <c r="H47">
        <f>IF(AND(COUNTIF(Control!$E$20:$E$100,$B47)=0,COUNTIF(Control!$E$20:$E$100,H$2)=0),VISUM_Arterial_OD!H47*Control!$B$3,0)</f>
        <v>0</v>
      </c>
      <c r="I47">
        <f>IF(AND(COUNTIF(Control!$E$20:$E$100,$B47)=0,COUNTIF(Control!$E$20:$E$100,I$2)=0),VISUM_Arterial_OD!I47*Control!$B$3,0)</f>
        <v>0</v>
      </c>
      <c r="J47">
        <f>IF(AND(COUNTIF(Control!$E$20:$E$100,$B47)=0,COUNTIF(Control!$E$20:$E$100,J$2)=0),VISUM_Arterial_OD!J47*Control!$B$3,0)</f>
        <v>0</v>
      </c>
      <c r="K47">
        <f>IF(AND(COUNTIF(Control!$E$20:$E$100,$B47)=0,COUNTIF(Control!$E$20:$E$100,K$2)=0),VISUM_Arterial_OD!K47*Control!$B$3,0)</f>
        <v>0</v>
      </c>
      <c r="L47">
        <f>IF(AND(COUNTIF(Control!$E$20:$E$100,$B47)=0,COUNTIF(Control!$E$20:$E$100,L$2)=0),VISUM_Arterial_OD!L47*Control!$B$3,0)</f>
        <v>0</v>
      </c>
      <c r="M47">
        <f>IF(AND(COUNTIF(Control!$E$20:$E$100,$B47)=0,COUNTIF(Control!$E$20:$E$100,M$2)=0),VISUM_Arterial_OD!M47*Control!$B$3,0)</f>
        <v>0</v>
      </c>
      <c r="N47">
        <f>IF(AND(COUNTIF(Control!$E$20:$E$100,$B47)=0,COUNTIF(Control!$E$20:$E$100,N$2)=0),VISUM_Arterial_OD!N47*Control!$B$3,0)</f>
        <v>0</v>
      </c>
      <c r="O47">
        <f>IF(AND(COUNTIF(Control!$E$20:$E$100,$B47)=0,COUNTIF(Control!$E$20:$E$100,O$2)=0),VISUM_Arterial_OD!O47*Control!$B$3,0)</f>
        <v>0</v>
      </c>
      <c r="P47">
        <f>IF(AND(COUNTIF(Control!$E$20:$E$100,$B47)=0,COUNTIF(Control!$E$20:$E$100,P$2)=0),VISUM_Arterial_OD!P47*Control!$B$3,0)</f>
        <v>0</v>
      </c>
      <c r="Q47">
        <f>IF(AND(COUNTIF(Control!$E$20:$E$100,$B47)=0,COUNTIF(Control!$E$20:$E$100,Q$2)=0),VISUM_Arterial_OD!Q47*Control!$B$3,0)</f>
        <v>0</v>
      </c>
      <c r="R47">
        <f>IF(AND(COUNTIF(Control!$E$20:$E$100,$B47)=0,COUNTIF(Control!$E$20:$E$100,R$2)=0),VISUM_Arterial_OD!R47*Control!$B$3,0)</f>
        <v>0</v>
      </c>
      <c r="S47">
        <f>IF(AND(COUNTIF(Control!$E$20:$E$100,$B47)=0,COUNTIF(Control!$E$20:$E$100,S$2)=0),VISUM_Arterial_OD!S47*Control!$B$3,0)</f>
        <v>0</v>
      </c>
      <c r="T47">
        <f>IF(AND(COUNTIF(Control!$E$20:$E$100,$B47)=0,COUNTIF(Control!$E$20:$E$100,T$2)=0),VISUM_Arterial_OD!T47*Control!$B$3,0)</f>
        <v>0</v>
      </c>
      <c r="U47">
        <f>IF(AND(COUNTIF(Control!$E$20:$E$100,$B47)=0,COUNTIF(Control!$E$20:$E$100,U$2)=0),VISUM_Arterial_OD!U47*Control!$B$3,0)</f>
        <v>0</v>
      </c>
      <c r="V47">
        <f>IF(AND(COUNTIF(Control!$E$20:$E$100,$B47)=0,COUNTIF(Control!$E$20:$E$100,V$2)=0),VISUM_Arterial_OD!V47*Control!$B$3,0)</f>
        <v>0</v>
      </c>
      <c r="W47">
        <f>IF(AND(COUNTIF(Control!$E$20:$E$100,$B47)=0,COUNTIF(Control!$E$20:$E$100,W$2)=0),VISUM_Arterial_OD!W47*Control!$B$3,0)</f>
        <v>0</v>
      </c>
      <c r="X47">
        <f>IF(AND(COUNTIF(Control!$E$20:$E$100,$B47)=0,COUNTIF(Control!$E$20:$E$100,X$2)=0),VISUM_Arterial_OD!X47*Control!$B$3,0)</f>
        <v>0</v>
      </c>
      <c r="Y47">
        <f>IF(AND(COUNTIF(Control!$E$20:$E$100,$B47)=0,COUNTIF(Control!$E$20:$E$100,Y$2)=0),VISUM_Arterial_OD!Y47*Control!$B$3,0)</f>
        <v>0</v>
      </c>
      <c r="Z47">
        <f>IF(AND(COUNTIF(Control!$E$20:$E$100,$B47)=0,COUNTIF(Control!$E$20:$E$100,Z$2)=0),VISUM_Arterial_OD!Z47*Control!$B$3,0)</f>
        <v>0</v>
      </c>
      <c r="AA47">
        <f>IF(AND(COUNTIF(Control!$E$20:$E$100,$B47)=0,COUNTIF(Control!$E$20:$E$100,AA$2)=0),VISUM_Arterial_OD!AA47*Control!$B$3,0)</f>
        <v>0</v>
      </c>
      <c r="AB47">
        <f>IF(AND(COUNTIF(Control!$E$20:$E$100,$B47)=0,COUNTIF(Control!$E$20:$E$100,AB$2)=0),VISUM_Arterial_OD!AB47*Control!$B$3,0)</f>
        <v>0</v>
      </c>
      <c r="AC47">
        <f>IF(AND(COUNTIF(Control!$E$20:$E$100,$B47)=0,COUNTIF(Control!$E$20:$E$100,AC$2)=0),VISUM_Arterial_OD!AC47*Control!$B$3,0)</f>
        <v>0</v>
      </c>
      <c r="AD47">
        <f>IF(AND(COUNTIF(Control!$E$20:$E$100,$B47)=0,COUNTIF(Control!$E$20:$E$100,AD$2)=0),VISUM_Arterial_OD!AD47*Control!$B$3,0)</f>
        <v>0</v>
      </c>
      <c r="AE47">
        <f>IF(AND(COUNTIF(Control!$E$20:$E$100,$B47)=0,COUNTIF(Control!$E$20:$E$100,AE$2)=0),VISUM_Arterial_OD!AE47*Control!$B$3,0)</f>
        <v>0</v>
      </c>
      <c r="AF47">
        <f>IF(AND(COUNTIF(Control!$E$20:$E$100,$B47)=0,COUNTIF(Control!$E$20:$E$100,AF$2)=0),VISUM_Arterial_OD!AF47*Control!$B$3,0)</f>
        <v>0</v>
      </c>
      <c r="AG47">
        <f>IF(AND(COUNTIF(Control!$E$20:$E$100,$B47)=0,COUNTIF(Control!$E$20:$E$100,AG$2)=0),VISUM_Arterial_OD!AG47*Control!$B$3,0)</f>
        <v>0</v>
      </c>
      <c r="AH47">
        <f>IF(AND(COUNTIF(Control!$E$20:$E$100,$B47)=0,COUNTIF(Control!$E$20:$E$100,AH$2)=0),VISUM_Arterial_OD!AH47*Control!$B$3,0)</f>
        <v>0</v>
      </c>
      <c r="AI47">
        <f>IF(AND(COUNTIF(Control!$E$20:$E$100,$B47)=0,COUNTIF(Control!$E$20:$E$100,AI$2)=0),VISUM_Arterial_OD!AI47*Control!$B$3,0)</f>
        <v>0</v>
      </c>
      <c r="AJ47">
        <f>IF(AND(COUNTIF(Control!$E$20:$E$100,$B47)=0,COUNTIF(Control!$E$20:$E$100,AJ$2)=0),VISUM_Arterial_OD!AJ47*Control!$B$3,0)</f>
        <v>0</v>
      </c>
      <c r="AK47">
        <f>IF(AND(COUNTIF(Control!$E$20:$E$100,$B47)=0,COUNTIF(Control!$E$20:$E$100,AK$2)=0),VISUM_Arterial_OD!AK47*Control!$B$3,0)</f>
        <v>0</v>
      </c>
      <c r="AL47">
        <f>IF(AND(COUNTIF(Control!$E$20:$E$100,$B47)=0,COUNTIF(Control!$E$20:$E$100,AL$2)=0),VISUM_Arterial_OD!AL47*Control!$B$3,0)</f>
        <v>0</v>
      </c>
      <c r="AM47">
        <f>IF(AND(COUNTIF(Control!$E$20:$E$100,$B47)=0,COUNTIF(Control!$E$20:$E$100,AM$2)=0),VISUM_Arterial_OD!AM47*Control!$B$3,0)</f>
        <v>0</v>
      </c>
      <c r="AN47">
        <f>IF(AND(COUNTIF(Control!$E$20:$E$100,$B47)=0,COUNTIF(Control!$E$20:$E$100,AN$2)=0),VISUM_Arterial_OD!AN47*Control!$B$3,0)</f>
        <v>0</v>
      </c>
      <c r="AO47">
        <f>IF(AND(COUNTIF(Control!$E$20:$E$100,$B47)=0,COUNTIF(Control!$E$20:$E$100,AO$2)=0),VISUM_Arterial_OD!AO47*Control!$B$3,0)</f>
        <v>0</v>
      </c>
      <c r="AP47">
        <f>IF(AND(COUNTIF(Control!$E$20:$E$100,$B47)=0,COUNTIF(Control!$E$20:$E$100,AP$2)=0),VISUM_Arterial_OD!AP47*Control!$B$3,0)</f>
        <v>0</v>
      </c>
      <c r="AQ47">
        <f>IF(AND(COUNTIF(Control!$E$20:$E$100,$B47)=0,COUNTIF(Control!$E$20:$E$100,AQ$2)=0),VISUM_Arterial_OD!AQ47*Control!$B$3,0)</f>
        <v>0</v>
      </c>
      <c r="AR47">
        <f>IF(AND(COUNTIF(Control!$E$20:$E$100,$B47)=0,COUNTIF(Control!$E$20:$E$100,AR$2)=0),VISUM_Arterial_OD!AR47*Control!$B$3,0)</f>
        <v>0</v>
      </c>
      <c r="AS47">
        <f>IF(AND(COUNTIF(Control!$E$20:$E$100,$B47)=0,COUNTIF(Control!$E$20:$E$100,AS$2)=0),VISUM_Arterial_OD!AS47*Control!$B$3,0)</f>
        <v>0</v>
      </c>
      <c r="AT47">
        <f>IF(AND(COUNTIF(Control!$E$20:$E$100,$B47)=0,COUNTIF(Control!$E$20:$E$100,AT$2)=0),VISUM_Arterial_OD!AT47*Control!$B$3,0)</f>
        <v>0</v>
      </c>
      <c r="AU47">
        <f>IF(AND(COUNTIF(Control!$E$20:$E$100,$B47)=0,COUNTIF(Control!$E$20:$E$100,AU$2)=0),VISUM_Arterial_OD!AU47*Control!$B$3,0)</f>
        <v>0</v>
      </c>
      <c r="AV47">
        <f>IF(AND(COUNTIF(Control!$E$20:$E$100,$B47)=0,COUNTIF(Control!$E$20:$E$100,AV$2)=0),VISUM_Arterial_OD!AV47*Control!$B$3,0)</f>
        <v>0</v>
      </c>
      <c r="AW47">
        <f>IF(AND(COUNTIF(Control!$E$20:$E$100,$B47)=0,COUNTIF(Control!$E$20:$E$100,AW$2)=0),VISUM_Arterial_OD!AW47*Control!$B$3,0)</f>
        <v>0</v>
      </c>
      <c r="AX47">
        <f>IF(AND(COUNTIF(Control!$E$20:$E$100,$B47)=0,COUNTIF(Control!$E$20:$E$100,AX$2)=0),VISUM_Arterial_OD!AX47*Control!$B$3,0)</f>
        <v>0</v>
      </c>
      <c r="AY47">
        <f>IF(AND(COUNTIF(Control!$E$20:$E$100,$B47)=0,COUNTIF(Control!$E$20:$E$100,AY$2)=0),VISUM_Arterial_OD!AY47*Control!$B$3,0)</f>
        <v>0</v>
      </c>
      <c r="AZ47">
        <f>IF(AND(COUNTIF(Control!$E$20:$E$100,$B47)=0,COUNTIF(Control!$E$20:$E$100,AZ$2)=0),VISUM_Arterial_OD!AZ47*Control!$B$3,0)</f>
        <v>0</v>
      </c>
      <c r="BA47">
        <f>IF(AND(COUNTIF(Control!$E$20:$E$100,$B47)=0,COUNTIF(Control!$E$20:$E$100,BA$2)=0),VISUM_Arterial_OD!BA47*Control!$B$3,0)</f>
        <v>0</v>
      </c>
      <c r="BB47">
        <f>IF(AND(COUNTIF(Control!$E$20:$E$100,$B47)=0,COUNTIF(Control!$E$20:$E$100,BB$2)=0),VISUM_Arterial_OD!BB47*Control!$B$3,0)</f>
        <v>0</v>
      </c>
      <c r="BC47">
        <f>IF(AND(COUNTIF(Control!$E$20:$E$100,$B47)=0,COUNTIF(Control!$E$20:$E$100,BC$2)=0),VISUM_Arterial_OD!BC47*Control!$B$3,0)</f>
        <v>0</v>
      </c>
      <c r="BD47">
        <f>IF(AND(COUNTIF(Control!$E$20:$E$100,$B47)=0,COUNTIF(Control!$E$20:$E$100,BD$2)=0),VISUM_Arterial_OD!BD47*Control!$B$3,0)</f>
        <v>0</v>
      </c>
      <c r="BE47">
        <f>IF(AND(COUNTIF(Control!$E$20:$E$100,$B47)=0,COUNTIF(Control!$E$20:$E$100,BE$2)=0),VISUM_Arterial_OD!BE47*Control!$B$3,0)</f>
        <v>0</v>
      </c>
      <c r="BF47">
        <f>IF(AND(COUNTIF(Control!$E$20:$E$100,$B47)=0,COUNTIF(Control!$E$20:$E$100,BF$2)=0),VISUM_Arterial_OD!BF47*Control!$B$3,0)</f>
        <v>0</v>
      </c>
      <c r="BG47">
        <f>IF(AND(COUNTIF(Control!$E$20:$E$100,$B47)=0,COUNTIF(Control!$E$20:$E$100,BG$2)=0),VISUM_Arterial_OD!BG47*Control!$B$3,0)</f>
        <v>0</v>
      </c>
      <c r="BH47">
        <f>IF(AND(COUNTIF(Control!$E$20:$E$100,$B47)=0,COUNTIF(Control!$E$20:$E$100,BH$2)=0),VISUM_Arterial_OD!BH47*Control!$B$3,0)</f>
        <v>0</v>
      </c>
      <c r="BI47">
        <f>IF(AND(COUNTIF(Control!$E$20:$E$100,$B47)=0,COUNTIF(Control!$E$20:$E$100,BI$2)=0),VISUM_Arterial_OD!BI47*Control!$B$3,0)</f>
        <v>0</v>
      </c>
      <c r="BJ47">
        <f>IF(AND(COUNTIF(Control!$E$20:$E$100,$B47)=0,COUNTIF(Control!$E$20:$E$100,BJ$2)=0),VISUM_Arterial_OD!BJ47*Control!$B$3,0)</f>
        <v>0</v>
      </c>
      <c r="BK47">
        <f>IF(AND(COUNTIF(Control!$E$20:$E$100,$B47)=0,COUNTIF(Control!$E$20:$E$100,BK$2)=0),VISUM_Arterial_OD!BK47*Control!$B$3,0)</f>
        <v>0</v>
      </c>
      <c r="BL47">
        <f>IF(AND(COUNTIF(Control!$E$20:$E$100,$B47)=0,COUNTIF(Control!$E$20:$E$100,BL$2)=0),VISUM_Arterial_OD!BL47*Control!$B$3,0)</f>
        <v>0</v>
      </c>
      <c r="BM47">
        <f>IF(AND(COUNTIF(Control!$E$20:$E$100,$B47)=0,COUNTIF(Control!$E$20:$E$100,BM$2)=0),VISUM_Arterial_OD!BM47*Control!$B$3,0)</f>
        <v>0</v>
      </c>
      <c r="BN47">
        <f>IF(AND(COUNTIF(Control!$E$20:$E$100,$B47)=0,COUNTIF(Control!$E$20:$E$100,BN$2)=0),VISUM_Arterial_OD!BN47*Control!$B$3,0)</f>
        <v>0</v>
      </c>
      <c r="BO47">
        <f>IF(AND(COUNTIF(Control!$E$20:$E$100,$B47)=0,COUNTIF(Control!$E$20:$E$100,BO$2)=0),VISUM_Arterial_OD!BO47*Control!$B$3,0)</f>
        <v>0</v>
      </c>
      <c r="BP47">
        <f>IF(AND(COUNTIF(Control!$E$20:$E$100,$B47)=0,COUNTIF(Control!$E$20:$E$100,BP$2)=0),VISUM_Arterial_OD!BP47*Control!$B$3,0)</f>
        <v>0</v>
      </c>
      <c r="BQ47">
        <f>IF(AND(COUNTIF(Control!$E$20:$E$100,$B47)=0,COUNTIF(Control!$E$20:$E$100,BQ$2)=0),VISUM_Arterial_OD!BQ47*Control!$B$3,0)</f>
        <v>0</v>
      </c>
    </row>
    <row r="48" spans="1:69" x14ac:dyDescent="0.25">
      <c r="A48" s="5">
        <f>IF(VLOOKUP(B48,Arterial_Zone_Link_Mapping!$A:$C,2,FALSE)&lt;&gt;"",VLOOKUP(B48,Arterial_Zone_Link_Mapping!$A:$C,2,FALSE),"")</f>
        <v>380</v>
      </c>
      <c r="B48" s="5">
        <v>70</v>
      </c>
      <c r="C48">
        <f>IF(AND(COUNTIF(Control!$E$20:$E$100,$B48)=0,COUNTIF(Control!$E$20:$E$100,C$2)=0),VISUM_Arterial_OD!C48*Control!$B$3,0)</f>
        <v>0</v>
      </c>
      <c r="D48">
        <f>IF(AND(COUNTIF(Control!$E$20:$E$100,$B48)=0,COUNTIF(Control!$E$20:$E$100,D$2)=0),VISUM_Arterial_OD!D48*Control!$B$3,0)</f>
        <v>0</v>
      </c>
      <c r="E48">
        <f>IF(AND(COUNTIF(Control!$E$20:$E$100,$B48)=0,COUNTIF(Control!$E$20:$E$100,E$2)=0),VISUM_Arterial_OD!E48*Control!$B$3,0)</f>
        <v>0</v>
      </c>
      <c r="F48">
        <f>IF(AND(COUNTIF(Control!$E$20:$E$100,$B48)=0,COUNTIF(Control!$E$20:$E$100,F$2)=0),VISUM_Arterial_OD!F48*Control!$B$3,0)</f>
        <v>0</v>
      </c>
      <c r="G48">
        <f>IF(AND(COUNTIF(Control!$E$20:$E$100,$B48)=0,COUNTIF(Control!$E$20:$E$100,G$2)=0),VISUM_Arterial_OD!G48*Control!$B$3,0)</f>
        <v>0</v>
      </c>
      <c r="H48">
        <f>IF(AND(COUNTIF(Control!$E$20:$E$100,$B48)=0,COUNTIF(Control!$E$20:$E$100,H$2)=0),VISUM_Arterial_OD!H48*Control!$B$3,0)</f>
        <v>0</v>
      </c>
      <c r="I48">
        <f>IF(AND(COUNTIF(Control!$E$20:$E$100,$B48)=0,COUNTIF(Control!$E$20:$E$100,I$2)=0),VISUM_Arterial_OD!I48*Control!$B$3,0)</f>
        <v>0</v>
      </c>
      <c r="J48">
        <f>IF(AND(COUNTIF(Control!$E$20:$E$100,$B48)=0,COUNTIF(Control!$E$20:$E$100,J$2)=0),VISUM_Arterial_OD!J48*Control!$B$3,0)</f>
        <v>0</v>
      </c>
      <c r="K48">
        <f>IF(AND(COUNTIF(Control!$E$20:$E$100,$B48)=0,COUNTIF(Control!$E$20:$E$100,K$2)=0),VISUM_Arterial_OD!K48*Control!$B$3,0)</f>
        <v>5.8169733899999994</v>
      </c>
      <c r="L48">
        <f>IF(AND(COUNTIF(Control!$E$20:$E$100,$B48)=0,COUNTIF(Control!$E$20:$E$100,L$2)=0),VISUM_Arterial_OD!L48*Control!$B$3,0)</f>
        <v>19.758405659999998</v>
      </c>
      <c r="M48">
        <f>IF(AND(COUNTIF(Control!$E$20:$E$100,$B48)=0,COUNTIF(Control!$E$20:$E$100,M$2)=0),VISUM_Arterial_OD!M48*Control!$B$3,0)</f>
        <v>0</v>
      </c>
      <c r="N48">
        <f>IF(AND(COUNTIF(Control!$E$20:$E$100,$B48)=0,COUNTIF(Control!$E$20:$E$100,N$2)=0),VISUM_Arterial_OD!N48*Control!$B$3,0)</f>
        <v>0</v>
      </c>
      <c r="O48">
        <f>IF(AND(COUNTIF(Control!$E$20:$E$100,$B48)=0,COUNTIF(Control!$E$20:$E$100,O$2)=0),VISUM_Arterial_OD!O48*Control!$B$3,0)</f>
        <v>0</v>
      </c>
      <c r="P48">
        <f>IF(AND(COUNTIF(Control!$E$20:$E$100,$B48)=0,COUNTIF(Control!$E$20:$E$100,P$2)=0),VISUM_Arterial_OD!P48*Control!$B$3,0)</f>
        <v>1.72389828</v>
      </c>
      <c r="Q48">
        <f>IF(AND(COUNTIF(Control!$E$20:$E$100,$B48)=0,COUNTIF(Control!$E$20:$E$100,Q$2)=0),VISUM_Arterial_OD!Q48*Control!$B$3,0)</f>
        <v>0</v>
      </c>
      <c r="R48">
        <f>IF(AND(COUNTIF(Control!$E$20:$E$100,$B48)=0,COUNTIF(Control!$E$20:$E$100,R$2)=0),VISUM_Arterial_OD!R48*Control!$B$3,0)</f>
        <v>0</v>
      </c>
      <c r="S48">
        <f>IF(AND(COUNTIF(Control!$E$20:$E$100,$B48)=0,COUNTIF(Control!$E$20:$E$100,S$2)=0),VISUM_Arterial_OD!S48*Control!$B$3,0)</f>
        <v>0</v>
      </c>
      <c r="T48">
        <f>IF(AND(COUNTIF(Control!$E$20:$E$100,$B48)=0,COUNTIF(Control!$E$20:$E$100,T$2)=0),VISUM_Arterial_OD!T48*Control!$B$3,0)</f>
        <v>0</v>
      </c>
      <c r="U48">
        <f>IF(AND(COUNTIF(Control!$E$20:$E$100,$B48)=0,COUNTIF(Control!$E$20:$E$100,U$2)=0),VISUM_Arterial_OD!U48*Control!$B$3,0)</f>
        <v>0</v>
      </c>
      <c r="V48">
        <f>IF(AND(COUNTIF(Control!$E$20:$E$100,$B48)=0,COUNTIF(Control!$E$20:$E$100,V$2)=0),VISUM_Arterial_OD!V48*Control!$B$3,0)</f>
        <v>0</v>
      </c>
      <c r="W48">
        <f>IF(AND(COUNTIF(Control!$E$20:$E$100,$B48)=0,COUNTIF(Control!$E$20:$E$100,W$2)=0),VISUM_Arterial_OD!W48*Control!$B$3,0)</f>
        <v>0</v>
      </c>
      <c r="X48">
        <f>IF(AND(COUNTIF(Control!$E$20:$E$100,$B48)=0,COUNTIF(Control!$E$20:$E$100,X$2)=0),VISUM_Arterial_OD!X48*Control!$B$3,0)</f>
        <v>0</v>
      </c>
      <c r="Y48">
        <f>IF(AND(COUNTIF(Control!$E$20:$E$100,$B48)=0,COUNTIF(Control!$E$20:$E$100,Y$2)=0),VISUM_Arterial_OD!Y48*Control!$B$3,0)</f>
        <v>0</v>
      </c>
      <c r="Z48">
        <f>IF(AND(COUNTIF(Control!$E$20:$E$100,$B48)=0,COUNTIF(Control!$E$20:$E$100,Z$2)=0),VISUM_Arterial_OD!Z48*Control!$B$3,0)</f>
        <v>0</v>
      </c>
      <c r="AA48">
        <f>IF(AND(COUNTIF(Control!$E$20:$E$100,$B48)=0,COUNTIF(Control!$E$20:$E$100,AA$2)=0),VISUM_Arterial_OD!AA48*Control!$B$3,0)</f>
        <v>0</v>
      </c>
      <c r="AB48">
        <f>IF(AND(COUNTIF(Control!$E$20:$E$100,$B48)=0,COUNTIF(Control!$E$20:$E$100,AB$2)=0),VISUM_Arterial_OD!AB48*Control!$B$3,0)</f>
        <v>0</v>
      </c>
      <c r="AC48">
        <f>IF(AND(COUNTIF(Control!$E$20:$E$100,$B48)=0,COUNTIF(Control!$E$20:$E$100,AC$2)=0),VISUM_Arterial_OD!AC48*Control!$B$3,0)</f>
        <v>1.2007338300000001</v>
      </c>
      <c r="AD48">
        <f>IF(AND(COUNTIF(Control!$E$20:$E$100,$B48)=0,COUNTIF(Control!$E$20:$E$100,AD$2)=0),VISUM_Arterial_OD!AD48*Control!$B$3,0)</f>
        <v>0</v>
      </c>
      <c r="AE48">
        <f>IF(AND(COUNTIF(Control!$E$20:$E$100,$B48)=0,COUNTIF(Control!$E$20:$E$100,AE$2)=0),VISUM_Arterial_OD!AE48*Control!$B$3,0)</f>
        <v>0</v>
      </c>
      <c r="AF48">
        <f>IF(AND(COUNTIF(Control!$E$20:$E$100,$B48)=0,COUNTIF(Control!$E$20:$E$100,AF$2)=0),VISUM_Arterial_OD!AF48*Control!$B$3,0)</f>
        <v>0</v>
      </c>
      <c r="AG48">
        <f>IF(AND(COUNTIF(Control!$E$20:$E$100,$B48)=0,COUNTIF(Control!$E$20:$E$100,AG$2)=0),VISUM_Arterial_OD!AG48*Control!$B$3,0)</f>
        <v>0</v>
      </c>
      <c r="AH48">
        <f>IF(AND(COUNTIF(Control!$E$20:$E$100,$B48)=0,COUNTIF(Control!$E$20:$E$100,AH$2)=0),VISUM_Arterial_OD!AH48*Control!$B$3,0)</f>
        <v>0</v>
      </c>
      <c r="AI48">
        <f>IF(AND(COUNTIF(Control!$E$20:$E$100,$B48)=0,COUNTIF(Control!$E$20:$E$100,AI$2)=0),VISUM_Arterial_OD!AI48*Control!$B$3,0)</f>
        <v>0</v>
      </c>
      <c r="AJ48">
        <f>IF(AND(COUNTIF(Control!$E$20:$E$100,$B48)=0,COUNTIF(Control!$E$20:$E$100,AJ$2)=0),VISUM_Arterial_OD!AJ48*Control!$B$3,0)</f>
        <v>0</v>
      </c>
      <c r="AK48">
        <f>IF(AND(COUNTIF(Control!$E$20:$E$100,$B48)=0,COUNTIF(Control!$E$20:$E$100,AK$2)=0),VISUM_Arterial_OD!AK48*Control!$B$3,0)</f>
        <v>0</v>
      </c>
      <c r="AL48">
        <f>IF(AND(COUNTIF(Control!$E$20:$E$100,$B48)=0,COUNTIF(Control!$E$20:$E$100,AL$2)=0),VISUM_Arterial_OD!AL48*Control!$B$3,0)</f>
        <v>0</v>
      </c>
      <c r="AM48">
        <f>IF(AND(COUNTIF(Control!$E$20:$E$100,$B48)=0,COUNTIF(Control!$E$20:$E$100,AM$2)=0),VISUM_Arterial_OD!AM48*Control!$B$3,0)</f>
        <v>0</v>
      </c>
      <c r="AN48">
        <f>IF(AND(COUNTIF(Control!$E$20:$E$100,$B48)=0,COUNTIF(Control!$E$20:$E$100,AN$2)=0),VISUM_Arterial_OD!AN48*Control!$B$3,0)</f>
        <v>0</v>
      </c>
      <c r="AO48">
        <f>IF(AND(COUNTIF(Control!$E$20:$E$100,$B48)=0,COUNTIF(Control!$E$20:$E$100,AO$2)=0),VISUM_Arterial_OD!AO48*Control!$B$3,0)</f>
        <v>0</v>
      </c>
      <c r="AP48">
        <f>IF(AND(COUNTIF(Control!$E$20:$E$100,$B48)=0,COUNTIF(Control!$E$20:$E$100,AP$2)=0),VISUM_Arterial_OD!AP48*Control!$B$3,0)</f>
        <v>0</v>
      </c>
      <c r="AQ48">
        <f>IF(AND(COUNTIF(Control!$E$20:$E$100,$B48)=0,COUNTIF(Control!$E$20:$E$100,AQ$2)=0),VISUM_Arterial_OD!AQ48*Control!$B$3,0)</f>
        <v>0</v>
      </c>
      <c r="AR48">
        <f>IF(AND(COUNTIF(Control!$E$20:$E$100,$B48)=0,COUNTIF(Control!$E$20:$E$100,AR$2)=0),VISUM_Arterial_OD!AR48*Control!$B$3,0)</f>
        <v>0</v>
      </c>
      <c r="AS48">
        <f>IF(AND(COUNTIF(Control!$E$20:$E$100,$B48)=0,COUNTIF(Control!$E$20:$E$100,AS$2)=0),VISUM_Arterial_OD!AS48*Control!$B$3,0)</f>
        <v>0</v>
      </c>
      <c r="AT48">
        <f>IF(AND(COUNTIF(Control!$E$20:$E$100,$B48)=0,COUNTIF(Control!$E$20:$E$100,AT$2)=0),VISUM_Arterial_OD!AT48*Control!$B$3,0)</f>
        <v>0</v>
      </c>
      <c r="AU48">
        <f>IF(AND(COUNTIF(Control!$E$20:$E$100,$B48)=0,COUNTIF(Control!$E$20:$E$100,AU$2)=0),VISUM_Arterial_OD!AU48*Control!$B$3,0)</f>
        <v>0</v>
      </c>
      <c r="AV48">
        <f>IF(AND(COUNTIF(Control!$E$20:$E$100,$B48)=0,COUNTIF(Control!$E$20:$E$100,AV$2)=0),VISUM_Arterial_OD!AV48*Control!$B$3,0)</f>
        <v>0</v>
      </c>
      <c r="AW48">
        <f>IF(AND(COUNTIF(Control!$E$20:$E$100,$B48)=0,COUNTIF(Control!$E$20:$E$100,AW$2)=0),VISUM_Arterial_OD!AW48*Control!$B$3,0)</f>
        <v>0</v>
      </c>
      <c r="AX48">
        <f>IF(AND(COUNTIF(Control!$E$20:$E$100,$B48)=0,COUNTIF(Control!$E$20:$E$100,AX$2)=0),VISUM_Arterial_OD!AX48*Control!$B$3,0)</f>
        <v>0</v>
      </c>
      <c r="AY48">
        <f>IF(AND(COUNTIF(Control!$E$20:$E$100,$B48)=0,COUNTIF(Control!$E$20:$E$100,AY$2)=0),VISUM_Arterial_OD!AY48*Control!$B$3,0)</f>
        <v>0</v>
      </c>
      <c r="AZ48">
        <f>IF(AND(COUNTIF(Control!$E$20:$E$100,$B48)=0,COUNTIF(Control!$E$20:$E$100,AZ$2)=0),VISUM_Arterial_OD!AZ48*Control!$B$3,0)</f>
        <v>0</v>
      </c>
      <c r="BA48">
        <f>IF(AND(COUNTIF(Control!$E$20:$E$100,$B48)=0,COUNTIF(Control!$E$20:$E$100,BA$2)=0),VISUM_Arterial_OD!BA48*Control!$B$3,0)</f>
        <v>0</v>
      </c>
      <c r="BB48">
        <f>IF(AND(COUNTIF(Control!$E$20:$E$100,$B48)=0,COUNTIF(Control!$E$20:$E$100,BB$2)=0),VISUM_Arterial_OD!BB48*Control!$B$3,0)</f>
        <v>0</v>
      </c>
      <c r="BC48">
        <f>IF(AND(COUNTIF(Control!$E$20:$E$100,$B48)=0,COUNTIF(Control!$E$20:$E$100,BC$2)=0),VISUM_Arterial_OD!BC48*Control!$B$3,0)</f>
        <v>0</v>
      </c>
      <c r="BD48">
        <f>IF(AND(COUNTIF(Control!$E$20:$E$100,$B48)=0,COUNTIF(Control!$E$20:$E$100,BD$2)=0),VISUM_Arterial_OD!BD48*Control!$B$3,0)</f>
        <v>0</v>
      </c>
      <c r="BE48">
        <f>IF(AND(COUNTIF(Control!$E$20:$E$100,$B48)=0,COUNTIF(Control!$E$20:$E$100,BE$2)=0),VISUM_Arterial_OD!BE48*Control!$B$3,0)</f>
        <v>0</v>
      </c>
      <c r="BF48">
        <f>IF(AND(COUNTIF(Control!$E$20:$E$100,$B48)=0,COUNTIF(Control!$E$20:$E$100,BF$2)=0),VISUM_Arterial_OD!BF48*Control!$B$3,0)</f>
        <v>0</v>
      </c>
      <c r="BG48">
        <f>IF(AND(COUNTIF(Control!$E$20:$E$100,$B48)=0,COUNTIF(Control!$E$20:$E$100,BG$2)=0),VISUM_Arterial_OD!BG48*Control!$B$3,0)</f>
        <v>0</v>
      </c>
      <c r="BH48">
        <f>IF(AND(COUNTIF(Control!$E$20:$E$100,$B48)=0,COUNTIF(Control!$E$20:$E$100,BH$2)=0),VISUM_Arterial_OD!BH48*Control!$B$3,0)</f>
        <v>0</v>
      </c>
      <c r="BI48">
        <f>IF(AND(COUNTIF(Control!$E$20:$E$100,$B48)=0,COUNTIF(Control!$E$20:$E$100,BI$2)=0),VISUM_Arterial_OD!BI48*Control!$B$3,0)</f>
        <v>0</v>
      </c>
      <c r="BJ48">
        <f>IF(AND(COUNTIF(Control!$E$20:$E$100,$B48)=0,COUNTIF(Control!$E$20:$E$100,BJ$2)=0),VISUM_Arterial_OD!BJ48*Control!$B$3,0)</f>
        <v>0</v>
      </c>
      <c r="BK48">
        <f>IF(AND(COUNTIF(Control!$E$20:$E$100,$B48)=0,COUNTIF(Control!$E$20:$E$100,BK$2)=0),VISUM_Arterial_OD!BK48*Control!$B$3,0)</f>
        <v>0</v>
      </c>
      <c r="BL48">
        <f>IF(AND(COUNTIF(Control!$E$20:$E$100,$B48)=0,COUNTIF(Control!$E$20:$E$100,BL$2)=0),VISUM_Arterial_OD!BL48*Control!$B$3,0)</f>
        <v>0</v>
      </c>
      <c r="BM48">
        <f>IF(AND(COUNTIF(Control!$E$20:$E$100,$B48)=0,COUNTIF(Control!$E$20:$E$100,BM$2)=0),VISUM_Arterial_OD!BM48*Control!$B$3,0)</f>
        <v>0</v>
      </c>
      <c r="BN48">
        <f>IF(AND(COUNTIF(Control!$E$20:$E$100,$B48)=0,COUNTIF(Control!$E$20:$E$100,BN$2)=0),VISUM_Arterial_OD!BN48*Control!$B$3,0)</f>
        <v>0</v>
      </c>
      <c r="BO48">
        <f>IF(AND(COUNTIF(Control!$E$20:$E$100,$B48)=0,COUNTIF(Control!$E$20:$E$100,BO$2)=0),VISUM_Arterial_OD!BO48*Control!$B$3,0)</f>
        <v>0</v>
      </c>
      <c r="BP48">
        <f>IF(AND(COUNTIF(Control!$E$20:$E$100,$B48)=0,COUNTIF(Control!$E$20:$E$100,BP$2)=0),VISUM_Arterial_OD!BP48*Control!$B$3,0)</f>
        <v>0</v>
      </c>
      <c r="BQ48">
        <f>IF(AND(COUNTIF(Control!$E$20:$E$100,$B48)=0,COUNTIF(Control!$E$20:$E$100,BQ$2)=0),VISUM_Arterial_OD!BQ48*Control!$B$3,0)</f>
        <v>0</v>
      </c>
    </row>
    <row r="49" spans="1:69" x14ac:dyDescent="0.25">
      <c r="A49" s="5">
        <f>IF(VLOOKUP(B49,Arterial_Zone_Link_Mapping!$A:$C,2,FALSE)&lt;&gt;"",VLOOKUP(B49,Arterial_Zone_Link_Mapping!$A:$C,2,FALSE),"")</f>
        <v>392</v>
      </c>
      <c r="B49" s="5">
        <v>71</v>
      </c>
      <c r="C49">
        <f>IF(AND(COUNTIF(Control!$E$20:$E$100,$B49)=0,COUNTIF(Control!$E$20:$E$100,C$2)=0),VISUM_Arterial_OD!C49*Control!$B$3,0)</f>
        <v>0</v>
      </c>
      <c r="D49">
        <f>IF(AND(COUNTIF(Control!$E$20:$E$100,$B49)=0,COUNTIF(Control!$E$20:$E$100,D$2)=0),VISUM_Arterial_OD!D49*Control!$B$3,0)</f>
        <v>0</v>
      </c>
      <c r="E49">
        <f>IF(AND(COUNTIF(Control!$E$20:$E$100,$B49)=0,COUNTIF(Control!$E$20:$E$100,E$2)=0),VISUM_Arterial_OD!E49*Control!$B$3,0)</f>
        <v>0</v>
      </c>
      <c r="F49">
        <f>IF(AND(COUNTIF(Control!$E$20:$E$100,$B49)=0,COUNTIF(Control!$E$20:$E$100,F$2)=0),VISUM_Arterial_OD!F49*Control!$B$3,0)</f>
        <v>0</v>
      </c>
      <c r="G49">
        <f>IF(AND(COUNTIF(Control!$E$20:$E$100,$B49)=0,COUNTIF(Control!$E$20:$E$100,G$2)=0),VISUM_Arterial_OD!G49*Control!$B$3,0)</f>
        <v>0</v>
      </c>
      <c r="H49">
        <f>IF(AND(COUNTIF(Control!$E$20:$E$100,$B49)=0,COUNTIF(Control!$E$20:$E$100,H$2)=0),VISUM_Arterial_OD!H49*Control!$B$3,0)</f>
        <v>0</v>
      </c>
      <c r="I49">
        <f>IF(AND(COUNTIF(Control!$E$20:$E$100,$B49)=0,COUNTIF(Control!$E$20:$E$100,I$2)=0),VISUM_Arterial_OD!I49*Control!$B$3,0)</f>
        <v>0</v>
      </c>
      <c r="J49">
        <f>IF(AND(COUNTIF(Control!$E$20:$E$100,$B49)=0,COUNTIF(Control!$E$20:$E$100,J$2)=0),VISUM_Arterial_OD!J49*Control!$B$3,0)</f>
        <v>0</v>
      </c>
      <c r="K49">
        <f>IF(AND(COUNTIF(Control!$E$20:$E$100,$B49)=0,COUNTIF(Control!$E$20:$E$100,K$2)=0),VISUM_Arterial_OD!K49*Control!$B$3,0)</f>
        <v>3.0002130899999999</v>
      </c>
      <c r="L49">
        <f>IF(AND(COUNTIF(Control!$E$20:$E$100,$B49)=0,COUNTIF(Control!$E$20:$E$100,L$2)=0),VISUM_Arterial_OD!L49*Control!$B$3,0)</f>
        <v>3.8889915599999996</v>
      </c>
      <c r="M49">
        <f>IF(AND(COUNTIF(Control!$E$20:$E$100,$B49)=0,COUNTIF(Control!$E$20:$E$100,M$2)=0),VISUM_Arterial_OD!M49*Control!$B$3,0)</f>
        <v>0</v>
      </c>
      <c r="N49">
        <f>IF(AND(COUNTIF(Control!$E$20:$E$100,$B49)=0,COUNTIF(Control!$E$20:$E$100,N$2)=0),VISUM_Arterial_OD!N49*Control!$B$3,0)</f>
        <v>0</v>
      </c>
      <c r="O49">
        <f>IF(AND(COUNTIF(Control!$E$20:$E$100,$B49)=0,COUNTIF(Control!$E$20:$E$100,O$2)=0),VISUM_Arterial_OD!O49*Control!$B$3,0)</f>
        <v>0</v>
      </c>
      <c r="P49">
        <f>IF(AND(COUNTIF(Control!$E$20:$E$100,$B49)=0,COUNTIF(Control!$E$20:$E$100,P$2)=0),VISUM_Arterial_OD!P49*Control!$B$3,0)</f>
        <v>1.9464623700000001</v>
      </c>
      <c r="Q49">
        <f>IF(AND(COUNTIF(Control!$E$20:$E$100,$B49)=0,COUNTIF(Control!$E$20:$E$100,Q$2)=0),VISUM_Arterial_OD!Q49*Control!$B$3,0)</f>
        <v>0</v>
      </c>
      <c r="R49">
        <f>IF(AND(COUNTIF(Control!$E$20:$E$100,$B49)=0,COUNTIF(Control!$E$20:$E$100,R$2)=0),VISUM_Arterial_OD!R49*Control!$B$3,0)</f>
        <v>0</v>
      </c>
      <c r="S49">
        <f>IF(AND(COUNTIF(Control!$E$20:$E$100,$B49)=0,COUNTIF(Control!$E$20:$E$100,S$2)=0),VISUM_Arterial_OD!S49*Control!$B$3,0)</f>
        <v>0</v>
      </c>
      <c r="T49">
        <f>IF(AND(COUNTIF(Control!$E$20:$E$100,$B49)=0,COUNTIF(Control!$E$20:$E$100,T$2)=0),VISUM_Arterial_OD!T49*Control!$B$3,0)</f>
        <v>0</v>
      </c>
      <c r="U49">
        <f>IF(AND(COUNTIF(Control!$E$20:$E$100,$B49)=0,COUNTIF(Control!$E$20:$E$100,U$2)=0),VISUM_Arterial_OD!U49*Control!$B$3,0)</f>
        <v>0</v>
      </c>
      <c r="V49">
        <f>IF(AND(COUNTIF(Control!$E$20:$E$100,$B49)=0,COUNTIF(Control!$E$20:$E$100,V$2)=0),VISUM_Arterial_OD!V49*Control!$B$3,0)</f>
        <v>0</v>
      </c>
      <c r="W49">
        <f>IF(AND(COUNTIF(Control!$E$20:$E$100,$B49)=0,COUNTIF(Control!$E$20:$E$100,W$2)=0),VISUM_Arterial_OD!W49*Control!$B$3,0)</f>
        <v>0</v>
      </c>
      <c r="X49">
        <f>IF(AND(COUNTIF(Control!$E$20:$E$100,$B49)=0,COUNTIF(Control!$E$20:$E$100,X$2)=0),VISUM_Arterial_OD!X49*Control!$B$3,0)</f>
        <v>0</v>
      </c>
      <c r="Y49">
        <f>IF(AND(COUNTIF(Control!$E$20:$E$100,$B49)=0,COUNTIF(Control!$E$20:$E$100,Y$2)=0),VISUM_Arterial_OD!Y49*Control!$B$3,0)</f>
        <v>0</v>
      </c>
      <c r="Z49">
        <f>IF(AND(COUNTIF(Control!$E$20:$E$100,$B49)=0,COUNTIF(Control!$E$20:$E$100,Z$2)=0),VISUM_Arterial_OD!Z49*Control!$B$3,0)</f>
        <v>0</v>
      </c>
      <c r="AA49">
        <f>IF(AND(COUNTIF(Control!$E$20:$E$100,$B49)=0,COUNTIF(Control!$E$20:$E$100,AA$2)=0),VISUM_Arterial_OD!AA49*Control!$B$3,0)</f>
        <v>0</v>
      </c>
      <c r="AB49">
        <f>IF(AND(COUNTIF(Control!$E$20:$E$100,$B49)=0,COUNTIF(Control!$E$20:$E$100,AB$2)=0),VISUM_Arterial_OD!AB49*Control!$B$3,0)</f>
        <v>0</v>
      </c>
      <c r="AC49">
        <f>IF(AND(COUNTIF(Control!$E$20:$E$100,$B49)=0,COUNTIF(Control!$E$20:$E$100,AC$2)=0),VISUM_Arterial_OD!AC49*Control!$B$3,0)</f>
        <v>0.76425743999999995</v>
      </c>
      <c r="AD49">
        <f>IF(AND(COUNTIF(Control!$E$20:$E$100,$B49)=0,COUNTIF(Control!$E$20:$E$100,AD$2)=0),VISUM_Arterial_OD!AD49*Control!$B$3,0)</f>
        <v>0</v>
      </c>
      <c r="AE49">
        <f>IF(AND(COUNTIF(Control!$E$20:$E$100,$B49)=0,COUNTIF(Control!$E$20:$E$100,AE$2)=0),VISUM_Arterial_OD!AE49*Control!$B$3,0)</f>
        <v>0</v>
      </c>
      <c r="AF49">
        <f>IF(AND(COUNTIF(Control!$E$20:$E$100,$B49)=0,COUNTIF(Control!$E$20:$E$100,AF$2)=0),VISUM_Arterial_OD!AF49*Control!$B$3,0)</f>
        <v>0</v>
      </c>
      <c r="AG49">
        <f>IF(AND(COUNTIF(Control!$E$20:$E$100,$B49)=0,COUNTIF(Control!$E$20:$E$100,AG$2)=0),VISUM_Arterial_OD!AG49*Control!$B$3,0)</f>
        <v>0</v>
      </c>
      <c r="AH49">
        <f>IF(AND(COUNTIF(Control!$E$20:$E$100,$B49)=0,COUNTIF(Control!$E$20:$E$100,AH$2)=0),VISUM_Arterial_OD!AH49*Control!$B$3,0)</f>
        <v>0</v>
      </c>
      <c r="AI49">
        <f>IF(AND(COUNTIF(Control!$E$20:$E$100,$B49)=0,COUNTIF(Control!$E$20:$E$100,AI$2)=0),VISUM_Arterial_OD!AI49*Control!$B$3,0)</f>
        <v>0</v>
      </c>
      <c r="AJ49">
        <f>IF(AND(COUNTIF(Control!$E$20:$E$100,$B49)=0,COUNTIF(Control!$E$20:$E$100,AJ$2)=0),VISUM_Arterial_OD!AJ49*Control!$B$3,0)</f>
        <v>0</v>
      </c>
      <c r="AK49">
        <f>IF(AND(COUNTIF(Control!$E$20:$E$100,$B49)=0,COUNTIF(Control!$E$20:$E$100,AK$2)=0),VISUM_Arterial_OD!AK49*Control!$B$3,0)</f>
        <v>0</v>
      </c>
      <c r="AL49">
        <f>IF(AND(COUNTIF(Control!$E$20:$E$100,$B49)=0,COUNTIF(Control!$E$20:$E$100,AL$2)=0),VISUM_Arterial_OD!AL49*Control!$B$3,0)</f>
        <v>0</v>
      </c>
      <c r="AM49">
        <f>IF(AND(COUNTIF(Control!$E$20:$E$100,$B49)=0,COUNTIF(Control!$E$20:$E$100,AM$2)=0),VISUM_Arterial_OD!AM49*Control!$B$3,0)</f>
        <v>0</v>
      </c>
      <c r="AN49">
        <f>IF(AND(COUNTIF(Control!$E$20:$E$100,$B49)=0,COUNTIF(Control!$E$20:$E$100,AN$2)=0),VISUM_Arterial_OD!AN49*Control!$B$3,0)</f>
        <v>0</v>
      </c>
      <c r="AO49">
        <f>IF(AND(COUNTIF(Control!$E$20:$E$100,$B49)=0,COUNTIF(Control!$E$20:$E$100,AO$2)=0),VISUM_Arterial_OD!AO49*Control!$B$3,0)</f>
        <v>0</v>
      </c>
      <c r="AP49">
        <f>IF(AND(COUNTIF(Control!$E$20:$E$100,$B49)=0,COUNTIF(Control!$E$20:$E$100,AP$2)=0),VISUM_Arterial_OD!AP49*Control!$B$3,0)</f>
        <v>0</v>
      </c>
      <c r="AQ49">
        <f>IF(AND(COUNTIF(Control!$E$20:$E$100,$B49)=0,COUNTIF(Control!$E$20:$E$100,AQ$2)=0),VISUM_Arterial_OD!AQ49*Control!$B$3,0)</f>
        <v>0</v>
      </c>
      <c r="AR49">
        <f>IF(AND(COUNTIF(Control!$E$20:$E$100,$B49)=0,COUNTIF(Control!$E$20:$E$100,AR$2)=0),VISUM_Arterial_OD!AR49*Control!$B$3,0)</f>
        <v>0</v>
      </c>
      <c r="AS49">
        <f>IF(AND(COUNTIF(Control!$E$20:$E$100,$B49)=0,COUNTIF(Control!$E$20:$E$100,AS$2)=0),VISUM_Arterial_OD!AS49*Control!$B$3,0)</f>
        <v>0</v>
      </c>
      <c r="AT49">
        <f>IF(AND(COUNTIF(Control!$E$20:$E$100,$B49)=0,COUNTIF(Control!$E$20:$E$100,AT$2)=0),VISUM_Arterial_OD!AT49*Control!$B$3,0)</f>
        <v>0</v>
      </c>
      <c r="AU49">
        <f>IF(AND(COUNTIF(Control!$E$20:$E$100,$B49)=0,COUNTIF(Control!$E$20:$E$100,AU$2)=0),VISUM_Arterial_OD!AU49*Control!$B$3,0)</f>
        <v>0</v>
      </c>
      <c r="AV49">
        <f>IF(AND(COUNTIF(Control!$E$20:$E$100,$B49)=0,COUNTIF(Control!$E$20:$E$100,AV$2)=0),VISUM_Arterial_OD!AV49*Control!$B$3,0)</f>
        <v>0</v>
      </c>
      <c r="AW49">
        <f>IF(AND(COUNTIF(Control!$E$20:$E$100,$B49)=0,COUNTIF(Control!$E$20:$E$100,AW$2)=0),VISUM_Arterial_OD!AW49*Control!$B$3,0)</f>
        <v>0</v>
      </c>
      <c r="AX49">
        <f>IF(AND(COUNTIF(Control!$E$20:$E$100,$B49)=0,COUNTIF(Control!$E$20:$E$100,AX$2)=0),VISUM_Arterial_OD!AX49*Control!$B$3,0)</f>
        <v>0</v>
      </c>
      <c r="AY49">
        <f>IF(AND(COUNTIF(Control!$E$20:$E$100,$B49)=0,COUNTIF(Control!$E$20:$E$100,AY$2)=0),VISUM_Arterial_OD!AY49*Control!$B$3,0)</f>
        <v>0</v>
      </c>
      <c r="AZ49">
        <f>IF(AND(COUNTIF(Control!$E$20:$E$100,$B49)=0,COUNTIF(Control!$E$20:$E$100,AZ$2)=0),VISUM_Arterial_OD!AZ49*Control!$B$3,0)</f>
        <v>0</v>
      </c>
      <c r="BA49">
        <f>IF(AND(COUNTIF(Control!$E$20:$E$100,$B49)=0,COUNTIF(Control!$E$20:$E$100,BA$2)=0),VISUM_Arterial_OD!BA49*Control!$B$3,0)</f>
        <v>0</v>
      </c>
      <c r="BB49">
        <f>IF(AND(COUNTIF(Control!$E$20:$E$100,$B49)=0,COUNTIF(Control!$E$20:$E$100,BB$2)=0),VISUM_Arterial_OD!BB49*Control!$B$3,0)</f>
        <v>0</v>
      </c>
      <c r="BC49">
        <f>IF(AND(COUNTIF(Control!$E$20:$E$100,$B49)=0,COUNTIF(Control!$E$20:$E$100,BC$2)=0),VISUM_Arterial_OD!BC49*Control!$B$3,0)</f>
        <v>0</v>
      </c>
      <c r="BD49">
        <f>IF(AND(COUNTIF(Control!$E$20:$E$100,$B49)=0,COUNTIF(Control!$E$20:$E$100,BD$2)=0),VISUM_Arterial_OD!BD49*Control!$B$3,0)</f>
        <v>0</v>
      </c>
      <c r="BE49">
        <f>IF(AND(COUNTIF(Control!$E$20:$E$100,$B49)=0,COUNTIF(Control!$E$20:$E$100,BE$2)=0),VISUM_Arterial_OD!BE49*Control!$B$3,0)</f>
        <v>0</v>
      </c>
      <c r="BF49">
        <f>IF(AND(COUNTIF(Control!$E$20:$E$100,$B49)=0,COUNTIF(Control!$E$20:$E$100,BF$2)=0),VISUM_Arterial_OD!BF49*Control!$B$3,0)</f>
        <v>0</v>
      </c>
      <c r="BG49">
        <f>IF(AND(COUNTIF(Control!$E$20:$E$100,$B49)=0,COUNTIF(Control!$E$20:$E$100,BG$2)=0),VISUM_Arterial_OD!BG49*Control!$B$3,0)</f>
        <v>0</v>
      </c>
      <c r="BH49">
        <f>IF(AND(COUNTIF(Control!$E$20:$E$100,$B49)=0,COUNTIF(Control!$E$20:$E$100,BH$2)=0),VISUM_Arterial_OD!BH49*Control!$B$3,0)</f>
        <v>0</v>
      </c>
      <c r="BI49">
        <f>IF(AND(COUNTIF(Control!$E$20:$E$100,$B49)=0,COUNTIF(Control!$E$20:$E$100,BI$2)=0),VISUM_Arterial_OD!BI49*Control!$B$3,0)</f>
        <v>0</v>
      </c>
      <c r="BJ49">
        <f>IF(AND(COUNTIF(Control!$E$20:$E$100,$B49)=0,COUNTIF(Control!$E$20:$E$100,BJ$2)=0),VISUM_Arterial_OD!BJ49*Control!$B$3,0)</f>
        <v>0</v>
      </c>
      <c r="BK49">
        <f>IF(AND(COUNTIF(Control!$E$20:$E$100,$B49)=0,COUNTIF(Control!$E$20:$E$100,BK$2)=0),VISUM_Arterial_OD!BK49*Control!$B$3,0)</f>
        <v>0</v>
      </c>
      <c r="BL49">
        <f>IF(AND(COUNTIF(Control!$E$20:$E$100,$B49)=0,COUNTIF(Control!$E$20:$E$100,BL$2)=0),VISUM_Arterial_OD!BL49*Control!$B$3,0)</f>
        <v>0</v>
      </c>
      <c r="BM49">
        <f>IF(AND(COUNTIF(Control!$E$20:$E$100,$B49)=0,COUNTIF(Control!$E$20:$E$100,BM$2)=0),VISUM_Arterial_OD!BM49*Control!$B$3,0)</f>
        <v>0</v>
      </c>
      <c r="BN49">
        <f>IF(AND(COUNTIF(Control!$E$20:$E$100,$B49)=0,COUNTIF(Control!$E$20:$E$100,BN$2)=0),VISUM_Arterial_OD!BN49*Control!$B$3,0)</f>
        <v>0</v>
      </c>
      <c r="BO49">
        <f>IF(AND(COUNTIF(Control!$E$20:$E$100,$B49)=0,COUNTIF(Control!$E$20:$E$100,BO$2)=0),VISUM_Arterial_OD!BO49*Control!$B$3,0)</f>
        <v>0</v>
      </c>
      <c r="BP49">
        <f>IF(AND(COUNTIF(Control!$E$20:$E$100,$B49)=0,COUNTIF(Control!$E$20:$E$100,BP$2)=0),VISUM_Arterial_OD!BP49*Control!$B$3,0)</f>
        <v>0</v>
      </c>
      <c r="BQ49">
        <f>IF(AND(COUNTIF(Control!$E$20:$E$100,$B49)=0,COUNTIF(Control!$E$20:$E$100,BQ$2)=0),VISUM_Arterial_OD!BQ49*Control!$B$3,0)</f>
        <v>0</v>
      </c>
    </row>
    <row r="50" spans="1:69" x14ac:dyDescent="0.25">
      <c r="A50" s="5" t="str">
        <f>IF(VLOOKUP(B50,Arterial_Zone_Link_Mapping!$A:$C,2,FALSE)&lt;&gt;"",VLOOKUP(B50,Arterial_Zone_Link_Mapping!$A:$C,2,FALSE),"")</f>
        <v/>
      </c>
      <c r="B50" s="5">
        <v>72</v>
      </c>
      <c r="C50">
        <f>IF(AND(COUNTIF(Control!$E$20:$E$100,$B50)=0,COUNTIF(Control!$E$20:$E$100,C$2)=0),VISUM_Arterial_OD!C50*Control!$B$3,0)</f>
        <v>0</v>
      </c>
      <c r="D50">
        <f>IF(AND(COUNTIF(Control!$E$20:$E$100,$B50)=0,COUNTIF(Control!$E$20:$E$100,D$2)=0),VISUM_Arterial_OD!D50*Control!$B$3,0)</f>
        <v>0</v>
      </c>
      <c r="E50">
        <f>IF(AND(COUNTIF(Control!$E$20:$E$100,$B50)=0,COUNTIF(Control!$E$20:$E$100,E$2)=0),VISUM_Arterial_OD!E50*Control!$B$3,0)</f>
        <v>0</v>
      </c>
      <c r="F50">
        <f>IF(AND(COUNTIF(Control!$E$20:$E$100,$B50)=0,COUNTIF(Control!$E$20:$E$100,F$2)=0),VISUM_Arterial_OD!F50*Control!$B$3,0)</f>
        <v>0</v>
      </c>
      <c r="G50">
        <f>IF(AND(COUNTIF(Control!$E$20:$E$100,$B50)=0,COUNTIF(Control!$E$20:$E$100,G$2)=0),VISUM_Arterial_OD!G50*Control!$B$3,0)</f>
        <v>0</v>
      </c>
      <c r="H50">
        <f>IF(AND(COUNTIF(Control!$E$20:$E$100,$B50)=0,COUNTIF(Control!$E$20:$E$100,H$2)=0),VISUM_Arterial_OD!H50*Control!$B$3,0)</f>
        <v>0</v>
      </c>
      <c r="I50">
        <f>IF(AND(COUNTIF(Control!$E$20:$E$100,$B50)=0,COUNTIF(Control!$E$20:$E$100,I$2)=0),VISUM_Arterial_OD!I50*Control!$B$3,0)</f>
        <v>0</v>
      </c>
      <c r="J50">
        <f>IF(AND(COUNTIF(Control!$E$20:$E$100,$B50)=0,COUNTIF(Control!$E$20:$E$100,J$2)=0),VISUM_Arterial_OD!J50*Control!$B$3,0)</f>
        <v>0</v>
      </c>
      <c r="K50">
        <f>IF(AND(COUNTIF(Control!$E$20:$E$100,$B50)=0,COUNTIF(Control!$E$20:$E$100,K$2)=0),VISUM_Arterial_OD!K50*Control!$B$3,0)</f>
        <v>0</v>
      </c>
      <c r="L50">
        <f>IF(AND(COUNTIF(Control!$E$20:$E$100,$B50)=0,COUNTIF(Control!$E$20:$E$100,L$2)=0),VISUM_Arterial_OD!L50*Control!$B$3,0)</f>
        <v>0</v>
      </c>
      <c r="M50">
        <f>IF(AND(COUNTIF(Control!$E$20:$E$100,$B50)=0,COUNTIF(Control!$E$20:$E$100,M$2)=0),VISUM_Arterial_OD!M50*Control!$B$3,0)</f>
        <v>0</v>
      </c>
      <c r="N50">
        <f>IF(AND(COUNTIF(Control!$E$20:$E$100,$B50)=0,COUNTIF(Control!$E$20:$E$100,N$2)=0),VISUM_Arterial_OD!N50*Control!$B$3,0)</f>
        <v>0</v>
      </c>
      <c r="O50">
        <f>IF(AND(COUNTIF(Control!$E$20:$E$100,$B50)=0,COUNTIF(Control!$E$20:$E$100,O$2)=0),VISUM_Arterial_OD!O50*Control!$B$3,0)</f>
        <v>0</v>
      </c>
      <c r="P50">
        <f>IF(AND(COUNTIF(Control!$E$20:$E$100,$B50)=0,COUNTIF(Control!$E$20:$E$100,P$2)=0),VISUM_Arterial_OD!P50*Control!$B$3,0)</f>
        <v>0</v>
      </c>
      <c r="Q50">
        <f>IF(AND(COUNTIF(Control!$E$20:$E$100,$B50)=0,COUNTIF(Control!$E$20:$E$100,Q$2)=0),VISUM_Arterial_OD!Q50*Control!$B$3,0)</f>
        <v>0</v>
      </c>
      <c r="R50">
        <f>IF(AND(COUNTIF(Control!$E$20:$E$100,$B50)=0,COUNTIF(Control!$E$20:$E$100,R$2)=0),VISUM_Arterial_OD!R50*Control!$B$3,0)</f>
        <v>0</v>
      </c>
      <c r="S50">
        <f>IF(AND(COUNTIF(Control!$E$20:$E$100,$B50)=0,COUNTIF(Control!$E$20:$E$100,S$2)=0),VISUM_Arterial_OD!S50*Control!$B$3,0)</f>
        <v>0</v>
      </c>
      <c r="T50">
        <f>IF(AND(COUNTIF(Control!$E$20:$E$100,$B50)=0,COUNTIF(Control!$E$20:$E$100,T$2)=0),VISUM_Arterial_OD!T50*Control!$B$3,0)</f>
        <v>0</v>
      </c>
      <c r="U50">
        <f>IF(AND(COUNTIF(Control!$E$20:$E$100,$B50)=0,COUNTIF(Control!$E$20:$E$100,U$2)=0),VISUM_Arterial_OD!U50*Control!$B$3,0)</f>
        <v>0</v>
      </c>
      <c r="V50">
        <f>IF(AND(COUNTIF(Control!$E$20:$E$100,$B50)=0,COUNTIF(Control!$E$20:$E$100,V$2)=0),VISUM_Arterial_OD!V50*Control!$B$3,0)</f>
        <v>0</v>
      </c>
      <c r="W50">
        <f>IF(AND(COUNTIF(Control!$E$20:$E$100,$B50)=0,COUNTIF(Control!$E$20:$E$100,W$2)=0),VISUM_Arterial_OD!W50*Control!$B$3,0)</f>
        <v>0</v>
      </c>
      <c r="X50">
        <f>IF(AND(COUNTIF(Control!$E$20:$E$100,$B50)=0,COUNTIF(Control!$E$20:$E$100,X$2)=0),VISUM_Arterial_OD!X50*Control!$B$3,0)</f>
        <v>0</v>
      </c>
      <c r="Y50">
        <f>IF(AND(COUNTIF(Control!$E$20:$E$100,$B50)=0,COUNTIF(Control!$E$20:$E$100,Y$2)=0),VISUM_Arterial_OD!Y50*Control!$B$3,0)</f>
        <v>0</v>
      </c>
      <c r="Z50">
        <f>IF(AND(COUNTIF(Control!$E$20:$E$100,$B50)=0,COUNTIF(Control!$E$20:$E$100,Z$2)=0),VISUM_Arterial_OD!Z50*Control!$B$3,0)</f>
        <v>0</v>
      </c>
      <c r="AA50">
        <f>IF(AND(COUNTIF(Control!$E$20:$E$100,$B50)=0,COUNTIF(Control!$E$20:$E$100,AA$2)=0),VISUM_Arterial_OD!AA50*Control!$B$3,0)</f>
        <v>0</v>
      </c>
      <c r="AB50">
        <f>IF(AND(COUNTIF(Control!$E$20:$E$100,$B50)=0,COUNTIF(Control!$E$20:$E$100,AB$2)=0),VISUM_Arterial_OD!AB50*Control!$B$3,0)</f>
        <v>0</v>
      </c>
      <c r="AC50">
        <f>IF(AND(COUNTIF(Control!$E$20:$E$100,$B50)=0,COUNTIF(Control!$E$20:$E$100,AC$2)=0),VISUM_Arterial_OD!AC50*Control!$B$3,0)</f>
        <v>0</v>
      </c>
      <c r="AD50">
        <f>IF(AND(COUNTIF(Control!$E$20:$E$100,$B50)=0,COUNTIF(Control!$E$20:$E$100,AD$2)=0),VISUM_Arterial_OD!AD50*Control!$B$3,0)</f>
        <v>0</v>
      </c>
      <c r="AE50">
        <f>IF(AND(COUNTIF(Control!$E$20:$E$100,$B50)=0,COUNTIF(Control!$E$20:$E$100,AE$2)=0),VISUM_Arterial_OD!AE50*Control!$B$3,0)</f>
        <v>0</v>
      </c>
      <c r="AF50">
        <f>IF(AND(COUNTIF(Control!$E$20:$E$100,$B50)=0,COUNTIF(Control!$E$20:$E$100,AF$2)=0),VISUM_Arterial_OD!AF50*Control!$B$3,0)</f>
        <v>0</v>
      </c>
      <c r="AG50">
        <f>IF(AND(COUNTIF(Control!$E$20:$E$100,$B50)=0,COUNTIF(Control!$E$20:$E$100,AG$2)=0),VISUM_Arterial_OD!AG50*Control!$B$3,0)</f>
        <v>0</v>
      </c>
      <c r="AH50">
        <f>IF(AND(COUNTIF(Control!$E$20:$E$100,$B50)=0,COUNTIF(Control!$E$20:$E$100,AH$2)=0),VISUM_Arterial_OD!AH50*Control!$B$3,0)</f>
        <v>0</v>
      </c>
      <c r="AI50">
        <f>IF(AND(COUNTIF(Control!$E$20:$E$100,$B50)=0,COUNTIF(Control!$E$20:$E$100,AI$2)=0),VISUM_Arterial_OD!AI50*Control!$B$3,0)</f>
        <v>0</v>
      </c>
      <c r="AJ50">
        <f>IF(AND(COUNTIF(Control!$E$20:$E$100,$B50)=0,COUNTIF(Control!$E$20:$E$100,AJ$2)=0),VISUM_Arterial_OD!AJ50*Control!$B$3,0)</f>
        <v>0</v>
      </c>
      <c r="AK50">
        <f>IF(AND(COUNTIF(Control!$E$20:$E$100,$B50)=0,COUNTIF(Control!$E$20:$E$100,AK$2)=0),VISUM_Arterial_OD!AK50*Control!$B$3,0)</f>
        <v>0</v>
      </c>
      <c r="AL50">
        <f>IF(AND(COUNTIF(Control!$E$20:$E$100,$B50)=0,COUNTIF(Control!$E$20:$E$100,AL$2)=0),VISUM_Arterial_OD!AL50*Control!$B$3,0)</f>
        <v>0</v>
      </c>
      <c r="AM50">
        <f>IF(AND(COUNTIF(Control!$E$20:$E$100,$B50)=0,COUNTIF(Control!$E$20:$E$100,AM$2)=0),VISUM_Arterial_OD!AM50*Control!$B$3,0)</f>
        <v>0</v>
      </c>
      <c r="AN50">
        <f>IF(AND(COUNTIF(Control!$E$20:$E$100,$B50)=0,COUNTIF(Control!$E$20:$E$100,AN$2)=0),VISUM_Arterial_OD!AN50*Control!$B$3,0)</f>
        <v>0</v>
      </c>
      <c r="AO50">
        <f>IF(AND(COUNTIF(Control!$E$20:$E$100,$B50)=0,COUNTIF(Control!$E$20:$E$100,AO$2)=0),VISUM_Arterial_OD!AO50*Control!$B$3,0)</f>
        <v>0</v>
      </c>
      <c r="AP50">
        <f>IF(AND(COUNTIF(Control!$E$20:$E$100,$B50)=0,COUNTIF(Control!$E$20:$E$100,AP$2)=0),VISUM_Arterial_OD!AP50*Control!$B$3,0)</f>
        <v>0</v>
      </c>
      <c r="AQ50">
        <f>IF(AND(COUNTIF(Control!$E$20:$E$100,$B50)=0,COUNTIF(Control!$E$20:$E$100,AQ$2)=0),VISUM_Arterial_OD!AQ50*Control!$B$3,0)</f>
        <v>0</v>
      </c>
      <c r="AR50">
        <f>IF(AND(COUNTIF(Control!$E$20:$E$100,$B50)=0,COUNTIF(Control!$E$20:$E$100,AR$2)=0),VISUM_Arterial_OD!AR50*Control!$B$3,0)</f>
        <v>0</v>
      </c>
      <c r="AS50">
        <f>IF(AND(COUNTIF(Control!$E$20:$E$100,$B50)=0,COUNTIF(Control!$E$20:$E$100,AS$2)=0),VISUM_Arterial_OD!AS50*Control!$B$3,0)</f>
        <v>0</v>
      </c>
      <c r="AT50">
        <f>IF(AND(COUNTIF(Control!$E$20:$E$100,$B50)=0,COUNTIF(Control!$E$20:$E$100,AT$2)=0),VISUM_Arterial_OD!AT50*Control!$B$3,0)</f>
        <v>0</v>
      </c>
      <c r="AU50">
        <f>IF(AND(COUNTIF(Control!$E$20:$E$100,$B50)=0,COUNTIF(Control!$E$20:$E$100,AU$2)=0),VISUM_Arterial_OD!AU50*Control!$B$3,0)</f>
        <v>0</v>
      </c>
      <c r="AV50">
        <f>IF(AND(COUNTIF(Control!$E$20:$E$100,$B50)=0,COUNTIF(Control!$E$20:$E$100,AV$2)=0),VISUM_Arterial_OD!AV50*Control!$B$3,0)</f>
        <v>0</v>
      </c>
      <c r="AW50">
        <f>IF(AND(COUNTIF(Control!$E$20:$E$100,$B50)=0,COUNTIF(Control!$E$20:$E$100,AW$2)=0),VISUM_Arterial_OD!AW50*Control!$B$3,0)</f>
        <v>0</v>
      </c>
      <c r="AX50">
        <f>IF(AND(COUNTIF(Control!$E$20:$E$100,$B50)=0,COUNTIF(Control!$E$20:$E$100,AX$2)=0),VISUM_Arterial_OD!AX50*Control!$B$3,0)</f>
        <v>0</v>
      </c>
      <c r="AY50">
        <f>IF(AND(COUNTIF(Control!$E$20:$E$100,$B50)=0,COUNTIF(Control!$E$20:$E$100,AY$2)=0),VISUM_Arterial_OD!AY50*Control!$B$3,0)</f>
        <v>0</v>
      </c>
      <c r="AZ50">
        <f>IF(AND(COUNTIF(Control!$E$20:$E$100,$B50)=0,COUNTIF(Control!$E$20:$E$100,AZ$2)=0),VISUM_Arterial_OD!AZ50*Control!$B$3,0)</f>
        <v>0</v>
      </c>
      <c r="BA50">
        <f>IF(AND(COUNTIF(Control!$E$20:$E$100,$B50)=0,COUNTIF(Control!$E$20:$E$100,BA$2)=0),VISUM_Arterial_OD!BA50*Control!$B$3,0)</f>
        <v>0</v>
      </c>
      <c r="BB50">
        <f>IF(AND(COUNTIF(Control!$E$20:$E$100,$B50)=0,COUNTIF(Control!$E$20:$E$100,BB$2)=0),VISUM_Arterial_OD!BB50*Control!$B$3,0)</f>
        <v>0</v>
      </c>
      <c r="BC50">
        <f>IF(AND(COUNTIF(Control!$E$20:$E$100,$B50)=0,COUNTIF(Control!$E$20:$E$100,BC$2)=0),VISUM_Arterial_OD!BC50*Control!$B$3,0)</f>
        <v>0</v>
      </c>
      <c r="BD50">
        <f>IF(AND(COUNTIF(Control!$E$20:$E$100,$B50)=0,COUNTIF(Control!$E$20:$E$100,BD$2)=0),VISUM_Arterial_OD!BD50*Control!$B$3,0)</f>
        <v>0</v>
      </c>
      <c r="BE50">
        <f>IF(AND(COUNTIF(Control!$E$20:$E$100,$B50)=0,COUNTIF(Control!$E$20:$E$100,BE$2)=0),VISUM_Arterial_OD!BE50*Control!$B$3,0)</f>
        <v>0</v>
      </c>
      <c r="BF50">
        <f>IF(AND(COUNTIF(Control!$E$20:$E$100,$B50)=0,COUNTIF(Control!$E$20:$E$100,BF$2)=0),VISUM_Arterial_OD!BF50*Control!$B$3,0)</f>
        <v>0</v>
      </c>
      <c r="BG50">
        <f>IF(AND(COUNTIF(Control!$E$20:$E$100,$B50)=0,COUNTIF(Control!$E$20:$E$100,BG$2)=0),VISUM_Arterial_OD!BG50*Control!$B$3,0)</f>
        <v>0</v>
      </c>
      <c r="BH50">
        <f>IF(AND(COUNTIF(Control!$E$20:$E$100,$B50)=0,COUNTIF(Control!$E$20:$E$100,BH$2)=0),VISUM_Arterial_OD!BH50*Control!$B$3,0)</f>
        <v>0</v>
      </c>
      <c r="BI50">
        <f>IF(AND(COUNTIF(Control!$E$20:$E$100,$B50)=0,COUNTIF(Control!$E$20:$E$100,BI$2)=0),VISUM_Arterial_OD!BI50*Control!$B$3,0)</f>
        <v>0</v>
      </c>
      <c r="BJ50">
        <f>IF(AND(COUNTIF(Control!$E$20:$E$100,$B50)=0,COUNTIF(Control!$E$20:$E$100,BJ$2)=0),VISUM_Arterial_OD!BJ50*Control!$B$3,0)</f>
        <v>0</v>
      </c>
      <c r="BK50">
        <f>IF(AND(COUNTIF(Control!$E$20:$E$100,$B50)=0,COUNTIF(Control!$E$20:$E$100,BK$2)=0),VISUM_Arterial_OD!BK50*Control!$B$3,0)</f>
        <v>0</v>
      </c>
      <c r="BL50">
        <f>IF(AND(COUNTIF(Control!$E$20:$E$100,$B50)=0,COUNTIF(Control!$E$20:$E$100,BL$2)=0),VISUM_Arterial_OD!BL50*Control!$B$3,0)</f>
        <v>0</v>
      </c>
      <c r="BM50">
        <f>IF(AND(COUNTIF(Control!$E$20:$E$100,$B50)=0,COUNTIF(Control!$E$20:$E$100,BM$2)=0),VISUM_Arterial_OD!BM50*Control!$B$3,0)</f>
        <v>0</v>
      </c>
      <c r="BN50">
        <f>IF(AND(COUNTIF(Control!$E$20:$E$100,$B50)=0,COUNTIF(Control!$E$20:$E$100,BN$2)=0),VISUM_Arterial_OD!BN50*Control!$B$3,0)</f>
        <v>0</v>
      </c>
      <c r="BO50">
        <f>IF(AND(COUNTIF(Control!$E$20:$E$100,$B50)=0,COUNTIF(Control!$E$20:$E$100,BO$2)=0),VISUM_Arterial_OD!BO50*Control!$B$3,0)</f>
        <v>0</v>
      </c>
      <c r="BP50">
        <f>IF(AND(COUNTIF(Control!$E$20:$E$100,$B50)=0,COUNTIF(Control!$E$20:$E$100,BP$2)=0),VISUM_Arterial_OD!BP50*Control!$B$3,0)</f>
        <v>0</v>
      </c>
      <c r="BQ50">
        <f>IF(AND(COUNTIF(Control!$E$20:$E$100,$B50)=0,COUNTIF(Control!$E$20:$E$100,BQ$2)=0),VISUM_Arterial_OD!BQ50*Control!$B$3,0)</f>
        <v>0</v>
      </c>
    </row>
    <row r="51" spans="1:69" x14ac:dyDescent="0.25">
      <c r="A51" s="5">
        <f>IF(VLOOKUP(B51,Arterial_Zone_Link_Mapping!$A:$C,2,FALSE)&lt;&gt;"",VLOOKUP(B51,Arterial_Zone_Link_Mapping!$A:$C,2,FALSE),"")</f>
        <v>28280063</v>
      </c>
      <c r="B51" s="5">
        <v>73</v>
      </c>
      <c r="C51">
        <f>IF(AND(COUNTIF(Control!$E$20:$E$100,$B51)=0,COUNTIF(Control!$E$20:$E$100,C$2)=0),VISUM_Arterial_OD!C51*Control!$B$3,0)</f>
        <v>0</v>
      </c>
      <c r="D51">
        <f>IF(AND(COUNTIF(Control!$E$20:$E$100,$B51)=0,COUNTIF(Control!$E$20:$E$100,D$2)=0),VISUM_Arterial_OD!D51*Control!$B$3,0)</f>
        <v>0</v>
      </c>
      <c r="E51">
        <f>IF(AND(COUNTIF(Control!$E$20:$E$100,$B51)=0,COUNTIF(Control!$E$20:$E$100,E$2)=0),VISUM_Arterial_OD!E51*Control!$B$3,0)</f>
        <v>0</v>
      </c>
      <c r="F51">
        <f>IF(AND(COUNTIF(Control!$E$20:$E$100,$B51)=0,COUNTIF(Control!$E$20:$E$100,F$2)=0),VISUM_Arterial_OD!F51*Control!$B$3,0)</f>
        <v>0</v>
      </c>
      <c r="G51">
        <f>IF(AND(COUNTIF(Control!$E$20:$E$100,$B51)=0,COUNTIF(Control!$E$20:$E$100,G$2)=0),VISUM_Arterial_OD!G51*Control!$B$3,0)</f>
        <v>0</v>
      </c>
      <c r="H51">
        <f>IF(AND(COUNTIF(Control!$E$20:$E$100,$B51)=0,COUNTIF(Control!$E$20:$E$100,H$2)=0),VISUM_Arterial_OD!H51*Control!$B$3,0)</f>
        <v>0</v>
      </c>
      <c r="I51">
        <f>IF(AND(COUNTIF(Control!$E$20:$E$100,$B51)=0,COUNTIF(Control!$E$20:$E$100,I$2)=0),VISUM_Arterial_OD!I51*Control!$B$3,0)</f>
        <v>0</v>
      </c>
      <c r="J51">
        <f>IF(AND(COUNTIF(Control!$E$20:$E$100,$B51)=0,COUNTIF(Control!$E$20:$E$100,J$2)=0),VISUM_Arterial_OD!J51*Control!$B$3,0)</f>
        <v>0</v>
      </c>
      <c r="K51">
        <f>IF(AND(COUNTIF(Control!$E$20:$E$100,$B51)=0,COUNTIF(Control!$E$20:$E$100,K$2)=0),VISUM_Arterial_OD!K51*Control!$B$3,0)</f>
        <v>0</v>
      </c>
      <c r="L51">
        <f>IF(AND(COUNTIF(Control!$E$20:$E$100,$B51)=0,COUNTIF(Control!$E$20:$E$100,L$2)=0),VISUM_Arterial_OD!L51*Control!$B$3,0)</f>
        <v>0</v>
      </c>
      <c r="M51">
        <f>IF(AND(COUNTIF(Control!$E$20:$E$100,$B51)=0,COUNTIF(Control!$E$20:$E$100,M$2)=0),VISUM_Arterial_OD!M51*Control!$B$3,0)</f>
        <v>0</v>
      </c>
      <c r="N51">
        <f>IF(AND(COUNTIF(Control!$E$20:$E$100,$B51)=0,COUNTIF(Control!$E$20:$E$100,N$2)=0),VISUM_Arterial_OD!N51*Control!$B$3,0)</f>
        <v>0</v>
      </c>
      <c r="O51">
        <f>IF(AND(COUNTIF(Control!$E$20:$E$100,$B51)=0,COUNTIF(Control!$E$20:$E$100,O$2)=0),VISUM_Arterial_OD!O51*Control!$B$3,0)</f>
        <v>0</v>
      </c>
      <c r="P51">
        <f>IF(AND(COUNTIF(Control!$E$20:$E$100,$B51)=0,COUNTIF(Control!$E$20:$E$100,P$2)=0),VISUM_Arterial_OD!P51*Control!$B$3,0)</f>
        <v>0</v>
      </c>
      <c r="Q51">
        <f>IF(AND(COUNTIF(Control!$E$20:$E$100,$B51)=0,COUNTIF(Control!$E$20:$E$100,Q$2)=0),VISUM_Arterial_OD!Q51*Control!$B$3,0)</f>
        <v>0</v>
      </c>
      <c r="R51">
        <f>IF(AND(COUNTIF(Control!$E$20:$E$100,$B51)=0,COUNTIF(Control!$E$20:$E$100,R$2)=0),VISUM_Arterial_OD!R51*Control!$B$3,0)</f>
        <v>0</v>
      </c>
      <c r="S51">
        <f>IF(AND(COUNTIF(Control!$E$20:$E$100,$B51)=0,COUNTIF(Control!$E$20:$E$100,S$2)=0),VISUM_Arterial_OD!S51*Control!$B$3,0)</f>
        <v>0</v>
      </c>
      <c r="T51">
        <f>IF(AND(COUNTIF(Control!$E$20:$E$100,$B51)=0,COUNTIF(Control!$E$20:$E$100,T$2)=0),VISUM_Arterial_OD!T51*Control!$B$3,0)</f>
        <v>0</v>
      </c>
      <c r="U51">
        <f>IF(AND(COUNTIF(Control!$E$20:$E$100,$B51)=0,COUNTIF(Control!$E$20:$E$100,U$2)=0),VISUM_Arterial_OD!U51*Control!$B$3,0)</f>
        <v>0</v>
      </c>
      <c r="V51">
        <f>IF(AND(COUNTIF(Control!$E$20:$E$100,$B51)=0,COUNTIF(Control!$E$20:$E$100,V$2)=0),VISUM_Arterial_OD!V51*Control!$B$3,0)</f>
        <v>0</v>
      </c>
      <c r="W51">
        <f>IF(AND(COUNTIF(Control!$E$20:$E$100,$B51)=0,COUNTIF(Control!$E$20:$E$100,W$2)=0),VISUM_Arterial_OD!W51*Control!$B$3,0)</f>
        <v>0</v>
      </c>
      <c r="X51">
        <f>IF(AND(COUNTIF(Control!$E$20:$E$100,$B51)=0,COUNTIF(Control!$E$20:$E$100,X$2)=0),VISUM_Arterial_OD!X51*Control!$B$3,0)</f>
        <v>0</v>
      </c>
      <c r="Y51">
        <f>IF(AND(COUNTIF(Control!$E$20:$E$100,$B51)=0,COUNTIF(Control!$E$20:$E$100,Y$2)=0),VISUM_Arterial_OD!Y51*Control!$B$3,0)</f>
        <v>0</v>
      </c>
      <c r="Z51">
        <f>IF(AND(COUNTIF(Control!$E$20:$E$100,$B51)=0,COUNTIF(Control!$E$20:$E$100,Z$2)=0),VISUM_Arterial_OD!Z51*Control!$B$3,0)</f>
        <v>0</v>
      </c>
      <c r="AA51">
        <f>IF(AND(COUNTIF(Control!$E$20:$E$100,$B51)=0,COUNTIF(Control!$E$20:$E$100,AA$2)=0),VISUM_Arterial_OD!AA51*Control!$B$3,0)</f>
        <v>0</v>
      </c>
      <c r="AB51">
        <f>IF(AND(COUNTIF(Control!$E$20:$E$100,$B51)=0,COUNTIF(Control!$E$20:$E$100,AB$2)=0),VISUM_Arterial_OD!AB51*Control!$B$3,0)</f>
        <v>0</v>
      </c>
      <c r="AC51">
        <f>IF(AND(COUNTIF(Control!$E$20:$E$100,$B51)=0,COUNTIF(Control!$E$20:$E$100,AC$2)=0),VISUM_Arterial_OD!AC51*Control!$B$3,0)</f>
        <v>0</v>
      </c>
      <c r="AD51">
        <f>IF(AND(COUNTIF(Control!$E$20:$E$100,$B51)=0,COUNTIF(Control!$E$20:$E$100,AD$2)=0),VISUM_Arterial_OD!AD51*Control!$B$3,0)</f>
        <v>0</v>
      </c>
      <c r="AE51">
        <f>IF(AND(COUNTIF(Control!$E$20:$E$100,$B51)=0,COUNTIF(Control!$E$20:$E$100,AE$2)=0),VISUM_Arterial_OD!AE51*Control!$B$3,0)</f>
        <v>0</v>
      </c>
      <c r="AF51">
        <f>IF(AND(COUNTIF(Control!$E$20:$E$100,$B51)=0,COUNTIF(Control!$E$20:$E$100,AF$2)=0),VISUM_Arterial_OD!AF51*Control!$B$3,0)</f>
        <v>0</v>
      </c>
      <c r="AG51">
        <f>IF(AND(COUNTIF(Control!$E$20:$E$100,$B51)=0,COUNTIF(Control!$E$20:$E$100,AG$2)=0),VISUM_Arterial_OD!AG51*Control!$B$3,0)</f>
        <v>0</v>
      </c>
      <c r="AH51">
        <f>IF(AND(COUNTIF(Control!$E$20:$E$100,$B51)=0,COUNTIF(Control!$E$20:$E$100,AH$2)=0),VISUM_Arterial_OD!AH51*Control!$B$3,0)</f>
        <v>0</v>
      </c>
      <c r="AI51">
        <f>IF(AND(COUNTIF(Control!$E$20:$E$100,$B51)=0,COUNTIF(Control!$E$20:$E$100,AI$2)=0),VISUM_Arterial_OD!AI51*Control!$B$3,0)</f>
        <v>0</v>
      </c>
      <c r="AJ51">
        <f>IF(AND(COUNTIF(Control!$E$20:$E$100,$B51)=0,COUNTIF(Control!$E$20:$E$100,AJ$2)=0),VISUM_Arterial_OD!AJ51*Control!$B$3,0)</f>
        <v>0</v>
      </c>
      <c r="AK51">
        <f>IF(AND(COUNTIF(Control!$E$20:$E$100,$B51)=0,COUNTIF(Control!$E$20:$E$100,AK$2)=0),VISUM_Arterial_OD!AK51*Control!$B$3,0)</f>
        <v>0</v>
      </c>
      <c r="AL51">
        <f>IF(AND(COUNTIF(Control!$E$20:$E$100,$B51)=0,COUNTIF(Control!$E$20:$E$100,AL$2)=0),VISUM_Arterial_OD!AL51*Control!$B$3,0)</f>
        <v>0</v>
      </c>
      <c r="AM51">
        <f>IF(AND(COUNTIF(Control!$E$20:$E$100,$B51)=0,COUNTIF(Control!$E$20:$E$100,AM$2)=0),VISUM_Arterial_OD!AM51*Control!$B$3,0)</f>
        <v>0</v>
      </c>
      <c r="AN51">
        <f>IF(AND(COUNTIF(Control!$E$20:$E$100,$B51)=0,COUNTIF(Control!$E$20:$E$100,AN$2)=0),VISUM_Arterial_OD!AN51*Control!$B$3,0)</f>
        <v>0</v>
      </c>
      <c r="AO51">
        <f>IF(AND(COUNTIF(Control!$E$20:$E$100,$B51)=0,COUNTIF(Control!$E$20:$E$100,AO$2)=0),VISUM_Arterial_OD!AO51*Control!$B$3,0)</f>
        <v>0</v>
      </c>
      <c r="AP51">
        <f>IF(AND(COUNTIF(Control!$E$20:$E$100,$B51)=0,COUNTIF(Control!$E$20:$E$100,AP$2)=0),VISUM_Arterial_OD!AP51*Control!$B$3,0)</f>
        <v>0</v>
      </c>
      <c r="AQ51">
        <f>IF(AND(COUNTIF(Control!$E$20:$E$100,$B51)=0,COUNTIF(Control!$E$20:$E$100,AQ$2)=0),VISUM_Arterial_OD!AQ51*Control!$B$3,0)</f>
        <v>0</v>
      </c>
      <c r="AR51">
        <f>IF(AND(COUNTIF(Control!$E$20:$E$100,$B51)=0,COUNTIF(Control!$E$20:$E$100,AR$2)=0),VISUM_Arterial_OD!AR51*Control!$B$3,0)</f>
        <v>0</v>
      </c>
      <c r="AS51">
        <f>IF(AND(COUNTIF(Control!$E$20:$E$100,$B51)=0,COUNTIF(Control!$E$20:$E$100,AS$2)=0),VISUM_Arterial_OD!AS51*Control!$B$3,0)</f>
        <v>0</v>
      </c>
      <c r="AT51">
        <f>IF(AND(COUNTIF(Control!$E$20:$E$100,$B51)=0,COUNTIF(Control!$E$20:$E$100,AT$2)=0),VISUM_Arterial_OD!AT51*Control!$B$3,0)</f>
        <v>0</v>
      </c>
      <c r="AU51">
        <f>IF(AND(COUNTIF(Control!$E$20:$E$100,$B51)=0,COUNTIF(Control!$E$20:$E$100,AU$2)=0),VISUM_Arterial_OD!AU51*Control!$B$3,0)</f>
        <v>0</v>
      </c>
      <c r="AV51">
        <f>IF(AND(COUNTIF(Control!$E$20:$E$100,$B51)=0,COUNTIF(Control!$E$20:$E$100,AV$2)=0),VISUM_Arterial_OD!AV51*Control!$B$3,0)</f>
        <v>0</v>
      </c>
      <c r="AW51">
        <f>IF(AND(COUNTIF(Control!$E$20:$E$100,$B51)=0,COUNTIF(Control!$E$20:$E$100,AW$2)=0),VISUM_Arterial_OD!AW51*Control!$B$3,0)</f>
        <v>0</v>
      </c>
      <c r="AX51">
        <f>IF(AND(COUNTIF(Control!$E$20:$E$100,$B51)=0,COUNTIF(Control!$E$20:$E$100,AX$2)=0),VISUM_Arterial_OD!AX51*Control!$B$3,0)</f>
        <v>0</v>
      </c>
      <c r="AY51">
        <f>IF(AND(COUNTIF(Control!$E$20:$E$100,$B51)=0,COUNTIF(Control!$E$20:$E$100,AY$2)=0),VISUM_Arterial_OD!AY51*Control!$B$3,0)</f>
        <v>0</v>
      </c>
      <c r="AZ51">
        <f>IF(AND(COUNTIF(Control!$E$20:$E$100,$B51)=0,COUNTIF(Control!$E$20:$E$100,AZ$2)=0),VISUM_Arterial_OD!AZ51*Control!$B$3,0)</f>
        <v>0</v>
      </c>
      <c r="BA51">
        <f>IF(AND(COUNTIF(Control!$E$20:$E$100,$B51)=0,COUNTIF(Control!$E$20:$E$100,BA$2)=0),VISUM_Arterial_OD!BA51*Control!$B$3,0)</f>
        <v>0</v>
      </c>
      <c r="BB51">
        <f>IF(AND(COUNTIF(Control!$E$20:$E$100,$B51)=0,COUNTIF(Control!$E$20:$E$100,BB$2)=0),VISUM_Arterial_OD!BB51*Control!$B$3,0)</f>
        <v>0</v>
      </c>
      <c r="BC51">
        <f>IF(AND(COUNTIF(Control!$E$20:$E$100,$B51)=0,COUNTIF(Control!$E$20:$E$100,BC$2)=0),VISUM_Arterial_OD!BC51*Control!$B$3,0)</f>
        <v>0</v>
      </c>
      <c r="BD51">
        <f>IF(AND(COUNTIF(Control!$E$20:$E$100,$B51)=0,COUNTIF(Control!$E$20:$E$100,BD$2)=0),VISUM_Arterial_OD!BD51*Control!$B$3,0)</f>
        <v>0</v>
      </c>
      <c r="BE51">
        <f>IF(AND(COUNTIF(Control!$E$20:$E$100,$B51)=0,COUNTIF(Control!$E$20:$E$100,BE$2)=0),VISUM_Arterial_OD!BE51*Control!$B$3,0)</f>
        <v>0</v>
      </c>
      <c r="BF51">
        <f>IF(AND(COUNTIF(Control!$E$20:$E$100,$B51)=0,COUNTIF(Control!$E$20:$E$100,BF$2)=0),VISUM_Arterial_OD!BF51*Control!$B$3,0)</f>
        <v>0</v>
      </c>
      <c r="BG51">
        <f>IF(AND(COUNTIF(Control!$E$20:$E$100,$B51)=0,COUNTIF(Control!$E$20:$E$100,BG$2)=0),VISUM_Arterial_OD!BG51*Control!$B$3,0)</f>
        <v>0</v>
      </c>
      <c r="BH51">
        <f>IF(AND(COUNTIF(Control!$E$20:$E$100,$B51)=0,COUNTIF(Control!$E$20:$E$100,BH$2)=0),VISUM_Arterial_OD!BH51*Control!$B$3,0)</f>
        <v>0</v>
      </c>
      <c r="BI51">
        <f>IF(AND(COUNTIF(Control!$E$20:$E$100,$B51)=0,COUNTIF(Control!$E$20:$E$100,BI$2)=0),VISUM_Arterial_OD!BI51*Control!$B$3,0)</f>
        <v>0</v>
      </c>
      <c r="BJ51">
        <f>IF(AND(COUNTIF(Control!$E$20:$E$100,$B51)=0,COUNTIF(Control!$E$20:$E$100,BJ$2)=0),VISUM_Arterial_OD!BJ51*Control!$B$3,0)</f>
        <v>0</v>
      </c>
      <c r="BK51">
        <f>IF(AND(COUNTIF(Control!$E$20:$E$100,$B51)=0,COUNTIF(Control!$E$20:$E$100,BK$2)=0),VISUM_Arterial_OD!BK51*Control!$B$3,0)</f>
        <v>0</v>
      </c>
      <c r="BL51">
        <f>IF(AND(COUNTIF(Control!$E$20:$E$100,$B51)=0,COUNTIF(Control!$E$20:$E$100,BL$2)=0),VISUM_Arterial_OD!BL51*Control!$B$3,0)</f>
        <v>0</v>
      </c>
      <c r="BM51">
        <f>IF(AND(COUNTIF(Control!$E$20:$E$100,$B51)=0,COUNTIF(Control!$E$20:$E$100,BM$2)=0),VISUM_Arterial_OD!BM51*Control!$B$3,0)</f>
        <v>0</v>
      </c>
      <c r="BN51">
        <f>IF(AND(COUNTIF(Control!$E$20:$E$100,$B51)=0,COUNTIF(Control!$E$20:$E$100,BN$2)=0),VISUM_Arterial_OD!BN51*Control!$B$3,0)</f>
        <v>0</v>
      </c>
      <c r="BO51">
        <f>IF(AND(COUNTIF(Control!$E$20:$E$100,$B51)=0,COUNTIF(Control!$E$20:$E$100,BO$2)=0),VISUM_Arterial_OD!BO51*Control!$B$3,0)</f>
        <v>0</v>
      </c>
      <c r="BP51">
        <f>IF(AND(COUNTIF(Control!$E$20:$E$100,$B51)=0,COUNTIF(Control!$E$20:$E$100,BP$2)=0),VISUM_Arterial_OD!BP51*Control!$B$3,0)</f>
        <v>0</v>
      </c>
      <c r="BQ51">
        <f>IF(AND(COUNTIF(Control!$E$20:$E$100,$B51)=0,COUNTIF(Control!$E$20:$E$100,BQ$2)=0),VISUM_Arterial_OD!BQ51*Control!$B$3,0)</f>
        <v>0</v>
      </c>
    </row>
    <row r="52" spans="1:69" x14ac:dyDescent="0.25">
      <c r="A52" s="5" t="str">
        <f>IF(VLOOKUP(B52,Arterial_Zone_Link_Mapping!$A:$C,2,FALSE)&lt;&gt;"",VLOOKUP(B52,Arterial_Zone_Link_Mapping!$A:$C,2,FALSE),"")</f>
        <v/>
      </c>
      <c r="B52" s="5">
        <v>74</v>
      </c>
      <c r="C52">
        <f>IF(AND(COUNTIF(Control!$E$20:$E$100,$B52)=0,COUNTIF(Control!$E$20:$E$100,C$2)=0),VISUM_Arterial_OD!C52*Control!$B$3,0)</f>
        <v>0</v>
      </c>
      <c r="D52">
        <f>IF(AND(COUNTIF(Control!$E$20:$E$100,$B52)=0,COUNTIF(Control!$E$20:$E$100,D$2)=0),VISUM_Arterial_OD!D52*Control!$B$3,0)</f>
        <v>0</v>
      </c>
      <c r="E52">
        <f>IF(AND(COUNTIF(Control!$E$20:$E$100,$B52)=0,COUNTIF(Control!$E$20:$E$100,E$2)=0),VISUM_Arterial_OD!E52*Control!$B$3,0)</f>
        <v>0</v>
      </c>
      <c r="F52">
        <f>IF(AND(COUNTIF(Control!$E$20:$E$100,$B52)=0,COUNTIF(Control!$E$20:$E$100,F$2)=0),VISUM_Arterial_OD!F52*Control!$B$3,0)</f>
        <v>0</v>
      </c>
      <c r="G52">
        <f>IF(AND(COUNTIF(Control!$E$20:$E$100,$B52)=0,COUNTIF(Control!$E$20:$E$100,G$2)=0),VISUM_Arterial_OD!G52*Control!$B$3,0)</f>
        <v>0</v>
      </c>
      <c r="H52">
        <f>IF(AND(COUNTIF(Control!$E$20:$E$100,$B52)=0,COUNTIF(Control!$E$20:$E$100,H$2)=0),VISUM_Arterial_OD!H52*Control!$B$3,0)</f>
        <v>0</v>
      </c>
      <c r="I52">
        <f>IF(AND(COUNTIF(Control!$E$20:$E$100,$B52)=0,COUNTIF(Control!$E$20:$E$100,I$2)=0),VISUM_Arterial_OD!I52*Control!$B$3,0)</f>
        <v>0</v>
      </c>
      <c r="J52">
        <f>IF(AND(COUNTIF(Control!$E$20:$E$100,$B52)=0,COUNTIF(Control!$E$20:$E$100,J$2)=0),VISUM_Arterial_OD!J52*Control!$B$3,0)</f>
        <v>0</v>
      </c>
      <c r="K52">
        <f>IF(AND(COUNTIF(Control!$E$20:$E$100,$B52)=0,COUNTIF(Control!$E$20:$E$100,K$2)=0),VISUM_Arterial_OD!K52*Control!$B$3,0)</f>
        <v>0</v>
      </c>
      <c r="L52">
        <f>IF(AND(COUNTIF(Control!$E$20:$E$100,$B52)=0,COUNTIF(Control!$E$20:$E$100,L$2)=0),VISUM_Arterial_OD!L52*Control!$B$3,0)</f>
        <v>0</v>
      </c>
      <c r="M52">
        <f>IF(AND(COUNTIF(Control!$E$20:$E$100,$B52)=0,COUNTIF(Control!$E$20:$E$100,M$2)=0),VISUM_Arterial_OD!M52*Control!$B$3,0)</f>
        <v>0</v>
      </c>
      <c r="N52">
        <f>IF(AND(COUNTIF(Control!$E$20:$E$100,$B52)=0,COUNTIF(Control!$E$20:$E$100,N$2)=0),VISUM_Arterial_OD!N52*Control!$B$3,0)</f>
        <v>0</v>
      </c>
      <c r="O52">
        <f>IF(AND(COUNTIF(Control!$E$20:$E$100,$B52)=0,COUNTIF(Control!$E$20:$E$100,O$2)=0),VISUM_Arterial_OD!O52*Control!$B$3,0)</f>
        <v>0</v>
      </c>
      <c r="P52">
        <f>IF(AND(COUNTIF(Control!$E$20:$E$100,$B52)=0,COUNTIF(Control!$E$20:$E$100,P$2)=0),VISUM_Arterial_OD!P52*Control!$B$3,0)</f>
        <v>0</v>
      </c>
      <c r="Q52">
        <f>IF(AND(COUNTIF(Control!$E$20:$E$100,$B52)=0,COUNTIF(Control!$E$20:$E$100,Q$2)=0),VISUM_Arterial_OD!Q52*Control!$B$3,0)</f>
        <v>0</v>
      </c>
      <c r="R52">
        <f>IF(AND(COUNTIF(Control!$E$20:$E$100,$B52)=0,COUNTIF(Control!$E$20:$E$100,R$2)=0),VISUM_Arterial_OD!R52*Control!$B$3,0)</f>
        <v>0</v>
      </c>
      <c r="S52">
        <f>IF(AND(COUNTIF(Control!$E$20:$E$100,$B52)=0,COUNTIF(Control!$E$20:$E$100,S$2)=0),VISUM_Arterial_OD!S52*Control!$B$3,0)</f>
        <v>0</v>
      </c>
      <c r="T52">
        <f>IF(AND(COUNTIF(Control!$E$20:$E$100,$B52)=0,COUNTIF(Control!$E$20:$E$100,T$2)=0),VISUM_Arterial_OD!T52*Control!$B$3,0)</f>
        <v>0</v>
      </c>
      <c r="U52">
        <f>IF(AND(COUNTIF(Control!$E$20:$E$100,$B52)=0,COUNTIF(Control!$E$20:$E$100,U$2)=0),VISUM_Arterial_OD!U52*Control!$B$3,0)</f>
        <v>0</v>
      </c>
      <c r="V52">
        <f>IF(AND(COUNTIF(Control!$E$20:$E$100,$B52)=0,COUNTIF(Control!$E$20:$E$100,V$2)=0),VISUM_Arterial_OD!V52*Control!$B$3,0)</f>
        <v>0</v>
      </c>
      <c r="W52">
        <f>IF(AND(COUNTIF(Control!$E$20:$E$100,$B52)=0,COUNTIF(Control!$E$20:$E$100,W$2)=0),VISUM_Arterial_OD!W52*Control!$B$3,0)</f>
        <v>0</v>
      </c>
      <c r="X52">
        <f>IF(AND(COUNTIF(Control!$E$20:$E$100,$B52)=0,COUNTIF(Control!$E$20:$E$100,X$2)=0),VISUM_Arterial_OD!X52*Control!$B$3,0)</f>
        <v>0</v>
      </c>
      <c r="Y52">
        <f>IF(AND(COUNTIF(Control!$E$20:$E$100,$B52)=0,COUNTIF(Control!$E$20:$E$100,Y$2)=0),VISUM_Arterial_OD!Y52*Control!$B$3,0)</f>
        <v>0</v>
      </c>
      <c r="Z52">
        <f>IF(AND(COUNTIF(Control!$E$20:$E$100,$B52)=0,COUNTIF(Control!$E$20:$E$100,Z$2)=0),VISUM_Arterial_OD!Z52*Control!$B$3,0)</f>
        <v>0</v>
      </c>
      <c r="AA52">
        <f>IF(AND(COUNTIF(Control!$E$20:$E$100,$B52)=0,COUNTIF(Control!$E$20:$E$100,AA$2)=0),VISUM_Arterial_OD!AA52*Control!$B$3,0)</f>
        <v>0</v>
      </c>
      <c r="AB52">
        <f>IF(AND(COUNTIF(Control!$E$20:$E$100,$B52)=0,COUNTIF(Control!$E$20:$E$100,AB$2)=0),VISUM_Arterial_OD!AB52*Control!$B$3,0)</f>
        <v>0</v>
      </c>
      <c r="AC52">
        <f>IF(AND(COUNTIF(Control!$E$20:$E$100,$B52)=0,COUNTIF(Control!$E$20:$E$100,AC$2)=0),VISUM_Arterial_OD!AC52*Control!$B$3,0)</f>
        <v>0</v>
      </c>
      <c r="AD52">
        <f>IF(AND(COUNTIF(Control!$E$20:$E$100,$B52)=0,COUNTIF(Control!$E$20:$E$100,AD$2)=0),VISUM_Arterial_OD!AD52*Control!$B$3,0)</f>
        <v>0</v>
      </c>
      <c r="AE52">
        <f>IF(AND(COUNTIF(Control!$E$20:$E$100,$B52)=0,COUNTIF(Control!$E$20:$E$100,AE$2)=0),VISUM_Arterial_OD!AE52*Control!$B$3,0)</f>
        <v>0</v>
      </c>
      <c r="AF52">
        <f>IF(AND(COUNTIF(Control!$E$20:$E$100,$B52)=0,COUNTIF(Control!$E$20:$E$100,AF$2)=0),VISUM_Arterial_OD!AF52*Control!$B$3,0)</f>
        <v>0</v>
      </c>
      <c r="AG52">
        <f>IF(AND(COUNTIF(Control!$E$20:$E$100,$B52)=0,COUNTIF(Control!$E$20:$E$100,AG$2)=0),VISUM_Arterial_OD!AG52*Control!$B$3,0)</f>
        <v>0</v>
      </c>
      <c r="AH52">
        <f>IF(AND(COUNTIF(Control!$E$20:$E$100,$B52)=0,COUNTIF(Control!$E$20:$E$100,AH$2)=0),VISUM_Arterial_OD!AH52*Control!$B$3,0)</f>
        <v>0</v>
      </c>
      <c r="AI52">
        <f>IF(AND(COUNTIF(Control!$E$20:$E$100,$B52)=0,COUNTIF(Control!$E$20:$E$100,AI$2)=0),VISUM_Arterial_OD!AI52*Control!$B$3,0)</f>
        <v>0</v>
      </c>
      <c r="AJ52">
        <f>IF(AND(COUNTIF(Control!$E$20:$E$100,$B52)=0,COUNTIF(Control!$E$20:$E$100,AJ$2)=0),VISUM_Arterial_OD!AJ52*Control!$B$3,0)</f>
        <v>0</v>
      </c>
      <c r="AK52">
        <f>IF(AND(COUNTIF(Control!$E$20:$E$100,$B52)=0,COUNTIF(Control!$E$20:$E$100,AK$2)=0),VISUM_Arterial_OD!AK52*Control!$B$3,0)</f>
        <v>0</v>
      </c>
      <c r="AL52">
        <f>IF(AND(COUNTIF(Control!$E$20:$E$100,$B52)=0,COUNTIF(Control!$E$20:$E$100,AL$2)=0),VISUM_Arterial_OD!AL52*Control!$B$3,0)</f>
        <v>0</v>
      </c>
      <c r="AM52">
        <f>IF(AND(COUNTIF(Control!$E$20:$E$100,$B52)=0,COUNTIF(Control!$E$20:$E$100,AM$2)=0),VISUM_Arterial_OD!AM52*Control!$B$3,0)</f>
        <v>0</v>
      </c>
      <c r="AN52">
        <f>IF(AND(COUNTIF(Control!$E$20:$E$100,$B52)=0,COUNTIF(Control!$E$20:$E$100,AN$2)=0),VISUM_Arterial_OD!AN52*Control!$B$3,0)</f>
        <v>0</v>
      </c>
      <c r="AO52">
        <f>IF(AND(COUNTIF(Control!$E$20:$E$100,$B52)=0,COUNTIF(Control!$E$20:$E$100,AO$2)=0),VISUM_Arterial_OD!AO52*Control!$B$3,0)</f>
        <v>0</v>
      </c>
      <c r="AP52">
        <f>IF(AND(COUNTIF(Control!$E$20:$E$100,$B52)=0,COUNTIF(Control!$E$20:$E$100,AP$2)=0),VISUM_Arterial_OD!AP52*Control!$B$3,0)</f>
        <v>0</v>
      </c>
      <c r="AQ52">
        <f>IF(AND(COUNTIF(Control!$E$20:$E$100,$B52)=0,COUNTIF(Control!$E$20:$E$100,AQ$2)=0),VISUM_Arterial_OD!AQ52*Control!$B$3,0)</f>
        <v>0</v>
      </c>
      <c r="AR52">
        <f>IF(AND(COUNTIF(Control!$E$20:$E$100,$B52)=0,COUNTIF(Control!$E$20:$E$100,AR$2)=0),VISUM_Arterial_OD!AR52*Control!$B$3,0)</f>
        <v>0</v>
      </c>
      <c r="AS52">
        <f>IF(AND(COUNTIF(Control!$E$20:$E$100,$B52)=0,COUNTIF(Control!$E$20:$E$100,AS$2)=0),VISUM_Arterial_OD!AS52*Control!$B$3,0)</f>
        <v>0</v>
      </c>
      <c r="AT52">
        <f>IF(AND(COUNTIF(Control!$E$20:$E$100,$B52)=0,COUNTIF(Control!$E$20:$E$100,AT$2)=0),VISUM_Arterial_OD!AT52*Control!$B$3,0)</f>
        <v>0</v>
      </c>
      <c r="AU52">
        <f>IF(AND(COUNTIF(Control!$E$20:$E$100,$B52)=0,COUNTIF(Control!$E$20:$E$100,AU$2)=0),VISUM_Arterial_OD!AU52*Control!$B$3,0)</f>
        <v>0</v>
      </c>
      <c r="AV52">
        <f>IF(AND(COUNTIF(Control!$E$20:$E$100,$B52)=0,COUNTIF(Control!$E$20:$E$100,AV$2)=0),VISUM_Arterial_OD!AV52*Control!$B$3,0)</f>
        <v>0</v>
      </c>
      <c r="AW52">
        <f>IF(AND(COUNTIF(Control!$E$20:$E$100,$B52)=0,COUNTIF(Control!$E$20:$E$100,AW$2)=0),VISUM_Arterial_OD!AW52*Control!$B$3,0)</f>
        <v>0</v>
      </c>
      <c r="AX52">
        <f>IF(AND(COUNTIF(Control!$E$20:$E$100,$B52)=0,COUNTIF(Control!$E$20:$E$100,AX$2)=0),VISUM_Arterial_OD!AX52*Control!$B$3,0)</f>
        <v>0</v>
      </c>
      <c r="AY52">
        <f>IF(AND(COUNTIF(Control!$E$20:$E$100,$B52)=0,COUNTIF(Control!$E$20:$E$100,AY$2)=0),VISUM_Arterial_OD!AY52*Control!$B$3,0)</f>
        <v>0</v>
      </c>
      <c r="AZ52">
        <f>IF(AND(COUNTIF(Control!$E$20:$E$100,$B52)=0,COUNTIF(Control!$E$20:$E$100,AZ$2)=0),VISUM_Arterial_OD!AZ52*Control!$B$3,0)</f>
        <v>0</v>
      </c>
      <c r="BA52">
        <f>IF(AND(COUNTIF(Control!$E$20:$E$100,$B52)=0,COUNTIF(Control!$E$20:$E$100,BA$2)=0),VISUM_Arterial_OD!BA52*Control!$B$3,0)</f>
        <v>0</v>
      </c>
      <c r="BB52">
        <f>IF(AND(COUNTIF(Control!$E$20:$E$100,$B52)=0,COUNTIF(Control!$E$20:$E$100,BB$2)=0),VISUM_Arterial_OD!BB52*Control!$B$3,0)</f>
        <v>0</v>
      </c>
      <c r="BC52">
        <f>IF(AND(COUNTIF(Control!$E$20:$E$100,$B52)=0,COUNTIF(Control!$E$20:$E$100,BC$2)=0),VISUM_Arterial_OD!BC52*Control!$B$3,0)</f>
        <v>0</v>
      </c>
      <c r="BD52">
        <f>IF(AND(COUNTIF(Control!$E$20:$E$100,$B52)=0,COUNTIF(Control!$E$20:$E$100,BD$2)=0),VISUM_Arterial_OD!BD52*Control!$B$3,0)</f>
        <v>0</v>
      </c>
      <c r="BE52">
        <f>IF(AND(COUNTIF(Control!$E$20:$E$100,$B52)=0,COUNTIF(Control!$E$20:$E$100,BE$2)=0),VISUM_Arterial_OD!BE52*Control!$B$3,0)</f>
        <v>0</v>
      </c>
      <c r="BF52">
        <f>IF(AND(COUNTIF(Control!$E$20:$E$100,$B52)=0,COUNTIF(Control!$E$20:$E$100,BF$2)=0),VISUM_Arterial_OD!BF52*Control!$B$3,0)</f>
        <v>0</v>
      </c>
      <c r="BG52">
        <f>IF(AND(COUNTIF(Control!$E$20:$E$100,$B52)=0,COUNTIF(Control!$E$20:$E$100,BG$2)=0),VISUM_Arterial_OD!BG52*Control!$B$3,0)</f>
        <v>0</v>
      </c>
      <c r="BH52">
        <f>IF(AND(COUNTIF(Control!$E$20:$E$100,$B52)=0,COUNTIF(Control!$E$20:$E$100,BH$2)=0),VISUM_Arterial_OD!BH52*Control!$B$3,0)</f>
        <v>0</v>
      </c>
      <c r="BI52">
        <f>IF(AND(COUNTIF(Control!$E$20:$E$100,$B52)=0,COUNTIF(Control!$E$20:$E$100,BI$2)=0),VISUM_Arterial_OD!BI52*Control!$B$3,0)</f>
        <v>0</v>
      </c>
      <c r="BJ52">
        <f>IF(AND(COUNTIF(Control!$E$20:$E$100,$B52)=0,COUNTIF(Control!$E$20:$E$100,BJ$2)=0),VISUM_Arterial_OD!BJ52*Control!$B$3,0)</f>
        <v>0</v>
      </c>
      <c r="BK52">
        <f>IF(AND(COUNTIF(Control!$E$20:$E$100,$B52)=0,COUNTIF(Control!$E$20:$E$100,BK$2)=0),VISUM_Arterial_OD!BK52*Control!$B$3,0)</f>
        <v>0</v>
      </c>
      <c r="BL52">
        <f>IF(AND(COUNTIF(Control!$E$20:$E$100,$B52)=0,COUNTIF(Control!$E$20:$E$100,BL$2)=0),VISUM_Arterial_OD!BL52*Control!$B$3,0)</f>
        <v>0</v>
      </c>
      <c r="BM52">
        <f>IF(AND(COUNTIF(Control!$E$20:$E$100,$B52)=0,COUNTIF(Control!$E$20:$E$100,BM$2)=0),VISUM_Arterial_OD!BM52*Control!$B$3,0)</f>
        <v>0</v>
      </c>
      <c r="BN52">
        <f>IF(AND(COUNTIF(Control!$E$20:$E$100,$B52)=0,COUNTIF(Control!$E$20:$E$100,BN$2)=0),VISUM_Arterial_OD!BN52*Control!$B$3,0)</f>
        <v>0</v>
      </c>
      <c r="BO52">
        <f>IF(AND(COUNTIF(Control!$E$20:$E$100,$B52)=0,COUNTIF(Control!$E$20:$E$100,BO$2)=0),VISUM_Arterial_OD!BO52*Control!$B$3,0)</f>
        <v>0</v>
      </c>
      <c r="BP52">
        <f>IF(AND(COUNTIF(Control!$E$20:$E$100,$B52)=0,COUNTIF(Control!$E$20:$E$100,BP$2)=0),VISUM_Arterial_OD!BP52*Control!$B$3,0)</f>
        <v>0</v>
      </c>
      <c r="BQ52">
        <f>IF(AND(COUNTIF(Control!$E$20:$E$100,$B52)=0,COUNTIF(Control!$E$20:$E$100,BQ$2)=0),VISUM_Arterial_OD!BQ52*Control!$B$3,0)</f>
        <v>0</v>
      </c>
    </row>
    <row r="53" spans="1:69" x14ac:dyDescent="0.25">
      <c r="A53" s="5">
        <f>IF(VLOOKUP(B53,Arterial_Zone_Link_Mapping!$A:$C,2,FALSE)&lt;&gt;"",VLOOKUP(B53,Arterial_Zone_Link_Mapping!$A:$C,2,FALSE),"")</f>
        <v>28280070</v>
      </c>
      <c r="B53" s="5">
        <v>75</v>
      </c>
      <c r="C53">
        <f>IF(AND(COUNTIF(Control!$E$20:$E$100,$B53)=0,COUNTIF(Control!$E$20:$E$100,C$2)=0),VISUM_Arterial_OD!C53*Control!$B$3,0)</f>
        <v>0</v>
      </c>
      <c r="D53">
        <f>IF(AND(COUNTIF(Control!$E$20:$E$100,$B53)=0,COUNTIF(Control!$E$20:$E$100,D$2)=0),VISUM_Arterial_OD!D53*Control!$B$3,0)</f>
        <v>0</v>
      </c>
      <c r="E53">
        <f>IF(AND(COUNTIF(Control!$E$20:$E$100,$B53)=0,COUNTIF(Control!$E$20:$E$100,E$2)=0),VISUM_Arterial_OD!E53*Control!$B$3,0)</f>
        <v>0</v>
      </c>
      <c r="F53">
        <f>IF(AND(COUNTIF(Control!$E$20:$E$100,$B53)=0,COUNTIF(Control!$E$20:$E$100,F$2)=0),VISUM_Arterial_OD!F53*Control!$B$3,0)</f>
        <v>0</v>
      </c>
      <c r="G53">
        <f>IF(AND(COUNTIF(Control!$E$20:$E$100,$B53)=0,COUNTIF(Control!$E$20:$E$100,G$2)=0),VISUM_Arterial_OD!G53*Control!$B$3,0)</f>
        <v>0</v>
      </c>
      <c r="H53">
        <f>IF(AND(COUNTIF(Control!$E$20:$E$100,$B53)=0,COUNTIF(Control!$E$20:$E$100,H$2)=0),VISUM_Arterial_OD!H53*Control!$B$3,0)</f>
        <v>0</v>
      </c>
      <c r="I53">
        <f>IF(AND(COUNTIF(Control!$E$20:$E$100,$B53)=0,COUNTIF(Control!$E$20:$E$100,I$2)=0),VISUM_Arterial_OD!I53*Control!$B$3,0)</f>
        <v>0</v>
      </c>
      <c r="J53">
        <f>IF(AND(COUNTIF(Control!$E$20:$E$100,$B53)=0,COUNTIF(Control!$E$20:$E$100,J$2)=0),VISUM_Arterial_OD!J53*Control!$B$3,0)</f>
        <v>0</v>
      </c>
      <c r="K53">
        <f>IF(AND(COUNTIF(Control!$E$20:$E$100,$B53)=0,COUNTIF(Control!$E$20:$E$100,K$2)=0),VISUM_Arterial_OD!K53*Control!$B$3,0)</f>
        <v>0</v>
      </c>
      <c r="L53">
        <f>IF(AND(COUNTIF(Control!$E$20:$E$100,$B53)=0,COUNTIF(Control!$E$20:$E$100,L$2)=0),VISUM_Arterial_OD!L53*Control!$B$3,0)</f>
        <v>0</v>
      </c>
      <c r="M53">
        <f>IF(AND(COUNTIF(Control!$E$20:$E$100,$B53)=0,COUNTIF(Control!$E$20:$E$100,M$2)=0),VISUM_Arterial_OD!M53*Control!$B$3,0)</f>
        <v>0</v>
      </c>
      <c r="N53">
        <f>IF(AND(COUNTIF(Control!$E$20:$E$100,$B53)=0,COUNTIF(Control!$E$20:$E$100,N$2)=0),VISUM_Arterial_OD!N53*Control!$B$3,0)</f>
        <v>0</v>
      </c>
      <c r="O53">
        <f>IF(AND(COUNTIF(Control!$E$20:$E$100,$B53)=0,COUNTIF(Control!$E$20:$E$100,O$2)=0),VISUM_Arterial_OD!O53*Control!$B$3,0)</f>
        <v>0</v>
      </c>
      <c r="P53">
        <f>IF(AND(COUNTIF(Control!$E$20:$E$100,$B53)=0,COUNTIF(Control!$E$20:$E$100,P$2)=0),VISUM_Arterial_OD!P53*Control!$B$3,0)</f>
        <v>0</v>
      </c>
      <c r="Q53">
        <f>IF(AND(COUNTIF(Control!$E$20:$E$100,$B53)=0,COUNTIF(Control!$E$20:$E$100,Q$2)=0),VISUM_Arterial_OD!Q53*Control!$B$3,0)</f>
        <v>0</v>
      </c>
      <c r="R53">
        <f>IF(AND(COUNTIF(Control!$E$20:$E$100,$B53)=0,COUNTIF(Control!$E$20:$E$100,R$2)=0),VISUM_Arterial_OD!R53*Control!$B$3,0)</f>
        <v>0</v>
      </c>
      <c r="S53">
        <f>IF(AND(COUNTIF(Control!$E$20:$E$100,$B53)=0,COUNTIF(Control!$E$20:$E$100,S$2)=0),VISUM_Arterial_OD!S53*Control!$B$3,0)</f>
        <v>0</v>
      </c>
      <c r="T53">
        <f>IF(AND(COUNTIF(Control!$E$20:$E$100,$B53)=0,COUNTIF(Control!$E$20:$E$100,T$2)=0),VISUM_Arterial_OD!T53*Control!$B$3,0)</f>
        <v>0</v>
      </c>
      <c r="U53">
        <f>IF(AND(COUNTIF(Control!$E$20:$E$100,$B53)=0,COUNTIF(Control!$E$20:$E$100,U$2)=0),VISUM_Arterial_OD!U53*Control!$B$3,0)</f>
        <v>0</v>
      </c>
      <c r="V53">
        <f>IF(AND(COUNTIF(Control!$E$20:$E$100,$B53)=0,COUNTIF(Control!$E$20:$E$100,V$2)=0),VISUM_Arterial_OD!V53*Control!$B$3,0)</f>
        <v>0</v>
      </c>
      <c r="W53">
        <f>IF(AND(COUNTIF(Control!$E$20:$E$100,$B53)=0,COUNTIF(Control!$E$20:$E$100,W$2)=0),VISUM_Arterial_OD!W53*Control!$B$3,0)</f>
        <v>0</v>
      </c>
      <c r="X53">
        <f>IF(AND(COUNTIF(Control!$E$20:$E$100,$B53)=0,COUNTIF(Control!$E$20:$E$100,X$2)=0),VISUM_Arterial_OD!X53*Control!$B$3,0)</f>
        <v>0</v>
      </c>
      <c r="Y53">
        <f>IF(AND(COUNTIF(Control!$E$20:$E$100,$B53)=0,COUNTIF(Control!$E$20:$E$100,Y$2)=0),VISUM_Arterial_OD!Y53*Control!$B$3,0)</f>
        <v>0</v>
      </c>
      <c r="Z53">
        <f>IF(AND(COUNTIF(Control!$E$20:$E$100,$B53)=0,COUNTIF(Control!$E$20:$E$100,Z$2)=0),VISUM_Arterial_OD!Z53*Control!$B$3,0)</f>
        <v>0</v>
      </c>
      <c r="AA53">
        <f>IF(AND(COUNTIF(Control!$E$20:$E$100,$B53)=0,COUNTIF(Control!$E$20:$E$100,AA$2)=0),VISUM_Arterial_OD!AA53*Control!$B$3,0)</f>
        <v>0</v>
      </c>
      <c r="AB53">
        <f>IF(AND(COUNTIF(Control!$E$20:$E$100,$B53)=0,COUNTIF(Control!$E$20:$E$100,AB$2)=0),VISUM_Arterial_OD!AB53*Control!$B$3,0)</f>
        <v>0</v>
      </c>
      <c r="AC53">
        <f>IF(AND(COUNTIF(Control!$E$20:$E$100,$B53)=0,COUNTIF(Control!$E$20:$E$100,AC$2)=0),VISUM_Arterial_OD!AC53*Control!$B$3,0)</f>
        <v>0</v>
      </c>
      <c r="AD53">
        <f>IF(AND(COUNTIF(Control!$E$20:$E$100,$B53)=0,COUNTIF(Control!$E$20:$E$100,AD$2)=0),VISUM_Arterial_OD!AD53*Control!$B$3,0)</f>
        <v>0</v>
      </c>
      <c r="AE53">
        <f>IF(AND(COUNTIF(Control!$E$20:$E$100,$B53)=0,COUNTIF(Control!$E$20:$E$100,AE$2)=0),VISUM_Arterial_OD!AE53*Control!$B$3,0)</f>
        <v>0</v>
      </c>
      <c r="AF53">
        <f>IF(AND(COUNTIF(Control!$E$20:$E$100,$B53)=0,COUNTIF(Control!$E$20:$E$100,AF$2)=0),VISUM_Arterial_OD!AF53*Control!$B$3,0)</f>
        <v>0</v>
      </c>
      <c r="AG53">
        <f>IF(AND(COUNTIF(Control!$E$20:$E$100,$B53)=0,COUNTIF(Control!$E$20:$E$100,AG$2)=0),VISUM_Arterial_OD!AG53*Control!$B$3,0)</f>
        <v>0</v>
      </c>
      <c r="AH53">
        <f>IF(AND(COUNTIF(Control!$E$20:$E$100,$B53)=0,COUNTIF(Control!$E$20:$E$100,AH$2)=0),VISUM_Arterial_OD!AH53*Control!$B$3,0)</f>
        <v>0</v>
      </c>
      <c r="AI53">
        <f>IF(AND(COUNTIF(Control!$E$20:$E$100,$B53)=0,COUNTIF(Control!$E$20:$E$100,AI$2)=0),VISUM_Arterial_OD!AI53*Control!$B$3,0)</f>
        <v>0</v>
      </c>
      <c r="AJ53">
        <f>IF(AND(COUNTIF(Control!$E$20:$E$100,$B53)=0,COUNTIF(Control!$E$20:$E$100,AJ$2)=0),VISUM_Arterial_OD!AJ53*Control!$B$3,0)</f>
        <v>0</v>
      </c>
      <c r="AK53">
        <f>IF(AND(COUNTIF(Control!$E$20:$E$100,$B53)=0,COUNTIF(Control!$E$20:$E$100,AK$2)=0),VISUM_Arterial_OD!AK53*Control!$B$3,0)</f>
        <v>0</v>
      </c>
      <c r="AL53">
        <f>IF(AND(COUNTIF(Control!$E$20:$E$100,$B53)=0,COUNTIF(Control!$E$20:$E$100,AL$2)=0),VISUM_Arterial_OD!AL53*Control!$B$3,0)</f>
        <v>0</v>
      </c>
      <c r="AM53">
        <f>IF(AND(COUNTIF(Control!$E$20:$E$100,$B53)=0,COUNTIF(Control!$E$20:$E$100,AM$2)=0),VISUM_Arterial_OD!AM53*Control!$B$3,0)</f>
        <v>0</v>
      </c>
      <c r="AN53">
        <f>IF(AND(COUNTIF(Control!$E$20:$E$100,$B53)=0,COUNTIF(Control!$E$20:$E$100,AN$2)=0),VISUM_Arterial_OD!AN53*Control!$B$3,0)</f>
        <v>0</v>
      </c>
      <c r="AO53">
        <f>IF(AND(COUNTIF(Control!$E$20:$E$100,$B53)=0,COUNTIF(Control!$E$20:$E$100,AO$2)=0),VISUM_Arterial_OD!AO53*Control!$B$3,0)</f>
        <v>0</v>
      </c>
      <c r="AP53">
        <f>IF(AND(COUNTIF(Control!$E$20:$E$100,$B53)=0,COUNTIF(Control!$E$20:$E$100,AP$2)=0),VISUM_Arterial_OD!AP53*Control!$B$3,0)</f>
        <v>0</v>
      </c>
      <c r="AQ53">
        <f>IF(AND(COUNTIF(Control!$E$20:$E$100,$B53)=0,COUNTIF(Control!$E$20:$E$100,AQ$2)=0),VISUM_Arterial_OD!AQ53*Control!$B$3,0)</f>
        <v>0</v>
      </c>
      <c r="AR53">
        <f>IF(AND(COUNTIF(Control!$E$20:$E$100,$B53)=0,COUNTIF(Control!$E$20:$E$100,AR$2)=0),VISUM_Arterial_OD!AR53*Control!$B$3,0)</f>
        <v>0</v>
      </c>
      <c r="AS53">
        <f>IF(AND(COUNTIF(Control!$E$20:$E$100,$B53)=0,COUNTIF(Control!$E$20:$E$100,AS$2)=0),VISUM_Arterial_OD!AS53*Control!$B$3,0)</f>
        <v>0</v>
      </c>
      <c r="AT53">
        <f>IF(AND(COUNTIF(Control!$E$20:$E$100,$B53)=0,COUNTIF(Control!$E$20:$E$100,AT$2)=0),VISUM_Arterial_OD!AT53*Control!$B$3,0)</f>
        <v>0</v>
      </c>
      <c r="AU53">
        <f>IF(AND(COUNTIF(Control!$E$20:$E$100,$B53)=0,COUNTIF(Control!$E$20:$E$100,AU$2)=0),VISUM_Arterial_OD!AU53*Control!$B$3,0)</f>
        <v>0</v>
      </c>
      <c r="AV53">
        <f>IF(AND(COUNTIF(Control!$E$20:$E$100,$B53)=0,COUNTIF(Control!$E$20:$E$100,AV$2)=0),VISUM_Arterial_OD!AV53*Control!$B$3,0)</f>
        <v>0</v>
      </c>
      <c r="AW53">
        <f>IF(AND(COUNTIF(Control!$E$20:$E$100,$B53)=0,COUNTIF(Control!$E$20:$E$100,AW$2)=0),VISUM_Arterial_OD!AW53*Control!$B$3,0)</f>
        <v>0</v>
      </c>
      <c r="AX53">
        <f>IF(AND(COUNTIF(Control!$E$20:$E$100,$B53)=0,COUNTIF(Control!$E$20:$E$100,AX$2)=0),VISUM_Arterial_OD!AX53*Control!$B$3,0)</f>
        <v>0</v>
      </c>
      <c r="AY53">
        <f>IF(AND(COUNTIF(Control!$E$20:$E$100,$B53)=0,COUNTIF(Control!$E$20:$E$100,AY$2)=0),VISUM_Arterial_OD!AY53*Control!$B$3,0)</f>
        <v>0</v>
      </c>
      <c r="AZ53">
        <f>IF(AND(COUNTIF(Control!$E$20:$E$100,$B53)=0,COUNTIF(Control!$E$20:$E$100,AZ$2)=0),VISUM_Arterial_OD!AZ53*Control!$B$3,0)</f>
        <v>0</v>
      </c>
      <c r="BA53">
        <f>IF(AND(COUNTIF(Control!$E$20:$E$100,$B53)=0,COUNTIF(Control!$E$20:$E$100,BA$2)=0),VISUM_Arterial_OD!BA53*Control!$B$3,0)</f>
        <v>0</v>
      </c>
      <c r="BB53">
        <f>IF(AND(COUNTIF(Control!$E$20:$E$100,$B53)=0,COUNTIF(Control!$E$20:$E$100,BB$2)=0),VISUM_Arterial_OD!BB53*Control!$B$3,0)</f>
        <v>0</v>
      </c>
      <c r="BC53">
        <f>IF(AND(COUNTIF(Control!$E$20:$E$100,$B53)=0,COUNTIF(Control!$E$20:$E$100,BC$2)=0),VISUM_Arterial_OD!BC53*Control!$B$3,0)</f>
        <v>0</v>
      </c>
      <c r="BD53">
        <f>IF(AND(COUNTIF(Control!$E$20:$E$100,$B53)=0,COUNTIF(Control!$E$20:$E$100,BD$2)=0),VISUM_Arterial_OD!BD53*Control!$B$3,0)</f>
        <v>0</v>
      </c>
      <c r="BE53">
        <f>IF(AND(COUNTIF(Control!$E$20:$E$100,$B53)=0,COUNTIF(Control!$E$20:$E$100,BE$2)=0),VISUM_Arterial_OD!BE53*Control!$B$3,0)</f>
        <v>0</v>
      </c>
      <c r="BF53">
        <f>IF(AND(COUNTIF(Control!$E$20:$E$100,$B53)=0,COUNTIF(Control!$E$20:$E$100,BF$2)=0),VISUM_Arterial_OD!BF53*Control!$B$3,0)</f>
        <v>0</v>
      </c>
      <c r="BG53">
        <f>IF(AND(COUNTIF(Control!$E$20:$E$100,$B53)=0,COUNTIF(Control!$E$20:$E$100,BG$2)=0),VISUM_Arterial_OD!BG53*Control!$B$3,0)</f>
        <v>0</v>
      </c>
      <c r="BH53">
        <f>IF(AND(COUNTIF(Control!$E$20:$E$100,$B53)=0,COUNTIF(Control!$E$20:$E$100,BH$2)=0),VISUM_Arterial_OD!BH53*Control!$B$3,0)</f>
        <v>0</v>
      </c>
      <c r="BI53">
        <f>IF(AND(COUNTIF(Control!$E$20:$E$100,$B53)=0,COUNTIF(Control!$E$20:$E$100,BI$2)=0),VISUM_Arterial_OD!BI53*Control!$B$3,0)</f>
        <v>0</v>
      </c>
      <c r="BJ53">
        <f>IF(AND(COUNTIF(Control!$E$20:$E$100,$B53)=0,COUNTIF(Control!$E$20:$E$100,BJ$2)=0),VISUM_Arterial_OD!BJ53*Control!$B$3,0)</f>
        <v>0</v>
      </c>
      <c r="BK53">
        <f>IF(AND(COUNTIF(Control!$E$20:$E$100,$B53)=0,COUNTIF(Control!$E$20:$E$100,BK$2)=0),VISUM_Arterial_OD!BK53*Control!$B$3,0)</f>
        <v>0</v>
      </c>
      <c r="BL53">
        <f>IF(AND(COUNTIF(Control!$E$20:$E$100,$B53)=0,COUNTIF(Control!$E$20:$E$100,BL$2)=0),VISUM_Arterial_OD!BL53*Control!$B$3,0)</f>
        <v>0</v>
      </c>
      <c r="BM53">
        <f>IF(AND(COUNTIF(Control!$E$20:$E$100,$B53)=0,COUNTIF(Control!$E$20:$E$100,BM$2)=0),VISUM_Arterial_OD!BM53*Control!$B$3,0)</f>
        <v>0</v>
      </c>
      <c r="BN53">
        <f>IF(AND(COUNTIF(Control!$E$20:$E$100,$B53)=0,COUNTIF(Control!$E$20:$E$100,BN$2)=0),VISUM_Arterial_OD!BN53*Control!$B$3,0)</f>
        <v>0</v>
      </c>
      <c r="BO53">
        <f>IF(AND(COUNTIF(Control!$E$20:$E$100,$B53)=0,COUNTIF(Control!$E$20:$E$100,BO$2)=0),VISUM_Arterial_OD!BO53*Control!$B$3,0)</f>
        <v>0</v>
      </c>
      <c r="BP53">
        <f>IF(AND(COUNTIF(Control!$E$20:$E$100,$B53)=0,COUNTIF(Control!$E$20:$E$100,BP$2)=0),VISUM_Arterial_OD!BP53*Control!$B$3,0)</f>
        <v>0</v>
      </c>
      <c r="BQ53">
        <f>IF(AND(COUNTIF(Control!$E$20:$E$100,$B53)=0,COUNTIF(Control!$E$20:$E$100,BQ$2)=0),VISUM_Arterial_OD!BQ53*Control!$B$3,0)</f>
        <v>0</v>
      </c>
    </row>
    <row r="54" spans="1:69" x14ac:dyDescent="0.25">
      <c r="A54" s="5" t="str">
        <f>IF(VLOOKUP(B54,Arterial_Zone_Link_Mapping!$A:$C,2,FALSE)&lt;&gt;"",VLOOKUP(B54,Arterial_Zone_Link_Mapping!$A:$C,2,FALSE),"")</f>
        <v/>
      </c>
      <c r="B54" s="5">
        <v>76</v>
      </c>
      <c r="C54">
        <f>IF(AND(COUNTIF(Control!$E$20:$E$100,$B54)=0,COUNTIF(Control!$E$20:$E$100,C$2)=0),VISUM_Arterial_OD!C54*Control!$B$3,0)</f>
        <v>0</v>
      </c>
      <c r="D54">
        <f>IF(AND(COUNTIF(Control!$E$20:$E$100,$B54)=0,COUNTIF(Control!$E$20:$E$100,D$2)=0),VISUM_Arterial_OD!D54*Control!$B$3,0)</f>
        <v>0</v>
      </c>
      <c r="E54">
        <f>IF(AND(COUNTIF(Control!$E$20:$E$100,$B54)=0,COUNTIF(Control!$E$20:$E$100,E$2)=0),VISUM_Arterial_OD!E54*Control!$B$3,0)</f>
        <v>0</v>
      </c>
      <c r="F54">
        <f>IF(AND(COUNTIF(Control!$E$20:$E$100,$B54)=0,COUNTIF(Control!$E$20:$E$100,F$2)=0),VISUM_Arterial_OD!F54*Control!$B$3,0)</f>
        <v>0</v>
      </c>
      <c r="G54">
        <f>IF(AND(COUNTIF(Control!$E$20:$E$100,$B54)=0,COUNTIF(Control!$E$20:$E$100,G$2)=0),VISUM_Arterial_OD!G54*Control!$B$3,0)</f>
        <v>0</v>
      </c>
      <c r="H54">
        <f>IF(AND(COUNTIF(Control!$E$20:$E$100,$B54)=0,COUNTIF(Control!$E$20:$E$100,H$2)=0),VISUM_Arterial_OD!H54*Control!$B$3,0)</f>
        <v>0</v>
      </c>
      <c r="I54">
        <f>IF(AND(COUNTIF(Control!$E$20:$E$100,$B54)=0,COUNTIF(Control!$E$20:$E$100,I$2)=0),VISUM_Arterial_OD!I54*Control!$B$3,0)</f>
        <v>0</v>
      </c>
      <c r="J54">
        <f>IF(AND(COUNTIF(Control!$E$20:$E$100,$B54)=0,COUNTIF(Control!$E$20:$E$100,J$2)=0),VISUM_Arterial_OD!J54*Control!$B$3,0)</f>
        <v>0</v>
      </c>
      <c r="K54">
        <f>IF(AND(COUNTIF(Control!$E$20:$E$100,$B54)=0,COUNTIF(Control!$E$20:$E$100,K$2)=0),VISUM_Arterial_OD!K54*Control!$B$3,0)</f>
        <v>0</v>
      </c>
      <c r="L54">
        <f>IF(AND(COUNTIF(Control!$E$20:$E$100,$B54)=0,COUNTIF(Control!$E$20:$E$100,L$2)=0),VISUM_Arterial_OD!L54*Control!$B$3,0)</f>
        <v>0</v>
      </c>
      <c r="M54">
        <f>IF(AND(COUNTIF(Control!$E$20:$E$100,$B54)=0,COUNTIF(Control!$E$20:$E$100,M$2)=0),VISUM_Arterial_OD!M54*Control!$B$3,0)</f>
        <v>0</v>
      </c>
      <c r="N54">
        <f>IF(AND(COUNTIF(Control!$E$20:$E$100,$B54)=0,COUNTIF(Control!$E$20:$E$100,N$2)=0),VISUM_Arterial_OD!N54*Control!$B$3,0)</f>
        <v>0</v>
      </c>
      <c r="O54">
        <f>IF(AND(COUNTIF(Control!$E$20:$E$100,$B54)=0,COUNTIF(Control!$E$20:$E$100,O$2)=0),VISUM_Arterial_OD!O54*Control!$B$3,0)</f>
        <v>0</v>
      </c>
      <c r="P54">
        <f>IF(AND(COUNTIF(Control!$E$20:$E$100,$B54)=0,COUNTIF(Control!$E$20:$E$100,P$2)=0),VISUM_Arterial_OD!P54*Control!$B$3,0)</f>
        <v>0</v>
      </c>
      <c r="Q54">
        <f>IF(AND(COUNTIF(Control!$E$20:$E$100,$B54)=0,COUNTIF(Control!$E$20:$E$100,Q$2)=0),VISUM_Arterial_OD!Q54*Control!$B$3,0)</f>
        <v>0</v>
      </c>
      <c r="R54">
        <f>IF(AND(COUNTIF(Control!$E$20:$E$100,$B54)=0,COUNTIF(Control!$E$20:$E$100,R$2)=0),VISUM_Arterial_OD!R54*Control!$B$3,0)</f>
        <v>0</v>
      </c>
      <c r="S54">
        <f>IF(AND(COUNTIF(Control!$E$20:$E$100,$B54)=0,COUNTIF(Control!$E$20:$E$100,S$2)=0),VISUM_Arterial_OD!S54*Control!$B$3,0)</f>
        <v>0</v>
      </c>
      <c r="T54">
        <f>IF(AND(COUNTIF(Control!$E$20:$E$100,$B54)=0,COUNTIF(Control!$E$20:$E$100,T$2)=0),VISUM_Arterial_OD!T54*Control!$B$3,0)</f>
        <v>0</v>
      </c>
      <c r="U54">
        <f>IF(AND(COUNTIF(Control!$E$20:$E$100,$B54)=0,COUNTIF(Control!$E$20:$E$100,U$2)=0),VISUM_Arterial_OD!U54*Control!$B$3,0)</f>
        <v>0</v>
      </c>
      <c r="V54">
        <f>IF(AND(COUNTIF(Control!$E$20:$E$100,$B54)=0,COUNTIF(Control!$E$20:$E$100,V$2)=0),VISUM_Arterial_OD!V54*Control!$B$3,0)</f>
        <v>0</v>
      </c>
      <c r="W54">
        <f>IF(AND(COUNTIF(Control!$E$20:$E$100,$B54)=0,COUNTIF(Control!$E$20:$E$100,W$2)=0),VISUM_Arterial_OD!W54*Control!$B$3,0)</f>
        <v>0</v>
      </c>
      <c r="X54">
        <f>IF(AND(COUNTIF(Control!$E$20:$E$100,$B54)=0,COUNTIF(Control!$E$20:$E$100,X$2)=0),VISUM_Arterial_OD!X54*Control!$B$3,0)</f>
        <v>0</v>
      </c>
      <c r="Y54">
        <f>IF(AND(COUNTIF(Control!$E$20:$E$100,$B54)=0,COUNTIF(Control!$E$20:$E$100,Y$2)=0),VISUM_Arterial_OD!Y54*Control!$B$3,0)</f>
        <v>0</v>
      </c>
      <c r="Z54">
        <f>IF(AND(COUNTIF(Control!$E$20:$E$100,$B54)=0,COUNTIF(Control!$E$20:$E$100,Z$2)=0),VISUM_Arterial_OD!Z54*Control!$B$3,0)</f>
        <v>0</v>
      </c>
      <c r="AA54">
        <f>IF(AND(COUNTIF(Control!$E$20:$E$100,$B54)=0,COUNTIF(Control!$E$20:$E$100,AA$2)=0),VISUM_Arterial_OD!AA54*Control!$B$3,0)</f>
        <v>0</v>
      </c>
      <c r="AB54">
        <f>IF(AND(COUNTIF(Control!$E$20:$E$100,$B54)=0,COUNTIF(Control!$E$20:$E$100,AB$2)=0),VISUM_Arterial_OD!AB54*Control!$B$3,0)</f>
        <v>0</v>
      </c>
      <c r="AC54">
        <f>IF(AND(COUNTIF(Control!$E$20:$E$100,$B54)=0,COUNTIF(Control!$E$20:$E$100,AC$2)=0),VISUM_Arterial_OD!AC54*Control!$B$3,0)</f>
        <v>0</v>
      </c>
      <c r="AD54">
        <f>IF(AND(COUNTIF(Control!$E$20:$E$100,$B54)=0,COUNTIF(Control!$E$20:$E$100,AD$2)=0),VISUM_Arterial_OD!AD54*Control!$B$3,0)</f>
        <v>0</v>
      </c>
      <c r="AE54">
        <f>IF(AND(COUNTIF(Control!$E$20:$E$100,$B54)=0,COUNTIF(Control!$E$20:$E$100,AE$2)=0),VISUM_Arterial_OD!AE54*Control!$B$3,0)</f>
        <v>0</v>
      </c>
      <c r="AF54">
        <f>IF(AND(COUNTIF(Control!$E$20:$E$100,$B54)=0,COUNTIF(Control!$E$20:$E$100,AF$2)=0),VISUM_Arterial_OD!AF54*Control!$B$3,0)</f>
        <v>0</v>
      </c>
      <c r="AG54">
        <f>IF(AND(COUNTIF(Control!$E$20:$E$100,$B54)=0,COUNTIF(Control!$E$20:$E$100,AG$2)=0),VISUM_Arterial_OD!AG54*Control!$B$3,0)</f>
        <v>0</v>
      </c>
      <c r="AH54">
        <f>IF(AND(COUNTIF(Control!$E$20:$E$100,$B54)=0,COUNTIF(Control!$E$20:$E$100,AH$2)=0),VISUM_Arterial_OD!AH54*Control!$B$3,0)</f>
        <v>0</v>
      </c>
      <c r="AI54">
        <f>IF(AND(COUNTIF(Control!$E$20:$E$100,$B54)=0,COUNTIF(Control!$E$20:$E$100,AI$2)=0),VISUM_Arterial_OD!AI54*Control!$B$3,0)</f>
        <v>0</v>
      </c>
      <c r="AJ54">
        <f>IF(AND(COUNTIF(Control!$E$20:$E$100,$B54)=0,COUNTIF(Control!$E$20:$E$100,AJ$2)=0),VISUM_Arterial_OD!AJ54*Control!$B$3,0)</f>
        <v>0</v>
      </c>
      <c r="AK54">
        <f>IF(AND(COUNTIF(Control!$E$20:$E$100,$B54)=0,COUNTIF(Control!$E$20:$E$100,AK$2)=0),VISUM_Arterial_OD!AK54*Control!$B$3,0)</f>
        <v>0</v>
      </c>
      <c r="AL54">
        <f>IF(AND(COUNTIF(Control!$E$20:$E$100,$B54)=0,COUNTIF(Control!$E$20:$E$100,AL$2)=0),VISUM_Arterial_OD!AL54*Control!$B$3,0)</f>
        <v>0</v>
      </c>
      <c r="AM54">
        <f>IF(AND(COUNTIF(Control!$E$20:$E$100,$B54)=0,COUNTIF(Control!$E$20:$E$100,AM$2)=0),VISUM_Arterial_OD!AM54*Control!$B$3,0)</f>
        <v>0</v>
      </c>
      <c r="AN54">
        <f>IF(AND(COUNTIF(Control!$E$20:$E$100,$B54)=0,COUNTIF(Control!$E$20:$E$100,AN$2)=0),VISUM_Arterial_OD!AN54*Control!$B$3,0)</f>
        <v>0</v>
      </c>
      <c r="AO54">
        <f>IF(AND(COUNTIF(Control!$E$20:$E$100,$B54)=0,COUNTIF(Control!$E$20:$E$100,AO$2)=0),VISUM_Arterial_OD!AO54*Control!$B$3,0)</f>
        <v>0</v>
      </c>
      <c r="AP54">
        <f>IF(AND(COUNTIF(Control!$E$20:$E$100,$B54)=0,COUNTIF(Control!$E$20:$E$100,AP$2)=0),VISUM_Arterial_OD!AP54*Control!$B$3,0)</f>
        <v>0</v>
      </c>
      <c r="AQ54">
        <f>IF(AND(COUNTIF(Control!$E$20:$E$100,$B54)=0,COUNTIF(Control!$E$20:$E$100,AQ$2)=0),VISUM_Arterial_OD!AQ54*Control!$B$3,0)</f>
        <v>0</v>
      </c>
      <c r="AR54">
        <f>IF(AND(COUNTIF(Control!$E$20:$E$100,$B54)=0,COUNTIF(Control!$E$20:$E$100,AR$2)=0),VISUM_Arterial_OD!AR54*Control!$B$3,0)</f>
        <v>0</v>
      </c>
      <c r="AS54">
        <f>IF(AND(COUNTIF(Control!$E$20:$E$100,$B54)=0,COUNTIF(Control!$E$20:$E$100,AS$2)=0),VISUM_Arterial_OD!AS54*Control!$B$3,0)</f>
        <v>0</v>
      </c>
      <c r="AT54">
        <f>IF(AND(COUNTIF(Control!$E$20:$E$100,$B54)=0,COUNTIF(Control!$E$20:$E$100,AT$2)=0),VISUM_Arterial_OD!AT54*Control!$B$3,0)</f>
        <v>0</v>
      </c>
      <c r="AU54">
        <f>IF(AND(COUNTIF(Control!$E$20:$E$100,$B54)=0,COUNTIF(Control!$E$20:$E$100,AU$2)=0),VISUM_Arterial_OD!AU54*Control!$B$3,0)</f>
        <v>0</v>
      </c>
      <c r="AV54">
        <f>IF(AND(COUNTIF(Control!$E$20:$E$100,$B54)=0,COUNTIF(Control!$E$20:$E$100,AV$2)=0),VISUM_Arterial_OD!AV54*Control!$B$3,0)</f>
        <v>0</v>
      </c>
      <c r="AW54">
        <f>IF(AND(COUNTIF(Control!$E$20:$E$100,$B54)=0,COUNTIF(Control!$E$20:$E$100,AW$2)=0),VISUM_Arterial_OD!AW54*Control!$B$3,0)</f>
        <v>0</v>
      </c>
      <c r="AX54">
        <f>IF(AND(COUNTIF(Control!$E$20:$E$100,$B54)=0,COUNTIF(Control!$E$20:$E$100,AX$2)=0),VISUM_Arterial_OD!AX54*Control!$B$3,0)</f>
        <v>0</v>
      </c>
      <c r="AY54">
        <f>IF(AND(COUNTIF(Control!$E$20:$E$100,$B54)=0,COUNTIF(Control!$E$20:$E$100,AY$2)=0),VISUM_Arterial_OD!AY54*Control!$B$3,0)</f>
        <v>0</v>
      </c>
      <c r="AZ54">
        <f>IF(AND(COUNTIF(Control!$E$20:$E$100,$B54)=0,COUNTIF(Control!$E$20:$E$100,AZ$2)=0),VISUM_Arterial_OD!AZ54*Control!$B$3,0)</f>
        <v>0</v>
      </c>
      <c r="BA54">
        <f>IF(AND(COUNTIF(Control!$E$20:$E$100,$B54)=0,COUNTIF(Control!$E$20:$E$100,BA$2)=0),VISUM_Arterial_OD!BA54*Control!$B$3,0)</f>
        <v>0</v>
      </c>
      <c r="BB54">
        <f>IF(AND(COUNTIF(Control!$E$20:$E$100,$B54)=0,COUNTIF(Control!$E$20:$E$100,BB$2)=0),VISUM_Arterial_OD!BB54*Control!$B$3,0)</f>
        <v>0</v>
      </c>
      <c r="BC54">
        <f>IF(AND(COUNTIF(Control!$E$20:$E$100,$B54)=0,COUNTIF(Control!$E$20:$E$100,BC$2)=0),VISUM_Arterial_OD!BC54*Control!$B$3,0)</f>
        <v>0</v>
      </c>
      <c r="BD54">
        <f>IF(AND(COUNTIF(Control!$E$20:$E$100,$B54)=0,COUNTIF(Control!$E$20:$E$100,BD$2)=0),VISUM_Arterial_OD!BD54*Control!$B$3,0)</f>
        <v>0</v>
      </c>
      <c r="BE54">
        <f>IF(AND(COUNTIF(Control!$E$20:$E$100,$B54)=0,COUNTIF(Control!$E$20:$E$100,BE$2)=0),VISUM_Arterial_OD!BE54*Control!$B$3,0)</f>
        <v>0</v>
      </c>
      <c r="BF54">
        <f>IF(AND(COUNTIF(Control!$E$20:$E$100,$B54)=0,COUNTIF(Control!$E$20:$E$100,BF$2)=0),VISUM_Arterial_OD!BF54*Control!$B$3,0)</f>
        <v>0</v>
      </c>
      <c r="BG54">
        <f>IF(AND(COUNTIF(Control!$E$20:$E$100,$B54)=0,COUNTIF(Control!$E$20:$E$100,BG$2)=0),VISUM_Arterial_OD!BG54*Control!$B$3,0)</f>
        <v>0</v>
      </c>
      <c r="BH54">
        <f>IF(AND(COUNTIF(Control!$E$20:$E$100,$B54)=0,COUNTIF(Control!$E$20:$E$100,BH$2)=0),VISUM_Arterial_OD!BH54*Control!$B$3,0)</f>
        <v>0</v>
      </c>
      <c r="BI54">
        <f>IF(AND(COUNTIF(Control!$E$20:$E$100,$B54)=0,COUNTIF(Control!$E$20:$E$100,BI$2)=0),VISUM_Arterial_OD!BI54*Control!$B$3,0)</f>
        <v>0</v>
      </c>
      <c r="BJ54">
        <f>IF(AND(COUNTIF(Control!$E$20:$E$100,$B54)=0,COUNTIF(Control!$E$20:$E$100,BJ$2)=0),VISUM_Arterial_OD!BJ54*Control!$B$3,0)</f>
        <v>0</v>
      </c>
      <c r="BK54">
        <f>IF(AND(COUNTIF(Control!$E$20:$E$100,$B54)=0,COUNTIF(Control!$E$20:$E$100,BK$2)=0),VISUM_Arterial_OD!BK54*Control!$B$3,0)</f>
        <v>0</v>
      </c>
      <c r="BL54">
        <f>IF(AND(COUNTIF(Control!$E$20:$E$100,$B54)=0,COUNTIF(Control!$E$20:$E$100,BL$2)=0),VISUM_Arterial_OD!BL54*Control!$B$3,0)</f>
        <v>0</v>
      </c>
      <c r="BM54">
        <f>IF(AND(COUNTIF(Control!$E$20:$E$100,$B54)=0,COUNTIF(Control!$E$20:$E$100,BM$2)=0),VISUM_Arterial_OD!BM54*Control!$B$3,0)</f>
        <v>0</v>
      </c>
      <c r="BN54">
        <f>IF(AND(COUNTIF(Control!$E$20:$E$100,$B54)=0,COUNTIF(Control!$E$20:$E$100,BN$2)=0),VISUM_Arterial_OD!BN54*Control!$B$3,0)</f>
        <v>0</v>
      </c>
      <c r="BO54">
        <f>IF(AND(COUNTIF(Control!$E$20:$E$100,$B54)=0,COUNTIF(Control!$E$20:$E$100,BO$2)=0),VISUM_Arterial_OD!BO54*Control!$B$3,0)</f>
        <v>0</v>
      </c>
      <c r="BP54">
        <f>IF(AND(COUNTIF(Control!$E$20:$E$100,$B54)=0,COUNTIF(Control!$E$20:$E$100,BP$2)=0),VISUM_Arterial_OD!BP54*Control!$B$3,0)</f>
        <v>0</v>
      </c>
      <c r="BQ54">
        <f>IF(AND(COUNTIF(Control!$E$20:$E$100,$B54)=0,COUNTIF(Control!$E$20:$E$100,BQ$2)=0),VISUM_Arterial_OD!BQ54*Control!$B$3,0)</f>
        <v>0</v>
      </c>
    </row>
    <row r="55" spans="1:69" x14ac:dyDescent="0.25">
      <c r="A55" s="5">
        <f>IF(VLOOKUP(B55,Arterial_Zone_Link_Mapping!$A:$C,2,FALSE)&lt;&gt;"",VLOOKUP(B55,Arterial_Zone_Link_Mapping!$A:$C,2,FALSE),"")</f>
        <v>61</v>
      </c>
      <c r="B55" s="5">
        <v>77</v>
      </c>
      <c r="C55">
        <f>IF(AND(COUNTIF(Control!$E$20:$E$100,$B55)=0,COUNTIF(Control!$E$20:$E$100,C$2)=0),VISUM_Arterial_OD!C55*Control!$B$3,0)</f>
        <v>0</v>
      </c>
      <c r="D55">
        <f>IF(AND(COUNTIF(Control!$E$20:$E$100,$B55)=0,COUNTIF(Control!$E$20:$E$100,D$2)=0),VISUM_Arterial_OD!D55*Control!$B$3,0)</f>
        <v>0</v>
      </c>
      <c r="E55">
        <f>IF(AND(COUNTIF(Control!$E$20:$E$100,$B55)=0,COUNTIF(Control!$E$20:$E$100,E$2)=0),VISUM_Arterial_OD!E55*Control!$B$3,0)</f>
        <v>0</v>
      </c>
      <c r="F55">
        <f>IF(AND(COUNTIF(Control!$E$20:$E$100,$B55)=0,COUNTIF(Control!$E$20:$E$100,F$2)=0),VISUM_Arterial_OD!F55*Control!$B$3,0)</f>
        <v>0</v>
      </c>
      <c r="G55">
        <f>IF(AND(COUNTIF(Control!$E$20:$E$100,$B55)=0,COUNTIF(Control!$E$20:$E$100,G$2)=0),VISUM_Arterial_OD!G55*Control!$B$3,0)</f>
        <v>14.60685387</v>
      </c>
      <c r="H55">
        <f>IF(AND(COUNTIF(Control!$E$20:$E$100,$B55)=0,COUNTIF(Control!$E$20:$E$100,H$2)=0),VISUM_Arterial_OD!H55*Control!$B$3,0)</f>
        <v>0</v>
      </c>
      <c r="I55">
        <f>IF(AND(COUNTIF(Control!$E$20:$E$100,$B55)=0,COUNTIF(Control!$E$20:$E$100,I$2)=0),VISUM_Arterial_OD!I55*Control!$B$3,0)</f>
        <v>0</v>
      </c>
      <c r="J55">
        <f>IF(AND(COUNTIF(Control!$E$20:$E$100,$B55)=0,COUNTIF(Control!$E$20:$E$100,J$2)=0),VISUM_Arterial_OD!J55*Control!$B$3,0)</f>
        <v>0</v>
      </c>
      <c r="K55">
        <f>IF(AND(COUNTIF(Control!$E$20:$E$100,$B55)=0,COUNTIF(Control!$E$20:$E$100,K$2)=0),VISUM_Arterial_OD!K55*Control!$B$3,0)</f>
        <v>0</v>
      </c>
      <c r="L55">
        <f>IF(AND(COUNTIF(Control!$E$20:$E$100,$B55)=0,COUNTIF(Control!$E$20:$E$100,L$2)=0),VISUM_Arterial_OD!L55*Control!$B$3,0)</f>
        <v>0</v>
      </c>
      <c r="M55">
        <f>IF(AND(COUNTIF(Control!$E$20:$E$100,$B55)=0,COUNTIF(Control!$E$20:$E$100,M$2)=0),VISUM_Arterial_OD!M55*Control!$B$3,0)</f>
        <v>0</v>
      </c>
      <c r="N55">
        <f>IF(AND(COUNTIF(Control!$E$20:$E$100,$B55)=0,COUNTIF(Control!$E$20:$E$100,N$2)=0),VISUM_Arterial_OD!N55*Control!$B$3,0)</f>
        <v>0</v>
      </c>
      <c r="O55">
        <f>IF(AND(COUNTIF(Control!$E$20:$E$100,$B55)=0,COUNTIF(Control!$E$20:$E$100,O$2)=0),VISUM_Arterial_OD!O55*Control!$B$3,0)</f>
        <v>0</v>
      </c>
      <c r="P55">
        <f>IF(AND(COUNTIF(Control!$E$20:$E$100,$B55)=0,COUNTIF(Control!$E$20:$E$100,P$2)=0),VISUM_Arterial_OD!P55*Control!$B$3,0)</f>
        <v>0</v>
      </c>
      <c r="Q55">
        <f>IF(AND(COUNTIF(Control!$E$20:$E$100,$B55)=0,COUNTIF(Control!$E$20:$E$100,Q$2)=0),VISUM_Arterial_OD!Q55*Control!$B$3,0)</f>
        <v>0</v>
      </c>
      <c r="R55">
        <f>IF(AND(COUNTIF(Control!$E$20:$E$100,$B55)=0,COUNTIF(Control!$E$20:$E$100,R$2)=0),VISUM_Arterial_OD!R55*Control!$B$3,0)</f>
        <v>0</v>
      </c>
      <c r="S55">
        <f>IF(AND(COUNTIF(Control!$E$20:$E$100,$B55)=0,COUNTIF(Control!$E$20:$E$100,S$2)=0),VISUM_Arterial_OD!S55*Control!$B$3,0)</f>
        <v>0</v>
      </c>
      <c r="T55">
        <f>IF(AND(COUNTIF(Control!$E$20:$E$100,$B55)=0,COUNTIF(Control!$E$20:$E$100,T$2)=0),VISUM_Arterial_OD!T55*Control!$B$3,0)</f>
        <v>0</v>
      </c>
      <c r="U55">
        <f>IF(AND(COUNTIF(Control!$E$20:$E$100,$B55)=0,COUNTIF(Control!$E$20:$E$100,U$2)=0),VISUM_Arterial_OD!U55*Control!$B$3,0)</f>
        <v>16.24986753</v>
      </c>
      <c r="V55">
        <f>IF(AND(COUNTIF(Control!$E$20:$E$100,$B55)=0,COUNTIF(Control!$E$20:$E$100,V$2)=0),VISUM_Arterial_OD!V55*Control!$B$3,0)</f>
        <v>4.5382860599999999</v>
      </c>
      <c r="W55">
        <f>IF(AND(COUNTIF(Control!$E$20:$E$100,$B55)=0,COUNTIF(Control!$E$20:$E$100,W$2)=0),VISUM_Arterial_OD!W55*Control!$B$3,0)</f>
        <v>0.15404387999999999</v>
      </c>
      <c r="X55">
        <f>IF(AND(COUNTIF(Control!$E$20:$E$100,$B55)=0,COUNTIF(Control!$E$20:$E$100,X$2)=0),VISUM_Arterial_OD!X55*Control!$B$3,0)</f>
        <v>0.70836347999999993</v>
      </c>
      <c r="Y55">
        <f>IF(AND(COUNTIF(Control!$E$20:$E$100,$B55)=0,COUNTIF(Control!$E$20:$E$100,Y$2)=0),VISUM_Arterial_OD!Y55*Control!$B$3,0)</f>
        <v>0</v>
      </c>
      <c r="Z55">
        <f>IF(AND(COUNTIF(Control!$E$20:$E$100,$B55)=0,COUNTIF(Control!$E$20:$E$100,Z$2)=0),VISUM_Arterial_OD!Z55*Control!$B$3,0)</f>
        <v>0</v>
      </c>
      <c r="AA55">
        <f>IF(AND(COUNTIF(Control!$E$20:$E$100,$B55)=0,COUNTIF(Control!$E$20:$E$100,AA$2)=0),VISUM_Arterial_OD!AA55*Control!$B$3,0)</f>
        <v>6.6464272499999995</v>
      </c>
      <c r="AB55">
        <f>IF(AND(COUNTIF(Control!$E$20:$E$100,$B55)=0,COUNTIF(Control!$E$20:$E$100,AB$2)=0),VISUM_Arterial_OD!AB55*Control!$B$3,0)</f>
        <v>0</v>
      </c>
      <c r="AC55">
        <f>IF(AND(COUNTIF(Control!$E$20:$E$100,$B55)=0,COUNTIF(Control!$E$20:$E$100,AC$2)=0),VISUM_Arterial_OD!AC55*Control!$B$3,0)</f>
        <v>0</v>
      </c>
      <c r="AD55">
        <f>IF(AND(COUNTIF(Control!$E$20:$E$100,$B55)=0,COUNTIF(Control!$E$20:$E$100,AD$2)=0),VISUM_Arterial_OD!AD55*Control!$B$3,0)</f>
        <v>0</v>
      </c>
      <c r="AE55">
        <f>IF(AND(COUNTIF(Control!$E$20:$E$100,$B55)=0,COUNTIF(Control!$E$20:$E$100,AE$2)=0),VISUM_Arterial_OD!AE55*Control!$B$3,0)</f>
        <v>0</v>
      </c>
      <c r="AF55">
        <f>IF(AND(COUNTIF(Control!$E$20:$E$100,$B55)=0,COUNTIF(Control!$E$20:$E$100,AF$2)=0),VISUM_Arterial_OD!AF55*Control!$B$3,0)</f>
        <v>0</v>
      </c>
      <c r="AG55">
        <f>IF(AND(COUNTIF(Control!$E$20:$E$100,$B55)=0,COUNTIF(Control!$E$20:$E$100,AG$2)=0),VISUM_Arterial_OD!AG55*Control!$B$3,0)</f>
        <v>0</v>
      </c>
      <c r="AH55">
        <f>IF(AND(COUNTIF(Control!$E$20:$E$100,$B55)=0,COUNTIF(Control!$E$20:$E$100,AH$2)=0),VISUM_Arterial_OD!AH55*Control!$B$3,0)</f>
        <v>0</v>
      </c>
      <c r="AI55">
        <f>IF(AND(COUNTIF(Control!$E$20:$E$100,$B55)=0,COUNTIF(Control!$E$20:$E$100,AI$2)=0),VISUM_Arterial_OD!AI55*Control!$B$3,0)</f>
        <v>0</v>
      </c>
      <c r="AJ55">
        <f>IF(AND(COUNTIF(Control!$E$20:$E$100,$B55)=0,COUNTIF(Control!$E$20:$E$100,AJ$2)=0),VISUM_Arterial_OD!AJ55*Control!$B$3,0)</f>
        <v>0</v>
      </c>
      <c r="AK55">
        <f>IF(AND(COUNTIF(Control!$E$20:$E$100,$B55)=0,COUNTIF(Control!$E$20:$E$100,AK$2)=0),VISUM_Arterial_OD!AK55*Control!$B$3,0)</f>
        <v>0</v>
      </c>
      <c r="AL55">
        <f>IF(AND(COUNTIF(Control!$E$20:$E$100,$B55)=0,COUNTIF(Control!$E$20:$E$100,AL$2)=0),VISUM_Arterial_OD!AL55*Control!$B$3,0)</f>
        <v>0</v>
      </c>
      <c r="AM55">
        <f>IF(AND(COUNTIF(Control!$E$20:$E$100,$B55)=0,COUNTIF(Control!$E$20:$E$100,AM$2)=0),VISUM_Arterial_OD!AM55*Control!$B$3,0)</f>
        <v>0</v>
      </c>
      <c r="AN55">
        <f>IF(AND(COUNTIF(Control!$E$20:$E$100,$B55)=0,COUNTIF(Control!$E$20:$E$100,AN$2)=0),VISUM_Arterial_OD!AN55*Control!$B$3,0)</f>
        <v>0</v>
      </c>
      <c r="AO55">
        <f>IF(AND(COUNTIF(Control!$E$20:$E$100,$B55)=0,COUNTIF(Control!$E$20:$E$100,AO$2)=0),VISUM_Arterial_OD!AO55*Control!$B$3,0)</f>
        <v>0</v>
      </c>
      <c r="AP55">
        <f>IF(AND(COUNTIF(Control!$E$20:$E$100,$B55)=0,COUNTIF(Control!$E$20:$E$100,AP$2)=0),VISUM_Arterial_OD!AP55*Control!$B$3,0)</f>
        <v>0</v>
      </c>
      <c r="AQ55">
        <f>IF(AND(COUNTIF(Control!$E$20:$E$100,$B55)=0,COUNTIF(Control!$E$20:$E$100,AQ$2)=0),VISUM_Arterial_OD!AQ55*Control!$B$3,0)</f>
        <v>0</v>
      </c>
      <c r="AR55">
        <f>IF(AND(COUNTIF(Control!$E$20:$E$100,$B55)=0,COUNTIF(Control!$E$20:$E$100,AR$2)=0),VISUM_Arterial_OD!AR55*Control!$B$3,0)</f>
        <v>0</v>
      </c>
      <c r="AS55">
        <f>IF(AND(COUNTIF(Control!$E$20:$E$100,$B55)=0,COUNTIF(Control!$E$20:$E$100,AS$2)=0),VISUM_Arterial_OD!AS55*Control!$B$3,0)</f>
        <v>0</v>
      </c>
      <c r="AT55">
        <f>IF(AND(COUNTIF(Control!$E$20:$E$100,$B55)=0,COUNTIF(Control!$E$20:$E$100,AT$2)=0),VISUM_Arterial_OD!AT55*Control!$B$3,0)</f>
        <v>0</v>
      </c>
      <c r="AU55">
        <f>IF(AND(COUNTIF(Control!$E$20:$E$100,$B55)=0,COUNTIF(Control!$E$20:$E$100,AU$2)=0),VISUM_Arterial_OD!AU55*Control!$B$3,0)</f>
        <v>0</v>
      </c>
      <c r="AV55">
        <f>IF(AND(COUNTIF(Control!$E$20:$E$100,$B55)=0,COUNTIF(Control!$E$20:$E$100,AV$2)=0),VISUM_Arterial_OD!AV55*Control!$B$3,0)</f>
        <v>0</v>
      </c>
      <c r="AW55">
        <f>IF(AND(COUNTIF(Control!$E$20:$E$100,$B55)=0,COUNTIF(Control!$E$20:$E$100,AW$2)=0),VISUM_Arterial_OD!AW55*Control!$B$3,0)</f>
        <v>0</v>
      </c>
      <c r="AX55">
        <f>IF(AND(COUNTIF(Control!$E$20:$E$100,$B55)=0,COUNTIF(Control!$E$20:$E$100,AX$2)=0),VISUM_Arterial_OD!AX55*Control!$B$3,0)</f>
        <v>0</v>
      </c>
      <c r="AY55">
        <f>IF(AND(COUNTIF(Control!$E$20:$E$100,$B55)=0,COUNTIF(Control!$E$20:$E$100,AY$2)=0),VISUM_Arterial_OD!AY55*Control!$B$3,0)</f>
        <v>0</v>
      </c>
      <c r="AZ55">
        <f>IF(AND(COUNTIF(Control!$E$20:$E$100,$B55)=0,COUNTIF(Control!$E$20:$E$100,AZ$2)=0),VISUM_Arterial_OD!AZ55*Control!$B$3,0)</f>
        <v>0</v>
      </c>
      <c r="BA55">
        <f>IF(AND(COUNTIF(Control!$E$20:$E$100,$B55)=0,COUNTIF(Control!$E$20:$E$100,BA$2)=0),VISUM_Arterial_OD!BA55*Control!$B$3,0)</f>
        <v>0</v>
      </c>
      <c r="BB55">
        <f>IF(AND(COUNTIF(Control!$E$20:$E$100,$B55)=0,COUNTIF(Control!$E$20:$E$100,BB$2)=0),VISUM_Arterial_OD!BB55*Control!$B$3,0)</f>
        <v>0</v>
      </c>
      <c r="BC55">
        <f>IF(AND(COUNTIF(Control!$E$20:$E$100,$B55)=0,COUNTIF(Control!$E$20:$E$100,BC$2)=0),VISUM_Arterial_OD!BC55*Control!$B$3,0)</f>
        <v>0</v>
      </c>
      <c r="BD55">
        <f>IF(AND(COUNTIF(Control!$E$20:$E$100,$B55)=0,COUNTIF(Control!$E$20:$E$100,BD$2)=0),VISUM_Arterial_OD!BD55*Control!$B$3,0)</f>
        <v>0</v>
      </c>
      <c r="BE55">
        <f>IF(AND(COUNTIF(Control!$E$20:$E$100,$B55)=0,COUNTIF(Control!$E$20:$E$100,BE$2)=0),VISUM_Arterial_OD!BE55*Control!$B$3,0)</f>
        <v>0</v>
      </c>
      <c r="BF55">
        <f>IF(AND(COUNTIF(Control!$E$20:$E$100,$B55)=0,COUNTIF(Control!$E$20:$E$100,BF$2)=0),VISUM_Arterial_OD!BF55*Control!$B$3,0)</f>
        <v>0</v>
      </c>
      <c r="BG55">
        <f>IF(AND(COUNTIF(Control!$E$20:$E$100,$B55)=0,COUNTIF(Control!$E$20:$E$100,BG$2)=0),VISUM_Arterial_OD!BG55*Control!$B$3,0)</f>
        <v>0</v>
      </c>
      <c r="BH55">
        <f>IF(AND(COUNTIF(Control!$E$20:$E$100,$B55)=0,COUNTIF(Control!$E$20:$E$100,BH$2)=0),VISUM_Arterial_OD!BH55*Control!$B$3,0)</f>
        <v>0</v>
      </c>
      <c r="BI55">
        <f>IF(AND(COUNTIF(Control!$E$20:$E$100,$B55)=0,COUNTIF(Control!$E$20:$E$100,BI$2)=0),VISUM_Arterial_OD!BI55*Control!$B$3,0)</f>
        <v>0</v>
      </c>
      <c r="BJ55">
        <f>IF(AND(COUNTIF(Control!$E$20:$E$100,$B55)=0,COUNTIF(Control!$E$20:$E$100,BJ$2)=0),VISUM_Arterial_OD!BJ55*Control!$B$3,0)</f>
        <v>0</v>
      </c>
      <c r="BK55">
        <f>IF(AND(COUNTIF(Control!$E$20:$E$100,$B55)=0,COUNTIF(Control!$E$20:$E$100,BK$2)=0),VISUM_Arterial_OD!BK55*Control!$B$3,0)</f>
        <v>0</v>
      </c>
      <c r="BL55">
        <f>IF(AND(COUNTIF(Control!$E$20:$E$100,$B55)=0,COUNTIF(Control!$E$20:$E$100,BL$2)=0),VISUM_Arterial_OD!BL55*Control!$B$3,0)</f>
        <v>0</v>
      </c>
      <c r="BM55">
        <f>IF(AND(COUNTIF(Control!$E$20:$E$100,$B55)=0,COUNTIF(Control!$E$20:$E$100,BM$2)=0),VISUM_Arterial_OD!BM55*Control!$B$3,0)</f>
        <v>0</v>
      </c>
      <c r="BN55">
        <f>IF(AND(COUNTIF(Control!$E$20:$E$100,$B55)=0,COUNTIF(Control!$E$20:$E$100,BN$2)=0),VISUM_Arterial_OD!BN55*Control!$B$3,0)</f>
        <v>0</v>
      </c>
      <c r="BO55">
        <f>IF(AND(COUNTIF(Control!$E$20:$E$100,$B55)=0,COUNTIF(Control!$E$20:$E$100,BO$2)=0),VISUM_Arterial_OD!BO55*Control!$B$3,0)</f>
        <v>0</v>
      </c>
      <c r="BP55">
        <f>IF(AND(COUNTIF(Control!$E$20:$E$100,$B55)=0,COUNTIF(Control!$E$20:$E$100,BP$2)=0),VISUM_Arterial_OD!BP55*Control!$B$3,0)</f>
        <v>0</v>
      </c>
      <c r="BQ55">
        <f>IF(AND(COUNTIF(Control!$E$20:$E$100,$B55)=0,COUNTIF(Control!$E$20:$E$100,BQ$2)=0),VISUM_Arterial_OD!BQ55*Control!$B$3,0)</f>
        <v>0</v>
      </c>
    </row>
    <row r="56" spans="1:69" x14ac:dyDescent="0.25">
      <c r="A56" s="5">
        <f>IF(VLOOKUP(B56,Arterial_Zone_Link_Mapping!$A:$C,2,FALSE)&lt;&gt;"",VLOOKUP(B56,Arterial_Zone_Link_Mapping!$A:$C,2,FALSE),"")</f>
        <v>20040</v>
      </c>
      <c r="B56" s="5">
        <v>78</v>
      </c>
      <c r="C56">
        <f>IF(AND(COUNTIF(Control!$E$20:$E$100,$B56)=0,COUNTIF(Control!$E$20:$E$100,C$2)=0),VISUM_Arterial_OD!C56*Control!$B$3,0)</f>
        <v>0</v>
      </c>
      <c r="D56">
        <f>IF(AND(COUNTIF(Control!$E$20:$E$100,$B56)=0,COUNTIF(Control!$E$20:$E$100,D$2)=0),VISUM_Arterial_OD!D56*Control!$B$3,0)</f>
        <v>0</v>
      </c>
      <c r="E56">
        <f>IF(AND(COUNTIF(Control!$E$20:$E$100,$B56)=0,COUNTIF(Control!$E$20:$E$100,E$2)=0),VISUM_Arterial_OD!E56*Control!$B$3,0)</f>
        <v>0</v>
      </c>
      <c r="F56">
        <f>IF(AND(COUNTIF(Control!$E$20:$E$100,$B56)=0,COUNTIF(Control!$E$20:$E$100,F$2)=0),VISUM_Arterial_OD!F56*Control!$B$3,0)</f>
        <v>0</v>
      </c>
      <c r="G56">
        <f>IF(AND(COUNTIF(Control!$E$20:$E$100,$B56)=0,COUNTIF(Control!$E$20:$E$100,G$2)=0),VISUM_Arterial_OD!G56*Control!$B$3,0)</f>
        <v>2.4791349899999999</v>
      </c>
      <c r="H56">
        <f>IF(AND(COUNTIF(Control!$E$20:$E$100,$B56)=0,COUNTIF(Control!$E$20:$E$100,H$2)=0),VISUM_Arterial_OD!H56*Control!$B$3,0)</f>
        <v>0</v>
      </c>
      <c r="I56">
        <f>IF(AND(COUNTIF(Control!$E$20:$E$100,$B56)=0,COUNTIF(Control!$E$20:$E$100,I$2)=0),VISUM_Arterial_OD!I56*Control!$B$3,0)</f>
        <v>0</v>
      </c>
      <c r="J56">
        <f>IF(AND(COUNTIF(Control!$E$20:$E$100,$B56)=0,COUNTIF(Control!$E$20:$E$100,J$2)=0),VISUM_Arterial_OD!J56*Control!$B$3,0)</f>
        <v>0</v>
      </c>
      <c r="K56">
        <f>IF(AND(COUNTIF(Control!$E$20:$E$100,$B56)=0,COUNTIF(Control!$E$20:$E$100,K$2)=0),VISUM_Arterial_OD!K56*Control!$B$3,0)</f>
        <v>0</v>
      </c>
      <c r="L56">
        <f>IF(AND(COUNTIF(Control!$E$20:$E$100,$B56)=0,COUNTIF(Control!$E$20:$E$100,L$2)=0),VISUM_Arterial_OD!L56*Control!$B$3,0)</f>
        <v>0</v>
      </c>
      <c r="M56">
        <f>IF(AND(COUNTIF(Control!$E$20:$E$100,$B56)=0,COUNTIF(Control!$E$20:$E$100,M$2)=0),VISUM_Arterial_OD!M56*Control!$B$3,0)</f>
        <v>0</v>
      </c>
      <c r="N56">
        <f>IF(AND(COUNTIF(Control!$E$20:$E$100,$B56)=0,COUNTIF(Control!$E$20:$E$100,N$2)=0),VISUM_Arterial_OD!N56*Control!$B$3,0)</f>
        <v>0</v>
      </c>
      <c r="O56">
        <f>IF(AND(COUNTIF(Control!$E$20:$E$100,$B56)=0,COUNTIF(Control!$E$20:$E$100,O$2)=0),VISUM_Arterial_OD!O56*Control!$B$3,0)</f>
        <v>0</v>
      </c>
      <c r="P56">
        <f>IF(AND(COUNTIF(Control!$E$20:$E$100,$B56)=0,COUNTIF(Control!$E$20:$E$100,P$2)=0),VISUM_Arterial_OD!P56*Control!$B$3,0)</f>
        <v>0</v>
      </c>
      <c r="Q56">
        <f>IF(AND(COUNTIF(Control!$E$20:$E$100,$B56)=0,COUNTIF(Control!$E$20:$E$100,Q$2)=0),VISUM_Arterial_OD!Q56*Control!$B$3,0)</f>
        <v>0.29777193000000002</v>
      </c>
      <c r="R56">
        <f>IF(AND(COUNTIF(Control!$E$20:$E$100,$B56)=0,COUNTIF(Control!$E$20:$E$100,R$2)=0),VISUM_Arterial_OD!R56*Control!$B$3,0)</f>
        <v>0</v>
      </c>
      <c r="S56">
        <f>IF(AND(COUNTIF(Control!$E$20:$E$100,$B56)=0,COUNTIF(Control!$E$20:$E$100,S$2)=0),VISUM_Arterial_OD!S56*Control!$B$3,0)</f>
        <v>0</v>
      </c>
      <c r="T56">
        <f>IF(AND(COUNTIF(Control!$E$20:$E$100,$B56)=0,COUNTIF(Control!$E$20:$E$100,T$2)=0),VISUM_Arterial_OD!T56*Control!$B$3,0)</f>
        <v>0</v>
      </c>
      <c r="U56">
        <f>IF(AND(COUNTIF(Control!$E$20:$E$100,$B56)=0,COUNTIF(Control!$E$20:$E$100,U$2)=0),VISUM_Arterial_OD!U56*Control!$B$3,0)</f>
        <v>3.7039189499999998</v>
      </c>
      <c r="V56">
        <f>IF(AND(COUNTIF(Control!$E$20:$E$100,$B56)=0,COUNTIF(Control!$E$20:$E$100,V$2)=0),VISUM_Arterial_OD!V56*Control!$B$3,0)</f>
        <v>0.83074185</v>
      </c>
      <c r="W56">
        <f>IF(AND(COUNTIF(Control!$E$20:$E$100,$B56)=0,COUNTIF(Control!$E$20:$E$100,W$2)=0),VISUM_Arterial_OD!W56*Control!$B$3,0)</f>
        <v>1.5949353899999998</v>
      </c>
      <c r="X56">
        <f>IF(AND(COUNTIF(Control!$E$20:$E$100,$B56)=0,COUNTIF(Control!$E$20:$E$100,X$2)=0),VISUM_Arterial_OD!X56*Control!$B$3,0)</f>
        <v>0.72290856000000003</v>
      </c>
      <c r="Y56">
        <f>IF(AND(COUNTIF(Control!$E$20:$E$100,$B56)=0,COUNTIF(Control!$E$20:$E$100,Y$2)=0),VISUM_Arterial_OD!Y56*Control!$B$3,0)</f>
        <v>0</v>
      </c>
      <c r="Z56">
        <f>IF(AND(COUNTIF(Control!$E$20:$E$100,$B56)=0,COUNTIF(Control!$E$20:$E$100,Z$2)=0),VISUM_Arterial_OD!Z56*Control!$B$3,0)</f>
        <v>0</v>
      </c>
      <c r="AA56">
        <f>IF(AND(COUNTIF(Control!$E$20:$E$100,$B56)=0,COUNTIF(Control!$E$20:$E$100,AA$2)=0),VISUM_Arterial_OD!AA56*Control!$B$3,0)</f>
        <v>9.8623474499999997</v>
      </c>
      <c r="AB56">
        <f>IF(AND(COUNTIF(Control!$E$20:$E$100,$B56)=0,COUNTIF(Control!$E$20:$E$100,AB$2)=0),VISUM_Arterial_OD!AB56*Control!$B$3,0)</f>
        <v>0</v>
      </c>
      <c r="AC56">
        <f>IF(AND(COUNTIF(Control!$E$20:$E$100,$B56)=0,COUNTIF(Control!$E$20:$E$100,AC$2)=0),VISUM_Arterial_OD!AC56*Control!$B$3,0)</f>
        <v>0</v>
      </c>
      <c r="AD56">
        <f>IF(AND(COUNTIF(Control!$E$20:$E$100,$B56)=0,COUNTIF(Control!$E$20:$E$100,AD$2)=0),VISUM_Arterial_OD!AD56*Control!$B$3,0)</f>
        <v>0</v>
      </c>
      <c r="AE56">
        <f>IF(AND(COUNTIF(Control!$E$20:$E$100,$B56)=0,COUNTIF(Control!$E$20:$E$100,AE$2)=0),VISUM_Arterial_OD!AE56*Control!$B$3,0)</f>
        <v>0</v>
      </c>
      <c r="AF56">
        <f>IF(AND(COUNTIF(Control!$E$20:$E$100,$B56)=0,COUNTIF(Control!$E$20:$E$100,AF$2)=0),VISUM_Arterial_OD!AF56*Control!$B$3,0)</f>
        <v>0</v>
      </c>
      <c r="AG56">
        <f>IF(AND(COUNTIF(Control!$E$20:$E$100,$B56)=0,COUNTIF(Control!$E$20:$E$100,AG$2)=0),VISUM_Arterial_OD!AG56*Control!$B$3,0)</f>
        <v>0</v>
      </c>
      <c r="AH56">
        <f>IF(AND(COUNTIF(Control!$E$20:$E$100,$B56)=0,COUNTIF(Control!$E$20:$E$100,AH$2)=0),VISUM_Arterial_OD!AH56*Control!$B$3,0)</f>
        <v>0</v>
      </c>
      <c r="AI56">
        <f>IF(AND(COUNTIF(Control!$E$20:$E$100,$B56)=0,COUNTIF(Control!$E$20:$E$100,AI$2)=0),VISUM_Arterial_OD!AI56*Control!$B$3,0)</f>
        <v>0</v>
      </c>
      <c r="AJ56">
        <f>IF(AND(COUNTIF(Control!$E$20:$E$100,$B56)=0,COUNTIF(Control!$E$20:$E$100,AJ$2)=0),VISUM_Arterial_OD!AJ56*Control!$B$3,0)</f>
        <v>0</v>
      </c>
      <c r="AK56">
        <f>IF(AND(COUNTIF(Control!$E$20:$E$100,$B56)=0,COUNTIF(Control!$E$20:$E$100,AK$2)=0),VISUM_Arterial_OD!AK56*Control!$B$3,0)</f>
        <v>0</v>
      </c>
      <c r="AL56">
        <f>IF(AND(COUNTIF(Control!$E$20:$E$100,$B56)=0,COUNTIF(Control!$E$20:$E$100,AL$2)=0),VISUM_Arterial_OD!AL56*Control!$B$3,0)</f>
        <v>0</v>
      </c>
      <c r="AM56">
        <f>IF(AND(COUNTIF(Control!$E$20:$E$100,$B56)=0,COUNTIF(Control!$E$20:$E$100,AM$2)=0),VISUM_Arterial_OD!AM56*Control!$B$3,0)</f>
        <v>0</v>
      </c>
      <c r="AN56">
        <f>IF(AND(COUNTIF(Control!$E$20:$E$100,$B56)=0,COUNTIF(Control!$E$20:$E$100,AN$2)=0),VISUM_Arterial_OD!AN56*Control!$B$3,0)</f>
        <v>0</v>
      </c>
      <c r="AO56">
        <f>IF(AND(COUNTIF(Control!$E$20:$E$100,$B56)=0,COUNTIF(Control!$E$20:$E$100,AO$2)=0),VISUM_Arterial_OD!AO56*Control!$B$3,0)</f>
        <v>0</v>
      </c>
      <c r="AP56">
        <f>IF(AND(COUNTIF(Control!$E$20:$E$100,$B56)=0,COUNTIF(Control!$E$20:$E$100,AP$2)=0),VISUM_Arterial_OD!AP56*Control!$B$3,0)</f>
        <v>0</v>
      </c>
      <c r="AQ56">
        <f>IF(AND(COUNTIF(Control!$E$20:$E$100,$B56)=0,COUNTIF(Control!$E$20:$E$100,AQ$2)=0),VISUM_Arterial_OD!AQ56*Control!$B$3,0)</f>
        <v>0</v>
      </c>
      <c r="AR56">
        <f>IF(AND(COUNTIF(Control!$E$20:$E$100,$B56)=0,COUNTIF(Control!$E$20:$E$100,AR$2)=0),VISUM_Arterial_OD!AR56*Control!$B$3,0)</f>
        <v>0</v>
      </c>
      <c r="AS56">
        <f>IF(AND(COUNTIF(Control!$E$20:$E$100,$B56)=0,COUNTIF(Control!$E$20:$E$100,AS$2)=0),VISUM_Arterial_OD!AS56*Control!$B$3,0)</f>
        <v>0</v>
      </c>
      <c r="AT56">
        <f>IF(AND(COUNTIF(Control!$E$20:$E$100,$B56)=0,COUNTIF(Control!$E$20:$E$100,AT$2)=0),VISUM_Arterial_OD!AT56*Control!$B$3,0)</f>
        <v>0</v>
      </c>
      <c r="AU56">
        <f>IF(AND(COUNTIF(Control!$E$20:$E$100,$B56)=0,COUNTIF(Control!$E$20:$E$100,AU$2)=0),VISUM_Arterial_OD!AU56*Control!$B$3,0)</f>
        <v>0</v>
      </c>
      <c r="AV56">
        <f>IF(AND(COUNTIF(Control!$E$20:$E$100,$B56)=0,COUNTIF(Control!$E$20:$E$100,AV$2)=0),VISUM_Arterial_OD!AV56*Control!$B$3,0)</f>
        <v>0</v>
      </c>
      <c r="AW56">
        <f>IF(AND(COUNTIF(Control!$E$20:$E$100,$B56)=0,COUNTIF(Control!$E$20:$E$100,AW$2)=0),VISUM_Arterial_OD!AW56*Control!$B$3,0)</f>
        <v>0</v>
      </c>
      <c r="AX56">
        <f>IF(AND(COUNTIF(Control!$E$20:$E$100,$B56)=0,COUNTIF(Control!$E$20:$E$100,AX$2)=0),VISUM_Arterial_OD!AX56*Control!$B$3,0)</f>
        <v>0</v>
      </c>
      <c r="AY56">
        <f>IF(AND(COUNTIF(Control!$E$20:$E$100,$B56)=0,COUNTIF(Control!$E$20:$E$100,AY$2)=0),VISUM_Arterial_OD!AY56*Control!$B$3,0)</f>
        <v>0</v>
      </c>
      <c r="AZ56">
        <f>IF(AND(COUNTIF(Control!$E$20:$E$100,$B56)=0,COUNTIF(Control!$E$20:$E$100,AZ$2)=0),VISUM_Arterial_OD!AZ56*Control!$B$3,0)</f>
        <v>0</v>
      </c>
      <c r="BA56">
        <f>IF(AND(COUNTIF(Control!$E$20:$E$100,$B56)=0,COUNTIF(Control!$E$20:$E$100,BA$2)=0),VISUM_Arterial_OD!BA56*Control!$B$3,0)</f>
        <v>0</v>
      </c>
      <c r="BB56">
        <f>IF(AND(COUNTIF(Control!$E$20:$E$100,$B56)=0,COUNTIF(Control!$E$20:$E$100,BB$2)=0),VISUM_Arterial_OD!BB56*Control!$B$3,0)</f>
        <v>0</v>
      </c>
      <c r="BC56">
        <f>IF(AND(COUNTIF(Control!$E$20:$E$100,$B56)=0,COUNTIF(Control!$E$20:$E$100,BC$2)=0),VISUM_Arterial_OD!BC56*Control!$B$3,0)</f>
        <v>0</v>
      </c>
      <c r="BD56">
        <f>IF(AND(COUNTIF(Control!$E$20:$E$100,$B56)=0,COUNTIF(Control!$E$20:$E$100,BD$2)=0),VISUM_Arterial_OD!BD56*Control!$B$3,0)</f>
        <v>0</v>
      </c>
      <c r="BE56">
        <f>IF(AND(COUNTIF(Control!$E$20:$E$100,$B56)=0,COUNTIF(Control!$E$20:$E$100,BE$2)=0),VISUM_Arterial_OD!BE56*Control!$B$3,0)</f>
        <v>0</v>
      </c>
      <c r="BF56">
        <f>IF(AND(COUNTIF(Control!$E$20:$E$100,$B56)=0,COUNTIF(Control!$E$20:$E$100,BF$2)=0),VISUM_Arterial_OD!BF56*Control!$B$3,0)</f>
        <v>0</v>
      </c>
      <c r="BG56">
        <f>IF(AND(COUNTIF(Control!$E$20:$E$100,$B56)=0,COUNTIF(Control!$E$20:$E$100,BG$2)=0),VISUM_Arterial_OD!BG56*Control!$B$3,0)</f>
        <v>0</v>
      </c>
      <c r="BH56">
        <f>IF(AND(COUNTIF(Control!$E$20:$E$100,$B56)=0,COUNTIF(Control!$E$20:$E$100,BH$2)=0),VISUM_Arterial_OD!BH56*Control!$B$3,0)</f>
        <v>0</v>
      </c>
      <c r="BI56">
        <f>IF(AND(COUNTIF(Control!$E$20:$E$100,$B56)=0,COUNTIF(Control!$E$20:$E$100,BI$2)=0),VISUM_Arterial_OD!BI56*Control!$B$3,0)</f>
        <v>0</v>
      </c>
      <c r="BJ56">
        <f>IF(AND(COUNTIF(Control!$E$20:$E$100,$B56)=0,COUNTIF(Control!$E$20:$E$100,BJ$2)=0),VISUM_Arterial_OD!BJ56*Control!$B$3,0)</f>
        <v>0</v>
      </c>
      <c r="BK56">
        <f>IF(AND(COUNTIF(Control!$E$20:$E$100,$B56)=0,COUNTIF(Control!$E$20:$E$100,BK$2)=0),VISUM_Arterial_OD!BK56*Control!$B$3,0)</f>
        <v>0</v>
      </c>
      <c r="BL56">
        <f>IF(AND(COUNTIF(Control!$E$20:$E$100,$B56)=0,COUNTIF(Control!$E$20:$E$100,BL$2)=0),VISUM_Arterial_OD!BL56*Control!$B$3,0)</f>
        <v>0</v>
      </c>
      <c r="BM56">
        <f>IF(AND(COUNTIF(Control!$E$20:$E$100,$B56)=0,COUNTIF(Control!$E$20:$E$100,BM$2)=0),VISUM_Arterial_OD!BM56*Control!$B$3,0)</f>
        <v>0</v>
      </c>
      <c r="BN56">
        <f>IF(AND(COUNTIF(Control!$E$20:$E$100,$B56)=0,COUNTIF(Control!$E$20:$E$100,BN$2)=0),VISUM_Arterial_OD!BN56*Control!$B$3,0)</f>
        <v>0</v>
      </c>
      <c r="BO56">
        <f>IF(AND(COUNTIF(Control!$E$20:$E$100,$B56)=0,COUNTIF(Control!$E$20:$E$100,BO$2)=0),VISUM_Arterial_OD!BO56*Control!$B$3,0)</f>
        <v>0</v>
      </c>
      <c r="BP56">
        <f>IF(AND(COUNTIF(Control!$E$20:$E$100,$B56)=0,COUNTIF(Control!$E$20:$E$100,BP$2)=0),VISUM_Arterial_OD!BP56*Control!$B$3,0)</f>
        <v>0</v>
      </c>
      <c r="BQ56">
        <f>IF(AND(COUNTIF(Control!$E$20:$E$100,$B56)=0,COUNTIF(Control!$E$20:$E$100,BQ$2)=0),VISUM_Arterial_OD!BQ56*Control!$B$3,0)</f>
        <v>0</v>
      </c>
    </row>
    <row r="57" spans="1:69" x14ac:dyDescent="0.25">
      <c r="A57" s="5" t="str">
        <f>IF(VLOOKUP(B57,Arterial_Zone_Link_Mapping!$A:$C,2,FALSE)&lt;&gt;"",VLOOKUP(B57,Arterial_Zone_Link_Mapping!$A:$C,2,FALSE),"")</f>
        <v/>
      </c>
      <c r="B57" s="5">
        <v>79</v>
      </c>
      <c r="C57">
        <f>IF(AND(COUNTIF(Control!$E$20:$E$100,$B57)=0,COUNTIF(Control!$E$20:$E$100,C$2)=0),VISUM_Arterial_OD!C57*Control!$B$3,0)</f>
        <v>0</v>
      </c>
      <c r="D57">
        <f>IF(AND(COUNTIF(Control!$E$20:$E$100,$B57)=0,COUNTIF(Control!$E$20:$E$100,D$2)=0),VISUM_Arterial_OD!D57*Control!$B$3,0)</f>
        <v>0</v>
      </c>
      <c r="E57">
        <f>IF(AND(COUNTIF(Control!$E$20:$E$100,$B57)=0,COUNTIF(Control!$E$20:$E$100,E$2)=0),VISUM_Arterial_OD!E57*Control!$B$3,0)</f>
        <v>0</v>
      </c>
      <c r="F57">
        <f>IF(AND(COUNTIF(Control!$E$20:$E$100,$B57)=0,COUNTIF(Control!$E$20:$E$100,F$2)=0),VISUM_Arterial_OD!F57*Control!$B$3,0)</f>
        <v>0</v>
      </c>
      <c r="G57">
        <f>IF(AND(COUNTIF(Control!$E$20:$E$100,$B57)=0,COUNTIF(Control!$E$20:$E$100,G$2)=0),VISUM_Arterial_OD!G57*Control!$B$3,0)</f>
        <v>0</v>
      </c>
      <c r="H57">
        <f>IF(AND(COUNTIF(Control!$E$20:$E$100,$B57)=0,COUNTIF(Control!$E$20:$E$100,H$2)=0),VISUM_Arterial_OD!H57*Control!$B$3,0)</f>
        <v>0</v>
      </c>
      <c r="I57">
        <f>IF(AND(COUNTIF(Control!$E$20:$E$100,$B57)=0,COUNTIF(Control!$E$20:$E$100,I$2)=0),VISUM_Arterial_OD!I57*Control!$B$3,0)</f>
        <v>0</v>
      </c>
      <c r="J57">
        <f>IF(AND(COUNTIF(Control!$E$20:$E$100,$B57)=0,COUNTIF(Control!$E$20:$E$100,J$2)=0),VISUM_Arterial_OD!J57*Control!$B$3,0)</f>
        <v>0</v>
      </c>
      <c r="K57">
        <f>IF(AND(COUNTIF(Control!$E$20:$E$100,$B57)=0,COUNTIF(Control!$E$20:$E$100,K$2)=0),VISUM_Arterial_OD!K57*Control!$B$3,0)</f>
        <v>0</v>
      </c>
      <c r="L57">
        <f>IF(AND(COUNTIF(Control!$E$20:$E$100,$B57)=0,COUNTIF(Control!$E$20:$E$100,L$2)=0),VISUM_Arterial_OD!L57*Control!$B$3,0)</f>
        <v>0</v>
      </c>
      <c r="M57">
        <f>IF(AND(COUNTIF(Control!$E$20:$E$100,$B57)=0,COUNTIF(Control!$E$20:$E$100,M$2)=0),VISUM_Arterial_OD!M57*Control!$B$3,0)</f>
        <v>0</v>
      </c>
      <c r="N57">
        <f>IF(AND(COUNTIF(Control!$E$20:$E$100,$B57)=0,COUNTIF(Control!$E$20:$E$100,N$2)=0),VISUM_Arterial_OD!N57*Control!$B$3,0)</f>
        <v>0</v>
      </c>
      <c r="O57">
        <f>IF(AND(COUNTIF(Control!$E$20:$E$100,$B57)=0,COUNTIF(Control!$E$20:$E$100,O$2)=0),VISUM_Arterial_OD!O57*Control!$B$3,0)</f>
        <v>0</v>
      </c>
      <c r="P57">
        <f>IF(AND(COUNTIF(Control!$E$20:$E$100,$B57)=0,COUNTIF(Control!$E$20:$E$100,P$2)=0),VISUM_Arterial_OD!P57*Control!$B$3,0)</f>
        <v>0</v>
      </c>
      <c r="Q57">
        <f>IF(AND(COUNTIF(Control!$E$20:$E$100,$B57)=0,COUNTIF(Control!$E$20:$E$100,Q$2)=0),VISUM_Arterial_OD!Q57*Control!$B$3,0)</f>
        <v>0</v>
      </c>
      <c r="R57">
        <f>IF(AND(COUNTIF(Control!$E$20:$E$100,$B57)=0,COUNTIF(Control!$E$20:$E$100,R$2)=0),VISUM_Arterial_OD!R57*Control!$B$3,0)</f>
        <v>0</v>
      </c>
      <c r="S57">
        <f>IF(AND(COUNTIF(Control!$E$20:$E$100,$B57)=0,COUNTIF(Control!$E$20:$E$100,S$2)=0),VISUM_Arterial_OD!S57*Control!$B$3,0)</f>
        <v>0</v>
      </c>
      <c r="T57">
        <f>IF(AND(COUNTIF(Control!$E$20:$E$100,$B57)=0,COUNTIF(Control!$E$20:$E$100,T$2)=0),VISUM_Arterial_OD!T57*Control!$B$3,0)</f>
        <v>0</v>
      </c>
      <c r="U57">
        <f>IF(AND(COUNTIF(Control!$E$20:$E$100,$B57)=0,COUNTIF(Control!$E$20:$E$100,U$2)=0),VISUM_Arterial_OD!U57*Control!$B$3,0)</f>
        <v>0</v>
      </c>
      <c r="V57">
        <f>IF(AND(COUNTIF(Control!$E$20:$E$100,$B57)=0,COUNTIF(Control!$E$20:$E$100,V$2)=0),VISUM_Arterial_OD!V57*Control!$B$3,0)</f>
        <v>0</v>
      </c>
      <c r="W57">
        <f>IF(AND(COUNTIF(Control!$E$20:$E$100,$B57)=0,COUNTIF(Control!$E$20:$E$100,W$2)=0),VISUM_Arterial_OD!W57*Control!$B$3,0)</f>
        <v>0</v>
      </c>
      <c r="X57">
        <f>IF(AND(COUNTIF(Control!$E$20:$E$100,$B57)=0,COUNTIF(Control!$E$20:$E$100,X$2)=0),VISUM_Arterial_OD!X57*Control!$B$3,0)</f>
        <v>0</v>
      </c>
      <c r="Y57">
        <f>IF(AND(COUNTIF(Control!$E$20:$E$100,$B57)=0,COUNTIF(Control!$E$20:$E$100,Y$2)=0),VISUM_Arterial_OD!Y57*Control!$B$3,0)</f>
        <v>0</v>
      </c>
      <c r="Z57">
        <f>IF(AND(COUNTIF(Control!$E$20:$E$100,$B57)=0,COUNTIF(Control!$E$20:$E$100,Z$2)=0),VISUM_Arterial_OD!Z57*Control!$B$3,0)</f>
        <v>0</v>
      </c>
      <c r="AA57">
        <f>IF(AND(COUNTIF(Control!$E$20:$E$100,$B57)=0,COUNTIF(Control!$E$20:$E$100,AA$2)=0),VISUM_Arterial_OD!AA57*Control!$B$3,0)</f>
        <v>0</v>
      </c>
      <c r="AB57">
        <f>IF(AND(COUNTIF(Control!$E$20:$E$100,$B57)=0,COUNTIF(Control!$E$20:$E$100,AB$2)=0),VISUM_Arterial_OD!AB57*Control!$B$3,0)</f>
        <v>0</v>
      </c>
      <c r="AC57">
        <f>IF(AND(COUNTIF(Control!$E$20:$E$100,$B57)=0,COUNTIF(Control!$E$20:$E$100,AC$2)=0),VISUM_Arterial_OD!AC57*Control!$B$3,0)</f>
        <v>0</v>
      </c>
      <c r="AD57">
        <f>IF(AND(COUNTIF(Control!$E$20:$E$100,$B57)=0,COUNTIF(Control!$E$20:$E$100,AD$2)=0),VISUM_Arterial_OD!AD57*Control!$B$3,0)</f>
        <v>0</v>
      </c>
      <c r="AE57">
        <f>IF(AND(COUNTIF(Control!$E$20:$E$100,$B57)=0,COUNTIF(Control!$E$20:$E$100,AE$2)=0),VISUM_Arterial_OD!AE57*Control!$B$3,0)</f>
        <v>0</v>
      </c>
      <c r="AF57">
        <f>IF(AND(COUNTIF(Control!$E$20:$E$100,$B57)=0,COUNTIF(Control!$E$20:$E$100,AF$2)=0),VISUM_Arterial_OD!AF57*Control!$B$3,0)</f>
        <v>0</v>
      </c>
      <c r="AG57">
        <f>IF(AND(COUNTIF(Control!$E$20:$E$100,$B57)=0,COUNTIF(Control!$E$20:$E$100,AG$2)=0),VISUM_Arterial_OD!AG57*Control!$B$3,0)</f>
        <v>0</v>
      </c>
      <c r="AH57">
        <f>IF(AND(COUNTIF(Control!$E$20:$E$100,$B57)=0,COUNTIF(Control!$E$20:$E$100,AH$2)=0),VISUM_Arterial_OD!AH57*Control!$B$3,0)</f>
        <v>0</v>
      </c>
      <c r="AI57">
        <f>IF(AND(COUNTIF(Control!$E$20:$E$100,$B57)=0,COUNTIF(Control!$E$20:$E$100,AI$2)=0),VISUM_Arterial_OD!AI57*Control!$B$3,0)</f>
        <v>0</v>
      </c>
      <c r="AJ57">
        <f>IF(AND(COUNTIF(Control!$E$20:$E$100,$B57)=0,COUNTIF(Control!$E$20:$E$100,AJ$2)=0),VISUM_Arterial_OD!AJ57*Control!$B$3,0)</f>
        <v>0</v>
      </c>
      <c r="AK57">
        <f>IF(AND(COUNTIF(Control!$E$20:$E$100,$B57)=0,COUNTIF(Control!$E$20:$E$100,AK$2)=0),VISUM_Arterial_OD!AK57*Control!$B$3,0)</f>
        <v>0</v>
      </c>
      <c r="AL57">
        <f>IF(AND(COUNTIF(Control!$E$20:$E$100,$B57)=0,COUNTIF(Control!$E$20:$E$100,AL$2)=0),VISUM_Arterial_OD!AL57*Control!$B$3,0)</f>
        <v>0</v>
      </c>
      <c r="AM57">
        <f>IF(AND(COUNTIF(Control!$E$20:$E$100,$B57)=0,COUNTIF(Control!$E$20:$E$100,AM$2)=0),VISUM_Arterial_OD!AM57*Control!$B$3,0)</f>
        <v>0</v>
      </c>
      <c r="AN57">
        <f>IF(AND(COUNTIF(Control!$E$20:$E$100,$B57)=0,COUNTIF(Control!$E$20:$E$100,AN$2)=0),VISUM_Arterial_OD!AN57*Control!$B$3,0)</f>
        <v>0</v>
      </c>
      <c r="AO57">
        <f>IF(AND(COUNTIF(Control!$E$20:$E$100,$B57)=0,COUNTIF(Control!$E$20:$E$100,AO$2)=0),VISUM_Arterial_OD!AO57*Control!$B$3,0)</f>
        <v>0</v>
      </c>
      <c r="AP57">
        <f>IF(AND(COUNTIF(Control!$E$20:$E$100,$B57)=0,COUNTIF(Control!$E$20:$E$100,AP$2)=0),VISUM_Arterial_OD!AP57*Control!$B$3,0)</f>
        <v>0</v>
      </c>
      <c r="AQ57">
        <f>IF(AND(COUNTIF(Control!$E$20:$E$100,$B57)=0,COUNTIF(Control!$E$20:$E$100,AQ$2)=0),VISUM_Arterial_OD!AQ57*Control!$B$3,0)</f>
        <v>0</v>
      </c>
      <c r="AR57">
        <f>IF(AND(COUNTIF(Control!$E$20:$E$100,$B57)=0,COUNTIF(Control!$E$20:$E$100,AR$2)=0),VISUM_Arterial_OD!AR57*Control!$B$3,0)</f>
        <v>0</v>
      </c>
      <c r="AS57">
        <f>IF(AND(COUNTIF(Control!$E$20:$E$100,$B57)=0,COUNTIF(Control!$E$20:$E$100,AS$2)=0),VISUM_Arterial_OD!AS57*Control!$B$3,0)</f>
        <v>0</v>
      </c>
      <c r="AT57">
        <f>IF(AND(COUNTIF(Control!$E$20:$E$100,$B57)=0,COUNTIF(Control!$E$20:$E$100,AT$2)=0),VISUM_Arterial_OD!AT57*Control!$B$3,0)</f>
        <v>0</v>
      </c>
      <c r="AU57">
        <f>IF(AND(COUNTIF(Control!$E$20:$E$100,$B57)=0,COUNTIF(Control!$E$20:$E$100,AU$2)=0),VISUM_Arterial_OD!AU57*Control!$B$3,0)</f>
        <v>0</v>
      </c>
      <c r="AV57">
        <f>IF(AND(COUNTIF(Control!$E$20:$E$100,$B57)=0,COUNTIF(Control!$E$20:$E$100,AV$2)=0),VISUM_Arterial_OD!AV57*Control!$B$3,0)</f>
        <v>0</v>
      </c>
      <c r="AW57">
        <f>IF(AND(COUNTIF(Control!$E$20:$E$100,$B57)=0,COUNTIF(Control!$E$20:$E$100,AW$2)=0),VISUM_Arterial_OD!AW57*Control!$B$3,0)</f>
        <v>0</v>
      </c>
      <c r="AX57">
        <f>IF(AND(COUNTIF(Control!$E$20:$E$100,$B57)=0,COUNTIF(Control!$E$20:$E$100,AX$2)=0),VISUM_Arterial_OD!AX57*Control!$B$3,0)</f>
        <v>0</v>
      </c>
      <c r="AY57">
        <f>IF(AND(COUNTIF(Control!$E$20:$E$100,$B57)=0,COUNTIF(Control!$E$20:$E$100,AY$2)=0),VISUM_Arterial_OD!AY57*Control!$B$3,0)</f>
        <v>0</v>
      </c>
      <c r="AZ57">
        <f>IF(AND(COUNTIF(Control!$E$20:$E$100,$B57)=0,COUNTIF(Control!$E$20:$E$100,AZ$2)=0),VISUM_Arterial_OD!AZ57*Control!$B$3,0)</f>
        <v>0</v>
      </c>
      <c r="BA57">
        <f>IF(AND(COUNTIF(Control!$E$20:$E$100,$B57)=0,COUNTIF(Control!$E$20:$E$100,BA$2)=0),VISUM_Arterial_OD!BA57*Control!$B$3,0)</f>
        <v>0</v>
      </c>
      <c r="BB57">
        <f>IF(AND(COUNTIF(Control!$E$20:$E$100,$B57)=0,COUNTIF(Control!$E$20:$E$100,BB$2)=0),VISUM_Arterial_OD!BB57*Control!$B$3,0)</f>
        <v>0</v>
      </c>
      <c r="BC57">
        <f>IF(AND(COUNTIF(Control!$E$20:$E$100,$B57)=0,COUNTIF(Control!$E$20:$E$100,BC$2)=0),VISUM_Arterial_OD!BC57*Control!$B$3,0)</f>
        <v>0</v>
      </c>
      <c r="BD57">
        <f>IF(AND(COUNTIF(Control!$E$20:$E$100,$B57)=0,COUNTIF(Control!$E$20:$E$100,BD$2)=0),VISUM_Arterial_OD!BD57*Control!$B$3,0)</f>
        <v>0</v>
      </c>
      <c r="BE57">
        <f>IF(AND(COUNTIF(Control!$E$20:$E$100,$B57)=0,COUNTIF(Control!$E$20:$E$100,BE$2)=0),VISUM_Arterial_OD!BE57*Control!$B$3,0)</f>
        <v>0</v>
      </c>
      <c r="BF57">
        <f>IF(AND(COUNTIF(Control!$E$20:$E$100,$B57)=0,COUNTIF(Control!$E$20:$E$100,BF$2)=0),VISUM_Arterial_OD!BF57*Control!$B$3,0)</f>
        <v>0</v>
      </c>
      <c r="BG57">
        <f>IF(AND(COUNTIF(Control!$E$20:$E$100,$B57)=0,COUNTIF(Control!$E$20:$E$100,BG$2)=0),VISUM_Arterial_OD!BG57*Control!$B$3,0)</f>
        <v>0</v>
      </c>
      <c r="BH57">
        <f>IF(AND(COUNTIF(Control!$E$20:$E$100,$B57)=0,COUNTIF(Control!$E$20:$E$100,BH$2)=0),VISUM_Arterial_OD!BH57*Control!$B$3,0)</f>
        <v>0</v>
      </c>
      <c r="BI57">
        <f>IF(AND(COUNTIF(Control!$E$20:$E$100,$B57)=0,COUNTIF(Control!$E$20:$E$100,BI$2)=0),VISUM_Arterial_OD!BI57*Control!$B$3,0)</f>
        <v>0</v>
      </c>
      <c r="BJ57">
        <f>IF(AND(COUNTIF(Control!$E$20:$E$100,$B57)=0,COUNTIF(Control!$E$20:$E$100,BJ$2)=0),VISUM_Arterial_OD!BJ57*Control!$B$3,0)</f>
        <v>0</v>
      </c>
      <c r="BK57">
        <f>IF(AND(COUNTIF(Control!$E$20:$E$100,$B57)=0,COUNTIF(Control!$E$20:$E$100,BK$2)=0),VISUM_Arterial_OD!BK57*Control!$B$3,0)</f>
        <v>0</v>
      </c>
      <c r="BL57">
        <f>IF(AND(COUNTIF(Control!$E$20:$E$100,$B57)=0,COUNTIF(Control!$E$20:$E$100,BL$2)=0),VISUM_Arterial_OD!BL57*Control!$B$3,0)</f>
        <v>0</v>
      </c>
      <c r="BM57">
        <f>IF(AND(COUNTIF(Control!$E$20:$E$100,$B57)=0,COUNTIF(Control!$E$20:$E$100,BM$2)=0),VISUM_Arterial_OD!BM57*Control!$B$3,0)</f>
        <v>0</v>
      </c>
      <c r="BN57">
        <f>IF(AND(COUNTIF(Control!$E$20:$E$100,$B57)=0,COUNTIF(Control!$E$20:$E$100,BN$2)=0),VISUM_Arterial_OD!BN57*Control!$B$3,0)</f>
        <v>0</v>
      </c>
      <c r="BO57">
        <f>IF(AND(COUNTIF(Control!$E$20:$E$100,$B57)=0,COUNTIF(Control!$E$20:$E$100,BO$2)=0),VISUM_Arterial_OD!BO57*Control!$B$3,0)</f>
        <v>0</v>
      </c>
      <c r="BP57">
        <f>IF(AND(COUNTIF(Control!$E$20:$E$100,$B57)=0,COUNTIF(Control!$E$20:$E$100,BP$2)=0),VISUM_Arterial_OD!BP57*Control!$B$3,0)</f>
        <v>0</v>
      </c>
      <c r="BQ57">
        <f>IF(AND(COUNTIF(Control!$E$20:$E$100,$B57)=0,COUNTIF(Control!$E$20:$E$100,BQ$2)=0),VISUM_Arterial_OD!BQ57*Control!$B$3,0)</f>
        <v>0</v>
      </c>
    </row>
    <row r="58" spans="1:69" x14ac:dyDescent="0.25">
      <c r="A58" s="5">
        <f>IF(VLOOKUP(B58,Arterial_Zone_Link_Mapping!$A:$C,2,FALSE)&lt;&gt;"",VLOOKUP(B58,Arterial_Zone_Link_Mapping!$A:$C,2,FALSE),"")</f>
        <v>466</v>
      </c>
      <c r="B58" s="5">
        <v>80</v>
      </c>
      <c r="C58">
        <f>IF(AND(COUNTIF(Control!$E$20:$E$100,$B58)=0,COUNTIF(Control!$E$20:$E$100,C$2)=0),VISUM_Arterial_OD!C58*Control!$B$3,0)</f>
        <v>0</v>
      </c>
      <c r="D58">
        <f>IF(AND(COUNTIF(Control!$E$20:$E$100,$B58)=0,COUNTIF(Control!$E$20:$E$100,D$2)=0),VISUM_Arterial_OD!D58*Control!$B$3,0)</f>
        <v>0</v>
      </c>
      <c r="E58">
        <f>IF(AND(COUNTIF(Control!$E$20:$E$100,$B58)=0,COUNTIF(Control!$E$20:$E$100,E$2)=0),VISUM_Arterial_OD!E58*Control!$B$3,0)</f>
        <v>0.64272899999999999</v>
      </c>
      <c r="F58">
        <f>IF(AND(COUNTIF(Control!$E$20:$E$100,$B58)=0,COUNTIF(Control!$E$20:$E$100,F$2)=0),VISUM_Arterial_OD!F58*Control!$B$3,0)</f>
        <v>0</v>
      </c>
      <c r="G58">
        <f>IF(AND(COUNTIF(Control!$E$20:$E$100,$B58)=0,COUNTIF(Control!$E$20:$E$100,G$2)=0),VISUM_Arterial_OD!G58*Control!$B$3,0)</f>
        <v>0</v>
      </c>
      <c r="H58">
        <f>IF(AND(COUNTIF(Control!$E$20:$E$100,$B58)=0,COUNTIF(Control!$E$20:$E$100,H$2)=0),VISUM_Arterial_OD!H58*Control!$B$3,0)</f>
        <v>0</v>
      </c>
      <c r="I58">
        <f>IF(AND(COUNTIF(Control!$E$20:$E$100,$B58)=0,COUNTIF(Control!$E$20:$E$100,I$2)=0),VISUM_Arterial_OD!I58*Control!$B$3,0)</f>
        <v>0</v>
      </c>
      <c r="J58">
        <f>IF(AND(COUNTIF(Control!$E$20:$E$100,$B58)=0,COUNTIF(Control!$E$20:$E$100,J$2)=0),VISUM_Arterial_OD!J58*Control!$B$3,0)</f>
        <v>0</v>
      </c>
      <c r="K58">
        <f>IF(AND(COUNTIF(Control!$E$20:$E$100,$B58)=0,COUNTIF(Control!$E$20:$E$100,K$2)=0),VISUM_Arterial_OD!K58*Control!$B$3,0)</f>
        <v>0</v>
      </c>
      <c r="L58">
        <f>IF(AND(COUNTIF(Control!$E$20:$E$100,$B58)=0,COUNTIF(Control!$E$20:$E$100,L$2)=0),VISUM_Arterial_OD!L58*Control!$B$3,0)</f>
        <v>0</v>
      </c>
      <c r="M58">
        <f>IF(AND(COUNTIF(Control!$E$20:$E$100,$B58)=0,COUNTIF(Control!$E$20:$E$100,M$2)=0),VISUM_Arterial_OD!M58*Control!$B$3,0)</f>
        <v>1.6437397499999999</v>
      </c>
      <c r="N58">
        <f>IF(AND(COUNTIF(Control!$E$20:$E$100,$B58)=0,COUNTIF(Control!$E$20:$E$100,N$2)=0),VISUM_Arterial_OD!N58*Control!$B$3,0)</f>
        <v>13.295640869999998</v>
      </c>
      <c r="O58">
        <f>IF(AND(COUNTIF(Control!$E$20:$E$100,$B58)=0,COUNTIF(Control!$E$20:$E$100,O$2)=0),VISUM_Arterial_OD!O58*Control!$B$3,0)</f>
        <v>0</v>
      </c>
      <c r="P58">
        <f>IF(AND(COUNTIF(Control!$E$20:$E$100,$B58)=0,COUNTIF(Control!$E$20:$E$100,P$2)=0),VISUM_Arterial_OD!P58*Control!$B$3,0)</f>
        <v>0</v>
      </c>
      <c r="Q58">
        <f>IF(AND(COUNTIF(Control!$E$20:$E$100,$B58)=0,COUNTIF(Control!$E$20:$E$100,Q$2)=0),VISUM_Arterial_OD!Q58*Control!$B$3,0)</f>
        <v>0</v>
      </c>
      <c r="R58">
        <f>IF(AND(COUNTIF(Control!$E$20:$E$100,$B58)=0,COUNTIF(Control!$E$20:$E$100,R$2)=0),VISUM_Arterial_OD!R58*Control!$B$3,0)</f>
        <v>0</v>
      </c>
      <c r="S58">
        <f>IF(AND(COUNTIF(Control!$E$20:$E$100,$B58)=0,COUNTIF(Control!$E$20:$E$100,S$2)=0),VISUM_Arterial_OD!S58*Control!$B$3,0)</f>
        <v>0</v>
      </c>
      <c r="T58">
        <f>IF(AND(COUNTIF(Control!$E$20:$E$100,$B58)=0,COUNTIF(Control!$E$20:$E$100,T$2)=0),VISUM_Arterial_OD!T58*Control!$B$3,0)</f>
        <v>0</v>
      </c>
      <c r="U58">
        <f>IF(AND(COUNTIF(Control!$E$20:$E$100,$B58)=0,COUNTIF(Control!$E$20:$E$100,U$2)=0),VISUM_Arterial_OD!U58*Control!$B$3,0)</f>
        <v>0</v>
      </c>
      <c r="V58">
        <f>IF(AND(COUNTIF(Control!$E$20:$E$100,$B58)=0,COUNTIF(Control!$E$20:$E$100,V$2)=0),VISUM_Arterial_OD!V58*Control!$B$3,0)</f>
        <v>0</v>
      </c>
      <c r="W58">
        <f>IF(AND(COUNTIF(Control!$E$20:$E$100,$B58)=0,COUNTIF(Control!$E$20:$E$100,W$2)=0),VISUM_Arterial_OD!W58*Control!$B$3,0)</f>
        <v>0</v>
      </c>
      <c r="X58">
        <f>IF(AND(COUNTIF(Control!$E$20:$E$100,$B58)=0,COUNTIF(Control!$E$20:$E$100,X$2)=0),VISUM_Arterial_OD!X58*Control!$B$3,0)</f>
        <v>0</v>
      </c>
      <c r="Y58">
        <f>IF(AND(COUNTIF(Control!$E$20:$E$100,$B58)=0,COUNTIF(Control!$E$20:$E$100,Y$2)=0),VISUM_Arterial_OD!Y58*Control!$B$3,0)</f>
        <v>5.6571472499999995</v>
      </c>
      <c r="Z58">
        <f>IF(AND(COUNTIF(Control!$E$20:$E$100,$B58)=0,COUNTIF(Control!$E$20:$E$100,Z$2)=0),VISUM_Arterial_OD!Z58*Control!$B$3,0)</f>
        <v>0</v>
      </c>
      <c r="AA58">
        <f>IF(AND(COUNTIF(Control!$E$20:$E$100,$B58)=0,COUNTIF(Control!$E$20:$E$100,AA$2)=0),VISUM_Arterial_OD!AA58*Control!$B$3,0)</f>
        <v>0</v>
      </c>
      <c r="AB58">
        <f>IF(AND(COUNTIF(Control!$E$20:$E$100,$B58)=0,COUNTIF(Control!$E$20:$E$100,AB$2)=0),VISUM_Arterial_OD!AB58*Control!$B$3,0)</f>
        <v>0</v>
      </c>
      <c r="AC58">
        <f>IF(AND(COUNTIF(Control!$E$20:$E$100,$B58)=0,COUNTIF(Control!$E$20:$E$100,AC$2)=0),VISUM_Arterial_OD!AC58*Control!$B$3,0)</f>
        <v>0</v>
      </c>
      <c r="AD58">
        <f>IF(AND(COUNTIF(Control!$E$20:$E$100,$B58)=0,COUNTIF(Control!$E$20:$E$100,AD$2)=0),VISUM_Arterial_OD!AD58*Control!$B$3,0)</f>
        <v>3.1858499999999996E-3</v>
      </c>
      <c r="AE58">
        <f>IF(AND(COUNTIF(Control!$E$20:$E$100,$B58)=0,COUNTIF(Control!$E$20:$E$100,AE$2)=0),VISUM_Arterial_OD!AE58*Control!$B$3,0)</f>
        <v>5.484576E-2</v>
      </c>
      <c r="AF58">
        <f>IF(AND(COUNTIF(Control!$E$20:$E$100,$B58)=0,COUNTIF(Control!$E$20:$E$100,AF$2)=0),VISUM_Arterial_OD!AF58*Control!$B$3,0)</f>
        <v>0</v>
      </c>
      <c r="AG58">
        <f>IF(AND(COUNTIF(Control!$E$20:$E$100,$B58)=0,COUNTIF(Control!$E$20:$E$100,AG$2)=0),VISUM_Arterial_OD!AG58*Control!$B$3,0)</f>
        <v>0</v>
      </c>
      <c r="AH58">
        <f>IF(AND(COUNTIF(Control!$E$20:$E$100,$B58)=0,COUNTIF(Control!$E$20:$E$100,AH$2)=0),VISUM_Arterial_OD!AH58*Control!$B$3,0)</f>
        <v>0</v>
      </c>
      <c r="AI58">
        <f>IF(AND(COUNTIF(Control!$E$20:$E$100,$B58)=0,COUNTIF(Control!$E$20:$E$100,AI$2)=0),VISUM_Arterial_OD!AI58*Control!$B$3,0)</f>
        <v>0</v>
      </c>
      <c r="AJ58">
        <f>IF(AND(COUNTIF(Control!$E$20:$E$100,$B58)=0,COUNTIF(Control!$E$20:$E$100,AJ$2)=0),VISUM_Arterial_OD!AJ58*Control!$B$3,0)</f>
        <v>0</v>
      </c>
      <c r="AK58">
        <f>IF(AND(COUNTIF(Control!$E$20:$E$100,$B58)=0,COUNTIF(Control!$E$20:$E$100,AK$2)=0),VISUM_Arterial_OD!AK58*Control!$B$3,0)</f>
        <v>0</v>
      </c>
      <c r="AL58">
        <f>IF(AND(COUNTIF(Control!$E$20:$E$100,$B58)=0,COUNTIF(Control!$E$20:$E$100,AL$2)=0),VISUM_Arterial_OD!AL58*Control!$B$3,0)</f>
        <v>0</v>
      </c>
      <c r="AM58">
        <f>IF(AND(COUNTIF(Control!$E$20:$E$100,$B58)=0,COUNTIF(Control!$E$20:$E$100,AM$2)=0),VISUM_Arterial_OD!AM58*Control!$B$3,0)</f>
        <v>0</v>
      </c>
      <c r="AN58">
        <f>IF(AND(COUNTIF(Control!$E$20:$E$100,$B58)=0,COUNTIF(Control!$E$20:$E$100,AN$2)=0),VISUM_Arterial_OD!AN58*Control!$B$3,0)</f>
        <v>0</v>
      </c>
      <c r="AO58">
        <f>IF(AND(COUNTIF(Control!$E$20:$E$100,$B58)=0,COUNTIF(Control!$E$20:$E$100,AO$2)=0),VISUM_Arterial_OD!AO58*Control!$B$3,0)</f>
        <v>0</v>
      </c>
      <c r="AP58">
        <f>IF(AND(COUNTIF(Control!$E$20:$E$100,$B58)=0,COUNTIF(Control!$E$20:$E$100,AP$2)=0),VISUM_Arterial_OD!AP58*Control!$B$3,0)</f>
        <v>0</v>
      </c>
      <c r="AQ58">
        <f>IF(AND(COUNTIF(Control!$E$20:$E$100,$B58)=0,COUNTIF(Control!$E$20:$E$100,AQ$2)=0),VISUM_Arterial_OD!AQ58*Control!$B$3,0)</f>
        <v>0</v>
      </c>
      <c r="AR58">
        <f>IF(AND(COUNTIF(Control!$E$20:$E$100,$B58)=0,COUNTIF(Control!$E$20:$E$100,AR$2)=0),VISUM_Arterial_OD!AR58*Control!$B$3,0)</f>
        <v>0</v>
      </c>
      <c r="AS58">
        <f>IF(AND(COUNTIF(Control!$E$20:$E$100,$B58)=0,COUNTIF(Control!$E$20:$E$100,AS$2)=0),VISUM_Arterial_OD!AS58*Control!$B$3,0)</f>
        <v>0</v>
      </c>
      <c r="AT58">
        <f>IF(AND(COUNTIF(Control!$E$20:$E$100,$B58)=0,COUNTIF(Control!$E$20:$E$100,AT$2)=0),VISUM_Arterial_OD!AT58*Control!$B$3,0)</f>
        <v>0</v>
      </c>
      <c r="AU58">
        <f>IF(AND(COUNTIF(Control!$E$20:$E$100,$B58)=0,COUNTIF(Control!$E$20:$E$100,AU$2)=0),VISUM_Arterial_OD!AU58*Control!$B$3,0)</f>
        <v>0</v>
      </c>
      <c r="AV58">
        <f>IF(AND(COUNTIF(Control!$E$20:$E$100,$B58)=0,COUNTIF(Control!$E$20:$E$100,AV$2)=0),VISUM_Arterial_OD!AV58*Control!$B$3,0)</f>
        <v>0</v>
      </c>
      <c r="AW58">
        <f>IF(AND(COUNTIF(Control!$E$20:$E$100,$B58)=0,COUNTIF(Control!$E$20:$E$100,AW$2)=0),VISUM_Arterial_OD!AW58*Control!$B$3,0)</f>
        <v>0</v>
      </c>
      <c r="AX58">
        <f>IF(AND(COUNTIF(Control!$E$20:$E$100,$B58)=0,COUNTIF(Control!$E$20:$E$100,AX$2)=0),VISUM_Arterial_OD!AX58*Control!$B$3,0)</f>
        <v>0</v>
      </c>
      <c r="AY58">
        <f>IF(AND(COUNTIF(Control!$E$20:$E$100,$B58)=0,COUNTIF(Control!$E$20:$E$100,AY$2)=0),VISUM_Arterial_OD!AY58*Control!$B$3,0)</f>
        <v>0</v>
      </c>
      <c r="AZ58">
        <f>IF(AND(COUNTIF(Control!$E$20:$E$100,$B58)=0,COUNTIF(Control!$E$20:$E$100,AZ$2)=0),VISUM_Arterial_OD!AZ58*Control!$B$3,0)</f>
        <v>0</v>
      </c>
      <c r="BA58">
        <f>IF(AND(COUNTIF(Control!$E$20:$E$100,$B58)=0,COUNTIF(Control!$E$20:$E$100,BA$2)=0),VISUM_Arterial_OD!BA58*Control!$B$3,0)</f>
        <v>0</v>
      </c>
      <c r="BB58">
        <f>IF(AND(COUNTIF(Control!$E$20:$E$100,$B58)=0,COUNTIF(Control!$E$20:$E$100,BB$2)=0),VISUM_Arterial_OD!BB58*Control!$B$3,0)</f>
        <v>0</v>
      </c>
      <c r="BC58">
        <f>IF(AND(COUNTIF(Control!$E$20:$E$100,$B58)=0,COUNTIF(Control!$E$20:$E$100,BC$2)=0),VISUM_Arterial_OD!BC58*Control!$B$3,0)</f>
        <v>0</v>
      </c>
      <c r="BD58">
        <f>IF(AND(COUNTIF(Control!$E$20:$E$100,$B58)=0,COUNTIF(Control!$E$20:$E$100,BD$2)=0),VISUM_Arterial_OD!BD58*Control!$B$3,0)</f>
        <v>0</v>
      </c>
      <c r="BE58">
        <f>IF(AND(COUNTIF(Control!$E$20:$E$100,$B58)=0,COUNTIF(Control!$E$20:$E$100,BE$2)=0),VISUM_Arterial_OD!BE58*Control!$B$3,0)</f>
        <v>0</v>
      </c>
      <c r="BF58">
        <f>IF(AND(COUNTIF(Control!$E$20:$E$100,$B58)=0,COUNTIF(Control!$E$20:$E$100,BF$2)=0),VISUM_Arterial_OD!BF58*Control!$B$3,0)</f>
        <v>0</v>
      </c>
      <c r="BG58">
        <f>IF(AND(COUNTIF(Control!$E$20:$E$100,$B58)=0,COUNTIF(Control!$E$20:$E$100,BG$2)=0),VISUM_Arterial_OD!BG58*Control!$B$3,0)</f>
        <v>0</v>
      </c>
      <c r="BH58">
        <f>IF(AND(COUNTIF(Control!$E$20:$E$100,$B58)=0,COUNTIF(Control!$E$20:$E$100,BH$2)=0),VISUM_Arterial_OD!BH58*Control!$B$3,0)</f>
        <v>0.29999738999999997</v>
      </c>
      <c r="BI58">
        <f>IF(AND(COUNTIF(Control!$E$20:$E$100,$B58)=0,COUNTIF(Control!$E$20:$E$100,BI$2)=0),VISUM_Arterial_OD!BI58*Control!$B$3,0)</f>
        <v>0</v>
      </c>
      <c r="BJ58">
        <f>IF(AND(COUNTIF(Control!$E$20:$E$100,$B58)=0,COUNTIF(Control!$E$20:$E$100,BJ$2)=0),VISUM_Arterial_OD!BJ58*Control!$B$3,0)</f>
        <v>0</v>
      </c>
      <c r="BK58">
        <f>IF(AND(COUNTIF(Control!$E$20:$E$100,$B58)=0,COUNTIF(Control!$E$20:$E$100,BK$2)=0),VISUM_Arterial_OD!BK58*Control!$B$3,0)</f>
        <v>0</v>
      </c>
      <c r="BL58">
        <f>IF(AND(COUNTIF(Control!$E$20:$E$100,$B58)=0,COUNTIF(Control!$E$20:$E$100,BL$2)=0),VISUM_Arterial_OD!BL58*Control!$B$3,0)</f>
        <v>0</v>
      </c>
      <c r="BM58">
        <f>IF(AND(COUNTIF(Control!$E$20:$E$100,$B58)=0,COUNTIF(Control!$E$20:$E$100,BM$2)=0),VISUM_Arterial_OD!BM58*Control!$B$3,0)</f>
        <v>0</v>
      </c>
      <c r="BN58">
        <f>IF(AND(COUNTIF(Control!$E$20:$E$100,$B58)=0,COUNTIF(Control!$E$20:$E$100,BN$2)=0),VISUM_Arterial_OD!BN58*Control!$B$3,0)</f>
        <v>0</v>
      </c>
      <c r="BO58">
        <f>IF(AND(COUNTIF(Control!$E$20:$E$100,$B58)=0,COUNTIF(Control!$E$20:$E$100,BO$2)=0),VISUM_Arterial_OD!BO58*Control!$B$3,0)</f>
        <v>0</v>
      </c>
      <c r="BP58">
        <f>IF(AND(COUNTIF(Control!$E$20:$E$100,$B58)=0,COUNTIF(Control!$E$20:$E$100,BP$2)=0),VISUM_Arterial_OD!BP58*Control!$B$3,0)</f>
        <v>0</v>
      </c>
      <c r="BQ58">
        <f>IF(AND(COUNTIF(Control!$E$20:$E$100,$B58)=0,COUNTIF(Control!$E$20:$E$100,BQ$2)=0),VISUM_Arterial_OD!BQ58*Control!$B$3,0)</f>
        <v>0</v>
      </c>
    </row>
    <row r="59" spans="1:69" x14ac:dyDescent="0.25">
      <c r="A59" s="5" t="str">
        <f>IF(VLOOKUP(B59,Arterial_Zone_Link_Mapping!$A:$C,2,FALSE)&lt;&gt;"",VLOOKUP(B59,Arterial_Zone_Link_Mapping!$A:$C,2,FALSE),"")</f>
        <v/>
      </c>
      <c r="B59" s="5">
        <v>81</v>
      </c>
      <c r="C59">
        <f>IF(AND(COUNTIF(Control!$E$20:$E$100,$B59)=0,COUNTIF(Control!$E$20:$E$100,C$2)=0),VISUM_Arterial_OD!C59*Control!$B$3,0)</f>
        <v>0</v>
      </c>
      <c r="D59">
        <f>IF(AND(COUNTIF(Control!$E$20:$E$100,$B59)=0,COUNTIF(Control!$E$20:$E$100,D$2)=0),VISUM_Arterial_OD!D59*Control!$B$3,0)</f>
        <v>0</v>
      </c>
      <c r="E59">
        <f>IF(AND(COUNTIF(Control!$E$20:$E$100,$B59)=0,COUNTIF(Control!$E$20:$E$100,E$2)=0),VISUM_Arterial_OD!E59*Control!$B$3,0)</f>
        <v>0</v>
      </c>
      <c r="F59">
        <f>IF(AND(COUNTIF(Control!$E$20:$E$100,$B59)=0,COUNTIF(Control!$E$20:$E$100,F$2)=0),VISUM_Arterial_OD!F59*Control!$B$3,0)</f>
        <v>0</v>
      </c>
      <c r="G59">
        <f>IF(AND(COUNTIF(Control!$E$20:$E$100,$B59)=0,COUNTIF(Control!$E$20:$E$100,G$2)=0),VISUM_Arterial_OD!G59*Control!$B$3,0)</f>
        <v>0</v>
      </c>
      <c r="H59">
        <f>IF(AND(COUNTIF(Control!$E$20:$E$100,$B59)=0,COUNTIF(Control!$E$20:$E$100,H$2)=0),VISUM_Arterial_OD!H59*Control!$B$3,0)</f>
        <v>0</v>
      </c>
      <c r="I59">
        <f>IF(AND(COUNTIF(Control!$E$20:$E$100,$B59)=0,COUNTIF(Control!$E$20:$E$100,I$2)=0),VISUM_Arterial_OD!I59*Control!$B$3,0)</f>
        <v>0</v>
      </c>
      <c r="J59">
        <f>IF(AND(COUNTIF(Control!$E$20:$E$100,$B59)=0,COUNTIF(Control!$E$20:$E$100,J$2)=0),VISUM_Arterial_OD!J59*Control!$B$3,0)</f>
        <v>0</v>
      </c>
      <c r="K59">
        <f>IF(AND(COUNTIF(Control!$E$20:$E$100,$B59)=0,COUNTIF(Control!$E$20:$E$100,K$2)=0),VISUM_Arterial_OD!K59*Control!$B$3,0)</f>
        <v>0</v>
      </c>
      <c r="L59">
        <f>IF(AND(COUNTIF(Control!$E$20:$E$100,$B59)=0,COUNTIF(Control!$E$20:$E$100,L$2)=0),VISUM_Arterial_OD!L59*Control!$B$3,0)</f>
        <v>0</v>
      </c>
      <c r="M59">
        <f>IF(AND(COUNTIF(Control!$E$20:$E$100,$B59)=0,COUNTIF(Control!$E$20:$E$100,M$2)=0),VISUM_Arterial_OD!M59*Control!$B$3,0)</f>
        <v>0</v>
      </c>
      <c r="N59">
        <f>IF(AND(COUNTIF(Control!$E$20:$E$100,$B59)=0,COUNTIF(Control!$E$20:$E$100,N$2)=0),VISUM_Arterial_OD!N59*Control!$B$3,0)</f>
        <v>0</v>
      </c>
      <c r="O59">
        <f>IF(AND(COUNTIF(Control!$E$20:$E$100,$B59)=0,COUNTIF(Control!$E$20:$E$100,O$2)=0),VISUM_Arterial_OD!O59*Control!$B$3,0)</f>
        <v>0</v>
      </c>
      <c r="P59">
        <f>IF(AND(COUNTIF(Control!$E$20:$E$100,$B59)=0,COUNTIF(Control!$E$20:$E$100,P$2)=0),VISUM_Arterial_OD!P59*Control!$B$3,0)</f>
        <v>0</v>
      </c>
      <c r="Q59">
        <f>IF(AND(COUNTIF(Control!$E$20:$E$100,$B59)=0,COUNTIF(Control!$E$20:$E$100,Q$2)=0),VISUM_Arterial_OD!Q59*Control!$B$3,0)</f>
        <v>0</v>
      </c>
      <c r="R59">
        <f>IF(AND(COUNTIF(Control!$E$20:$E$100,$B59)=0,COUNTIF(Control!$E$20:$E$100,R$2)=0),VISUM_Arterial_OD!R59*Control!$B$3,0)</f>
        <v>0</v>
      </c>
      <c r="S59">
        <f>IF(AND(COUNTIF(Control!$E$20:$E$100,$B59)=0,COUNTIF(Control!$E$20:$E$100,S$2)=0),VISUM_Arterial_OD!S59*Control!$B$3,0)</f>
        <v>0</v>
      </c>
      <c r="T59">
        <f>IF(AND(COUNTIF(Control!$E$20:$E$100,$B59)=0,COUNTIF(Control!$E$20:$E$100,T$2)=0),VISUM_Arterial_OD!T59*Control!$B$3,0)</f>
        <v>0</v>
      </c>
      <c r="U59">
        <f>IF(AND(COUNTIF(Control!$E$20:$E$100,$B59)=0,COUNTIF(Control!$E$20:$E$100,U$2)=0),VISUM_Arterial_OD!U59*Control!$B$3,0)</f>
        <v>0</v>
      </c>
      <c r="V59">
        <f>IF(AND(COUNTIF(Control!$E$20:$E$100,$B59)=0,COUNTIF(Control!$E$20:$E$100,V$2)=0),VISUM_Arterial_OD!V59*Control!$B$3,0)</f>
        <v>0</v>
      </c>
      <c r="W59">
        <f>IF(AND(COUNTIF(Control!$E$20:$E$100,$B59)=0,COUNTIF(Control!$E$20:$E$100,W$2)=0),VISUM_Arterial_OD!W59*Control!$B$3,0)</f>
        <v>0</v>
      </c>
      <c r="X59">
        <f>IF(AND(COUNTIF(Control!$E$20:$E$100,$B59)=0,COUNTIF(Control!$E$20:$E$100,X$2)=0),VISUM_Arterial_OD!X59*Control!$B$3,0)</f>
        <v>0</v>
      </c>
      <c r="Y59">
        <f>IF(AND(COUNTIF(Control!$E$20:$E$100,$B59)=0,COUNTIF(Control!$E$20:$E$100,Y$2)=0),VISUM_Arterial_OD!Y59*Control!$B$3,0)</f>
        <v>0</v>
      </c>
      <c r="Z59">
        <f>IF(AND(COUNTIF(Control!$E$20:$E$100,$B59)=0,COUNTIF(Control!$E$20:$E$100,Z$2)=0),VISUM_Arterial_OD!Z59*Control!$B$3,0)</f>
        <v>0</v>
      </c>
      <c r="AA59">
        <f>IF(AND(COUNTIF(Control!$E$20:$E$100,$B59)=0,COUNTIF(Control!$E$20:$E$100,AA$2)=0),VISUM_Arterial_OD!AA59*Control!$B$3,0)</f>
        <v>0</v>
      </c>
      <c r="AB59">
        <f>IF(AND(COUNTIF(Control!$E$20:$E$100,$B59)=0,COUNTIF(Control!$E$20:$E$100,AB$2)=0),VISUM_Arterial_OD!AB59*Control!$B$3,0)</f>
        <v>0</v>
      </c>
      <c r="AC59">
        <f>IF(AND(COUNTIF(Control!$E$20:$E$100,$B59)=0,COUNTIF(Control!$E$20:$E$100,AC$2)=0),VISUM_Arterial_OD!AC59*Control!$B$3,0)</f>
        <v>0</v>
      </c>
      <c r="AD59">
        <f>IF(AND(COUNTIF(Control!$E$20:$E$100,$B59)=0,COUNTIF(Control!$E$20:$E$100,AD$2)=0),VISUM_Arterial_OD!AD59*Control!$B$3,0)</f>
        <v>0</v>
      </c>
      <c r="AE59">
        <f>IF(AND(COUNTIF(Control!$E$20:$E$100,$B59)=0,COUNTIF(Control!$E$20:$E$100,AE$2)=0),VISUM_Arterial_OD!AE59*Control!$B$3,0)</f>
        <v>0</v>
      </c>
      <c r="AF59">
        <f>IF(AND(COUNTIF(Control!$E$20:$E$100,$B59)=0,COUNTIF(Control!$E$20:$E$100,AF$2)=0),VISUM_Arterial_OD!AF59*Control!$B$3,0)</f>
        <v>0</v>
      </c>
      <c r="AG59">
        <f>IF(AND(COUNTIF(Control!$E$20:$E$100,$B59)=0,COUNTIF(Control!$E$20:$E$100,AG$2)=0),VISUM_Arterial_OD!AG59*Control!$B$3,0)</f>
        <v>0</v>
      </c>
      <c r="AH59">
        <f>IF(AND(COUNTIF(Control!$E$20:$E$100,$B59)=0,COUNTIF(Control!$E$20:$E$100,AH$2)=0),VISUM_Arterial_OD!AH59*Control!$B$3,0)</f>
        <v>0</v>
      </c>
      <c r="AI59">
        <f>IF(AND(COUNTIF(Control!$E$20:$E$100,$B59)=0,COUNTIF(Control!$E$20:$E$100,AI$2)=0),VISUM_Arterial_OD!AI59*Control!$B$3,0)</f>
        <v>0</v>
      </c>
      <c r="AJ59">
        <f>IF(AND(COUNTIF(Control!$E$20:$E$100,$B59)=0,COUNTIF(Control!$E$20:$E$100,AJ$2)=0),VISUM_Arterial_OD!AJ59*Control!$B$3,0)</f>
        <v>0</v>
      </c>
      <c r="AK59">
        <f>IF(AND(COUNTIF(Control!$E$20:$E$100,$B59)=0,COUNTIF(Control!$E$20:$E$100,AK$2)=0),VISUM_Arterial_OD!AK59*Control!$B$3,0)</f>
        <v>0</v>
      </c>
      <c r="AL59">
        <f>IF(AND(COUNTIF(Control!$E$20:$E$100,$B59)=0,COUNTIF(Control!$E$20:$E$100,AL$2)=0),VISUM_Arterial_OD!AL59*Control!$B$3,0)</f>
        <v>0</v>
      </c>
      <c r="AM59">
        <f>IF(AND(COUNTIF(Control!$E$20:$E$100,$B59)=0,COUNTIF(Control!$E$20:$E$100,AM$2)=0),VISUM_Arterial_OD!AM59*Control!$B$3,0)</f>
        <v>0</v>
      </c>
      <c r="AN59">
        <f>IF(AND(COUNTIF(Control!$E$20:$E$100,$B59)=0,COUNTIF(Control!$E$20:$E$100,AN$2)=0),VISUM_Arterial_OD!AN59*Control!$B$3,0)</f>
        <v>0</v>
      </c>
      <c r="AO59">
        <f>IF(AND(COUNTIF(Control!$E$20:$E$100,$B59)=0,COUNTIF(Control!$E$20:$E$100,AO$2)=0),VISUM_Arterial_OD!AO59*Control!$B$3,0)</f>
        <v>0</v>
      </c>
      <c r="AP59">
        <f>IF(AND(COUNTIF(Control!$E$20:$E$100,$B59)=0,COUNTIF(Control!$E$20:$E$100,AP$2)=0),VISUM_Arterial_OD!AP59*Control!$B$3,0)</f>
        <v>0</v>
      </c>
      <c r="AQ59">
        <f>IF(AND(COUNTIF(Control!$E$20:$E$100,$B59)=0,COUNTIF(Control!$E$20:$E$100,AQ$2)=0),VISUM_Arterial_OD!AQ59*Control!$B$3,0)</f>
        <v>0</v>
      </c>
      <c r="AR59">
        <f>IF(AND(COUNTIF(Control!$E$20:$E$100,$B59)=0,COUNTIF(Control!$E$20:$E$100,AR$2)=0),VISUM_Arterial_OD!AR59*Control!$B$3,0)</f>
        <v>0</v>
      </c>
      <c r="AS59">
        <f>IF(AND(COUNTIF(Control!$E$20:$E$100,$B59)=0,COUNTIF(Control!$E$20:$E$100,AS$2)=0),VISUM_Arterial_OD!AS59*Control!$B$3,0)</f>
        <v>0</v>
      </c>
      <c r="AT59">
        <f>IF(AND(COUNTIF(Control!$E$20:$E$100,$B59)=0,COUNTIF(Control!$E$20:$E$100,AT$2)=0),VISUM_Arterial_OD!AT59*Control!$B$3,0)</f>
        <v>0</v>
      </c>
      <c r="AU59">
        <f>IF(AND(COUNTIF(Control!$E$20:$E$100,$B59)=0,COUNTIF(Control!$E$20:$E$100,AU$2)=0),VISUM_Arterial_OD!AU59*Control!$B$3,0)</f>
        <v>0</v>
      </c>
      <c r="AV59">
        <f>IF(AND(COUNTIF(Control!$E$20:$E$100,$B59)=0,COUNTIF(Control!$E$20:$E$100,AV$2)=0),VISUM_Arterial_OD!AV59*Control!$B$3,0)</f>
        <v>0</v>
      </c>
      <c r="AW59">
        <f>IF(AND(COUNTIF(Control!$E$20:$E$100,$B59)=0,COUNTIF(Control!$E$20:$E$100,AW$2)=0),VISUM_Arterial_OD!AW59*Control!$B$3,0)</f>
        <v>0</v>
      </c>
      <c r="AX59">
        <f>IF(AND(COUNTIF(Control!$E$20:$E$100,$B59)=0,COUNTIF(Control!$E$20:$E$100,AX$2)=0),VISUM_Arterial_OD!AX59*Control!$B$3,0)</f>
        <v>0</v>
      </c>
      <c r="AY59">
        <f>IF(AND(COUNTIF(Control!$E$20:$E$100,$B59)=0,COUNTIF(Control!$E$20:$E$100,AY$2)=0),VISUM_Arterial_OD!AY59*Control!$B$3,0)</f>
        <v>0</v>
      </c>
      <c r="AZ59">
        <f>IF(AND(COUNTIF(Control!$E$20:$E$100,$B59)=0,COUNTIF(Control!$E$20:$E$100,AZ$2)=0),VISUM_Arterial_OD!AZ59*Control!$B$3,0)</f>
        <v>0</v>
      </c>
      <c r="BA59">
        <f>IF(AND(COUNTIF(Control!$E$20:$E$100,$B59)=0,COUNTIF(Control!$E$20:$E$100,BA$2)=0),VISUM_Arterial_OD!BA59*Control!$B$3,0)</f>
        <v>0</v>
      </c>
      <c r="BB59">
        <f>IF(AND(COUNTIF(Control!$E$20:$E$100,$B59)=0,COUNTIF(Control!$E$20:$E$100,BB$2)=0),VISUM_Arterial_OD!BB59*Control!$B$3,0)</f>
        <v>0</v>
      </c>
      <c r="BC59">
        <f>IF(AND(COUNTIF(Control!$E$20:$E$100,$B59)=0,COUNTIF(Control!$E$20:$E$100,BC$2)=0),VISUM_Arterial_OD!BC59*Control!$B$3,0)</f>
        <v>0</v>
      </c>
      <c r="BD59">
        <f>IF(AND(COUNTIF(Control!$E$20:$E$100,$B59)=0,COUNTIF(Control!$E$20:$E$100,BD$2)=0),VISUM_Arterial_OD!BD59*Control!$B$3,0)</f>
        <v>0</v>
      </c>
      <c r="BE59">
        <f>IF(AND(COUNTIF(Control!$E$20:$E$100,$B59)=0,COUNTIF(Control!$E$20:$E$100,BE$2)=0),VISUM_Arterial_OD!BE59*Control!$B$3,0)</f>
        <v>0</v>
      </c>
      <c r="BF59">
        <f>IF(AND(COUNTIF(Control!$E$20:$E$100,$B59)=0,COUNTIF(Control!$E$20:$E$100,BF$2)=0),VISUM_Arterial_OD!BF59*Control!$B$3,0)</f>
        <v>0</v>
      </c>
      <c r="BG59">
        <f>IF(AND(COUNTIF(Control!$E$20:$E$100,$B59)=0,COUNTIF(Control!$E$20:$E$100,BG$2)=0),VISUM_Arterial_OD!BG59*Control!$B$3,0)</f>
        <v>0</v>
      </c>
      <c r="BH59">
        <f>IF(AND(COUNTIF(Control!$E$20:$E$100,$B59)=0,COUNTIF(Control!$E$20:$E$100,BH$2)=0),VISUM_Arterial_OD!BH59*Control!$B$3,0)</f>
        <v>0</v>
      </c>
      <c r="BI59">
        <f>IF(AND(COUNTIF(Control!$E$20:$E$100,$B59)=0,COUNTIF(Control!$E$20:$E$100,BI$2)=0),VISUM_Arterial_OD!BI59*Control!$B$3,0)</f>
        <v>0</v>
      </c>
      <c r="BJ59">
        <f>IF(AND(COUNTIF(Control!$E$20:$E$100,$B59)=0,COUNTIF(Control!$E$20:$E$100,BJ$2)=0),VISUM_Arterial_OD!BJ59*Control!$B$3,0)</f>
        <v>0</v>
      </c>
      <c r="BK59">
        <f>IF(AND(COUNTIF(Control!$E$20:$E$100,$B59)=0,COUNTIF(Control!$E$20:$E$100,BK$2)=0),VISUM_Arterial_OD!BK59*Control!$B$3,0)</f>
        <v>0</v>
      </c>
      <c r="BL59">
        <f>IF(AND(COUNTIF(Control!$E$20:$E$100,$B59)=0,COUNTIF(Control!$E$20:$E$100,BL$2)=0),VISUM_Arterial_OD!BL59*Control!$B$3,0)</f>
        <v>0</v>
      </c>
      <c r="BM59">
        <f>IF(AND(COUNTIF(Control!$E$20:$E$100,$B59)=0,COUNTIF(Control!$E$20:$E$100,BM$2)=0),VISUM_Arterial_OD!BM59*Control!$B$3,0)</f>
        <v>0</v>
      </c>
      <c r="BN59">
        <f>IF(AND(COUNTIF(Control!$E$20:$E$100,$B59)=0,COUNTIF(Control!$E$20:$E$100,BN$2)=0),VISUM_Arterial_OD!BN59*Control!$B$3,0)</f>
        <v>0</v>
      </c>
      <c r="BO59">
        <f>IF(AND(COUNTIF(Control!$E$20:$E$100,$B59)=0,COUNTIF(Control!$E$20:$E$100,BO$2)=0),VISUM_Arterial_OD!BO59*Control!$B$3,0)</f>
        <v>0</v>
      </c>
      <c r="BP59">
        <f>IF(AND(COUNTIF(Control!$E$20:$E$100,$B59)=0,COUNTIF(Control!$E$20:$E$100,BP$2)=0),VISUM_Arterial_OD!BP59*Control!$B$3,0)</f>
        <v>0</v>
      </c>
      <c r="BQ59">
        <f>IF(AND(COUNTIF(Control!$E$20:$E$100,$B59)=0,COUNTIF(Control!$E$20:$E$100,BQ$2)=0),VISUM_Arterial_OD!BQ59*Control!$B$3,0)</f>
        <v>0</v>
      </c>
    </row>
    <row r="60" spans="1:69" x14ac:dyDescent="0.25">
      <c r="A60" s="5" t="str">
        <f>IF(VLOOKUP(B60,Arterial_Zone_Link_Mapping!$A:$C,2,FALSE)&lt;&gt;"",VLOOKUP(B60,Arterial_Zone_Link_Mapping!$A:$C,2,FALSE),"")</f>
        <v/>
      </c>
      <c r="B60" s="5">
        <v>82</v>
      </c>
      <c r="C60">
        <f>IF(AND(COUNTIF(Control!$E$20:$E$100,$B60)=0,COUNTIF(Control!$E$20:$E$100,C$2)=0),VISUM_Arterial_OD!C60*Control!$B$3,0)</f>
        <v>0</v>
      </c>
      <c r="D60">
        <f>IF(AND(COUNTIF(Control!$E$20:$E$100,$B60)=0,COUNTIF(Control!$E$20:$E$100,D$2)=0),VISUM_Arterial_OD!D60*Control!$B$3,0)</f>
        <v>0</v>
      </c>
      <c r="E60">
        <f>IF(AND(COUNTIF(Control!$E$20:$E$100,$B60)=0,COUNTIF(Control!$E$20:$E$100,E$2)=0),VISUM_Arterial_OD!E60*Control!$B$3,0)</f>
        <v>0</v>
      </c>
      <c r="F60">
        <f>IF(AND(COUNTIF(Control!$E$20:$E$100,$B60)=0,COUNTIF(Control!$E$20:$E$100,F$2)=0),VISUM_Arterial_OD!F60*Control!$B$3,0)</f>
        <v>0</v>
      </c>
      <c r="G60">
        <f>IF(AND(COUNTIF(Control!$E$20:$E$100,$B60)=0,COUNTIF(Control!$E$20:$E$100,G$2)=0),VISUM_Arterial_OD!G60*Control!$B$3,0)</f>
        <v>0</v>
      </c>
      <c r="H60">
        <f>IF(AND(COUNTIF(Control!$E$20:$E$100,$B60)=0,COUNTIF(Control!$E$20:$E$100,H$2)=0),VISUM_Arterial_OD!H60*Control!$B$3,0)</f>
        <v>0</v>
      </c>
      <c r="I60">
        <f>IF(AND(COUNTIF(Control!$E$20:$E$100,$B60)=0,COUNTIF(Control!$E$20:$E$100,I$2)=0),VISUM_Arterial_OD!I60*Control!$B$3,0)</f>
        <v>0</v>
      </c>
      <c r="J60">
        <f>IF(AND(COUNTIF(Control!$E$20:$E$100,$B60)=0,COUNTIF(Control!$E$20:$E$100,J$2)=0),VISUM_Arterial_OD!J60*Control!$B$3,0)</f>
        <v>0</v>
      </c>
      <c r="K60">
        <f>IF(AND(COUNTIF(Control!$E$20:$E$100,$B60)=0,COUNTIF(Control!$E$20:$E$100,K$2)=0),VISUM_Arterial_OD!K60*Control!$B$3,0)</f>
        <v>0</v>
      </c>
      <c r="L60">
        <f>IF(AND(COUNTIF(Control!$E$20:$E$100,$B60)=0,COUNTIF(Control!$E$20:$E$100,L$2)=0),VISUM_Arterial_OD!L60*Control!$B$3,0)</f>
        <v>0</v>
      </c>
      <c r="M60">
        <f>IF(AND(COUNTIF(Control!$E$20:$E$100,$B60)=0,COUNTIF(Control!$E$20:$E$100,M$2)=0),VISUM_Arterial_OD!M60*Control!$B$3,0)</f>
        <v>0</v>
      </c>
      <c r="N60">
        <f>IF(AND(COUNTIF(Control!$E$20:$E$100,$B60)=0,COUNTIF(Control!$E$20:$E$100,N$2)=0),VISUM_Arterial_OD!N60*Control!$B$3,0)</f>
        <v>0</v>
      </c>
      <c r="O60">
        <f>IF(AND(COUNTIF(Control!$E$20:$E$100,$B60)=0,COUNTIF(Control!$E$20:$E$100,O$2)=0),VISUM_Arterial_OD!O60*Control!$B$3,0)</f>
        <v>0</v>
      </c>
      <c r="P60">
        <f>IF(AND(COUNTIF(Control!$E$20:$E$100,$B60)=0,COUNTIF(Control!$E$20:$E$100,P$2)=0),VISUM_Arterial_OD!P60*Control!$B$3,0)</f>
        <v>0</v>
      </c>
      <c r="Q60">
        <f>IF(AND(COUNTIF(Control!$E$20:$E$100,$B60)=0,COUNTIF(Control!$E$20:$E$100,Q$2)=0),VISUM_Arterial_OD!Q60*Control!$B$3,0)</f>
        <v>0</v>
      </c>
      <c r="R60">
        <f>IF(AND(COUNTIF(Control!$E$20:$E$100,$B60)=0,COUNTIF(Control!$E$20:$E$100,R$2)=0),VISUM_Arterial_OD!R60*Control!$B$3,0)</f>
        <v>0</v>
      </c>
      <c r="S60">
        <f>IF(AND(COUNTIF(Control!$E$20:$E$100,$B60)=0,COUNTIF(Control!$E$20:$E$100,S$2)=0),VISUM_Arterial_OD!S60*Control!$B$3,0)</f>
        <v>0</v>
      </c>
      <c r="T60">
        <f>IF(AND(COUNTIF(Control!$E$20:$E$100,$B60)=0,COUNTIF(Control!$E$20:$E$100,T$2)=0),VISUM_Arterial_OD!T60*Control!$B$3,0)</f>
        <v>0</v>
      </c>
      <c r="U60">
        <f>IF(AND(COUNTIF(Control!$E$20:$E$100,$B60)=0,COUNTIF(Control!$E$20:$E$100,U$2)=0),VISUM_Arterial_OD!U60*Control!$B$3,0)</f>
        <v>0</v>
      </c>
      <c r="V60">
        <f>IF(AND(COUNTIF(Control!$E$20:$E$100,$B60)=0,COUNTIF(Control!$E$20:$E$100,V$2)=0),VISUM_Arterial_OD!V60*Control!$B$3,0)</f>
        <v>0</v>
      </c>
      <c r="W60">
        <f>IF(AND(COUNTIF(Control!$E$20:$E$100,$B60)=0,COUNTIF(Control!$E$20:$E$100,W$2)=0),VISUM_Arterial_OD!W60*Control!$B$3,0)</f>
        <v>0</v>
      </c>
      <c r="X60">
        <f>IF(AND(COUNTIF(Control!$E$20:$E$100,$B60)=0,COUNTIF(Control!$E$20:$E$100,X$2)=0),VISUM_Arterial_OD!X60*Control!$B$3,0)</f>
        <v>0</v>
      </c>
      <c r="Y60">
        <f>IF(AND(COUNTIF(Control!$E$20:$E$100,$B60)=0,COUNTIF(Control!$E$20:$E$100,Y$2)=0),VISUM_Arterial_OD!Y60*Control!$B$3,0)</f>
        <v>0</v>
      </c>
      <c r="Z60">
        <f>IF(AND(COUNTIF(Control!$E$20:$E$100,$B60)=0,COUNTIF(Control!$E$20:$E$100,Z$2)=0),VISUM_Arterial_OD!Z60*Control!$B$3,0)</f>
        <v>0</v>
      </c>
      <c r="AA60">
        <f>IF(AND(COUNTIF(Control!$E$20:$E$100,$B60)=0,COUNTIF(Control!$E$20:$E$100,AA$2)=0),VISUM_Arterial_OD!AA60*Control!$B$3,0)</f>
        <v>0</v>
      </c>
      <c r="AB60">
        <f>IF(AND(COUNTIF(Control!$E$20:$E$100,$B60)=0,COUNTIF(Control!$E$20:$E$100,AB$2)=0),VISUM_Arterial_OD!AB60*Control!$B$3,0)</f>
        <v>0</v>
      </c>
      <c r="AC60">
        <f>IF(AND(COUNTIF(Control!$E$20:$E$100,$B60)=0,COUNTIF(Control!$E$20:$E$100,AC$2)=0),VISUM_Arterial_OD!AC60*Control!$B$3,0)</f>
        <v>0</v>
      </c>
      <c r="AD60">
        <f>IF(AND(COUNTIF(Control!$E$20:$E$100,$B60)=0,COUNTIF(Control!$E$20:$E$100,AD$2)=0),VISUM_Arterial_OD!AD60*Control!$B$3,0)</f>
        <v>0</v>
      </c>
      <c r="AE60">
        <f>IF(AND(COUNTIF(Control!$E$20:$E$100,$B60)=0,COUNTIF(Control!$E$20:$E$100,AE$2)=0),VISUM_Arterial_OD!AE60*Control!$B$3,0)</f>
        <v>0</v>
      </c>
      <c r="AF60">
        <f>IF(AND(COUNTIF(Control!$E$20:$E$100,$B60)=0,COUNTIF(Control!$E$20:$E$100,AF$2)=0),VISUM_Arterial_OD!AF60*Control!$B$3,0)</f>
        <v>0</v>
      </c>
      <c r="AG60">
        <f>IF(AND(COUNTIF(Control!$E$20:$E$100,$B60)=0,COUNTIF(Control!$E$20:$E$100,AG$2)=0),VISUM_Arterial_OD!AG60*Control!$B$3,0)</f>
        <v>0</v>
      </c>
      <c r="AH60">
        <f>IF(AND(COUNTIF(Control!$E$20:$E$100,$B60)=0,COUNTIF(Control!$E$20:$E$100,AH$2)=0),VISUM_Arterial_OD!AH60*Control!$B$3,0)</f>
        <v>0</v>
      </c>
      <c r="AI60">
        <f>IF(AND(COUNTIF(Control!$E$20:$E$100,$B60)=0,COUNTIF(Control!$E$20:$E$100,AI$2)=0),VISUM_Arterial_OD!AI60*Control!$B$3,0)</f>
        <v>0</v>
      </c>
      <c r="AJ60">
        <f>IF(AND(COUNTIF(Control!$E$20:$E$100,$B60)=0,COUNTIF(Control!$E$20:$E$100,AJ$2)=0),VISUM_Arterial_OD!AJ60*Control!$B$3,0)</f>
        <v>0</v>
      </c>
      <c r="AK60">
        <f>IF(AND(COUNTIF(Control!$E$20:$E$100,$B60)=0,COUNTIF(Control!$E$20:$E$100,AK$2)=0),VISUM_Arterial_OD!AK60*Control!$B$3,0)</f>
        <v>0</v>
      </c>
      <c r="AL60">
        <f>IF(AND(COUNTIF(Control!$E$20:$E$100,$B60)=0,COUNTIF(Control!$E$20:$E$100,AL$2)=0),VISUM_Arterial_OD!AL60*Control!$B$3,0)</f>
        <v>0</v>
      </c>
      <c r="AM60">
        <f>IF(AND(COUNTIF(Control!$E$20:$E$100,$B60)=0,COUNTIF(Control!$E$20:$E$100,AM$2)=0),VISUM_Arterial_OD!AM60*Control!$B$3,0)</f>
        <v>0</v>
      </c>
      <c r="AN60">
        <f>IF(AND(COUNTIF(Control!$E$20:$E$100,$B60)=0,COUNTIF(Control!$E$20:$E$100,AN$2)=0),VISUM_Arterial_OD!AN60*Control!$B$3,0)</f>
        <v>0</v>
      </c>
      <c r="AO60">
        <f>IF(AND(COUNTIF(Control!$E$20:$E$100,$B60)=0,COUNTIF(Control!$E$20:$E$100,AO$2)=0),VISUM_Arterial_OD!AO60*Control!$B$3,0)</f>
        <v>0</v>
      </c>
      <c r="AP60">
        <f>IF(AND(COUNTIF(Control!$E$20:$E$100,$B60)=0,COUNTIF(Control!$E$20:$E$100,AP$2)=0),VISUM_Arterial_OD!AP60*Control!$B$3,0)</f>
        <v>0</v>
      </c>
      <c r="AQ60">
        <f>IF(AND(COUNTIF(Control!$E$20:$E$100,$B60)=0,COUNTIF(Control!$E$20:$E$100,AQ$2)=0),VISUM_Arterial_OD!AQ60*Control!$B$3,0)</f>
        <v>0</v>
      </c>
      <c r="AR60">
        <f>IF(AND(COUNTIF(Control!$E$20:$E$100,$B60)=0,COUNTIF(Control!$E$20:$E$100,AR$2)=0),VISUM_Arterial_OD!AR60*Control!$B$3,0)</f>
        <v>0</v>
      </c>
      <c r="AS60">
        <f>IF(AND(COUNTIF(Control!$E$20:$E$100,$B60)=0,COUNTIF(Control!$E$20:$E$100,AS$2)=0),VISUM_Arterial_OD!AS60*Control!$B$3,0)</f>
        <v>0</v>
      </c>
      <c r="AT60">
        <f>IF(AND(COUNTIF(Control!$E$20:$E$100,$B60)=0,COUNTIF(Control!$E$20:$E$100,AT$2)=0),VISUM_Arterial_OD!AT60*Control!$B$3,0)</f>
        <v>0</v>
      </c>
      <c r="AU60">
        <f>IF(AND(COUNTIF(Control!$E$20:$E$100,$B60)=0,COUNTIF(Control!$E$20:$E$100,AU$2)=0),VISUM_Arterial_OD!AU60*Control!$B$3,0)</f>
        <v>0</v>
      </c>
      <c r="AV60">
        <f>IF(AND(COUNTIF(Control!$E$20:$E$100,$B60)=0,COUNTIF(Control!$E$20:$E$100,AV$2)=0),VISUM_Arterial_OD!AV60*Control!$B$3,0)</f>
        <v>0</v>
      </c>
      <c r="AW60">
        <f>IF(AND(COUNTIF(Control!$E$20:$E$100,$B60)=0,COUNTIF(Control!$E$20:$E$100,AW$2)=0),VISUM_Arterial_OD!AW60*Control!$B$3,0)</f>
        <v>0</v>
      </c>
      <c r="AX60">
        <f>IF(AND(COUNTIF(Control!$E$20:$E$100,$B60)=0,COUNTIF(Control!$E$20:$E$100,AX$2)=0),VISUM_Arterial_OD!AX60*Control!$B$3,0)</f>
        <v>0</v>
      </c>
      <c r="AY60">
        <f>IF(AND(COUNTIF(Control!$E$20:$E$100,$B60)=0,COUNTIF(Control!$E$20:$E$100,AY$2)=0),VISUM_Arterial_OD!AY60*Control!$B$3,0)</f>
        <v>0</v>
      </c>
      <c r="AZ60">
        <f>IF(AND(COUNTIF(Control!$E$20:$E$100,$B60)=0,COUNTIF(Control!$E$20:$E$100,AZ$2)=0),VISUM_Arterial_OD!AZ60*Control!$B$3,0)</f>
        <v>0</v>
      </c>
      <c r="BA60">
        <f>IF(AND(COUNTIF(Control!$E$20:$E$100,$B60)=0,COUNTIF(Control!$E$20:$E$100,BA$2)=0),VISUM_Arterial_OD!BA60*Control!$B$3,0)</f>
        <v>0</v>
      </c>
      <c r="BB60">
        <f>IF(AND(COUNTIF(Control!$E$20:$E$100,$B60)=0,COUNTIF(Control!$E$20:$E$100,BB$2)=0),VISUM_Arterial_OD!BB60*Control!$B$3,0)</f>
        <v>0</v>
      </c>
      <c r="BC60">
        <f>IF(AND(COUNTIF(Control!$E$20:$E$100,$B60)=0,COUNTIF(Control!$E$20:$E$100,BC$2)=0),VISUM_Arterial_OD!BC60*Control!$B$3,0)</f>
        <v>0</v>
      </c>
      <c r="BD60">
        <f>IF(AND(COUNTIF(Control!$E$20:$E$100,$B60)=0,COUNTIF(Control!$E$20:$E$100,BD$2)=0),VISUM_Arterial_OD!BD60*Control!$B$3,0)</f>
        <v>0</v>
      </c>
      <c r="BE60">
        <f>IF(AND(COUNTIF(Control!$E$20:$E$100,$B60)=0,COUNTIF(Control!$E$20:$E$100,BE$2)=0),VISUM_Arterial_OD!BE60*Control!$B$3,0)</f>
        <v>0</v>
      </c>
      <c r="BF60">
        <f>IF(AND(COUNTIF(Control!$E$20:$E$100,$B60)=0,COUNTIF(Control!$E$20:$E$100,BF$2)=0),VISUM_Arterial_OD!BF60*Control!$B$3,0)</f>
        <v>0</v>
      </c>
      <c r="BG60">
        <f>IF(AND(COUNTIF(Control!$E$20:$E$100,$B60)=0,COUNTIF(Control!$E$20:$E$100,BG$2)=0),VISUM_Arterial_OD!BG60*Control!$B$3,0)</f>
        <v>0</v>
      </c>
      <c r="BH60">
        <f>IF(AND(COUNTIF(Control!$E$20:$E$100,$B60)=0,COUNTIF(Control!$E$20:$E$100,BH$2)=0),VISUM_Arterial_OD!BH60*Control!$B$3,0)</f>
        <v>0</v>
      </c>
      <c r="BI60">
        <f>IF(AND(COUNTIF(Control!$E$20:$E$100,$B60)=0,COUNTIF(Control!$E$20:$E$100,BI$2)=0),VISUM_Arterial_OD!BI60*Control!$B$3,0)</f>
        <v>0</v>
      </c>
      <c r="BJ60">
        <f>IF(AND(COUNTIF(Control!$E$20:$E$100,$B60)=0,COUNTIF(Control!$E$20:$E$100,BJ$2)=0),VISUM_Arterial_OD!BJ60*Control!$B$3,0)</f>
        <v>0</v>
      </c>
      <c r="BK60">
        <f>IF(AND(COUNTIF(Control!$E$20:$E$100,$B60)=0,COUNTIF(Control!$E$20:$E$100,BK$2)=0),VISUM_Arterial_OD!BK60*Control!$B$3,0)</f>
        <v>0</v>
      </c>
      <c r="BL60">
        <f>IF(AND(COUNTIF(Control!$E$20:$E$100,$B60)=0,COUNTIF(Control!$E$20:$E$100,BL$2)=0),VISUM_Arterial_OD!BL60*Control!$B$3,0)</f>
        <v>0</v>
      </c>
      <c r="BM60">
        <f>IF(AND(COUNTIF(Control!$E$20:$E$100,$B60)=0,COUNTIF(Control!$E$20:$E$100,BM$2)=0),VISUM_Arterial_OD!BM60*Control!$B$3,0)</f>
        <v>0</v>
      </c>
      <c r="BN60">
        <f>IF(AND(COUNTIF(Control!$E$20:$E$100,$B60)=0,COUNTIF(Control!$E$20:$E$100,BN$2)=0),VISUM_Arterial_OD!BN60*Control!$B$3,0)</f>
        <v>0</v>
      </c>
      <c r="BO60">
        <f>IF(AND(COUNTIF(Control!$E$20:$E$100,$B60)=0,COUNTIF(Control!$E$20:$E$100,BO$2)=0),VISUM_Arterial_OD!BO60*Control!$B$3,0)</f>
        <v>0</v>
      </c>
      <c r="BP60">
        <f>IF(AND(COUNTIF(Control!$E$20:$E$100,$B60)=0,COUNTIF(Control!$E$20:$E$100,BP$2)=0),VISUM_Arterial_OD!BP60*Control!$B$3,0)</f>
        <v>0</v>
      </c>
      <c r="BQ60">
        <f>IF(AND(COUNTIF(Control!$E$20:$E$100,$B60)=0,COUNTIF(Control!$E$20:$E$100,BQ$2)=0),VISUM_Arterial_OD!BQ60*Control!$B$3,0)</f>
        <v>0</v>
      </c>
    </row>
    <row r="61" spans="1:69" x14ac:dyDescent="0.25">
      <c r="A61" s="5">
        <f>IF(VLOOKUP(B61,Arterial_Zone_Link_Mapping!$A:$C,2,FALSE)&lt;&gt;"",VLOOKUP(B61,Arterial_Zone_Link_Mapping!$A:$C,2,FALSE),"")</f>
        <v>453</v>
      </c>
      <c r="B61" s="5">
        <v>83</v>
      </c>
      <c r="C61">
        <f>IF(AND(COUNTIF(Control!$E$20:$E$100,$B61)=0,COUNTIF(Control!$E$20:$E$100,C$2)=0),VISUM_Arterial_OD!C61*Control!$B$3,0)</f>
        <v>0</v>
      </c>
      <c r="D61">
        <f>IF(AND(COUNTIF(Control!$E$20:$E$100,$B61)=0,COUNTIF(Control!$E$20:$E$100,D$2)=0),VISUM_Arterial_OD!D61*Control!$B$3,0)</f>
        <v>0</v>
      </c>
      <c r="E61">
        <f>IF(AND(COUNTIF(Control!$E$20:$E$100,$B61)=0,COUNTIF(Control!$E$20:$E$100,E$2)=0),VISUM_Arterial_OD!E61*Control!$B$3,0)</f>
        <v>2.50034964</v>
      </c>
      <c r="F61">
        <f>IF(AND(COUNTIF(Control!$E$20:$E$100,$B61)=0,COUNTIF(Control!$E$20:$E$100,F$2)=0),VISUM_Arterial_OD!F61*Control!$B$3,0)</f>
        <v>1.76399277</v>
      </c>
      <c r="G61">
        <f>IF(AND(COUNTIF(Control!$E$20:$E$100,$B61)=0,COUNTIF(Control!$E$20:$E$100,G$2)=0),VISUM_Arterial_OD!G61*Control!$B$3,0)</f>
        <v>0</v>
      </c>
      <c r="H61">
        <f>IF(AND(COUNTIF(Control!$E$20:$E$100,$B61)=0,COUNTIF(Control!$E$20:$E$100,H$2)=0),VISUM_Arterial_OD!H61*Control!$B$3,0)</f>
        <v>0</v>
      </c>
      <c r="I61">
        <f>IF(AND(COUNTIF(Control!$E$20:$E$100,$B61)=0,COUNTIF(Control!$E$20:$E$100,I$2)=0),VISUM_Arterial_OD!I61*Control!$B$3,0)</f>
        <v>0</v>
      </c>
      <c r="J61">
        <f>IF(AND(COUNTIF(Control!$E$20:$E$100,$B61)=0,COUNTIF(Control!$E$20:$E$100,J$2)=0),VISUM_Arterial_OD!J61*Control!$B$3,0)</f>
        <v>0</v>
      </c>
      <c r="K61">
        <f>IF(AND(COUNTIF(Control!$E$20:$E$100,$B61)=0,COUNTIF(Control!$E$20:$E$100,K$2)=0),VISUM_Arterial_OD!K61*Control!$B$3,0)</f>
        <v>0</v>
      </c>
      <c r="L61">
        <f>IF(AND(COUNTIF(Control!$E$20:$E$100,$B61)=0,COUNTIF(Control!$E$20:$E$100,L$2)=0),VISUM_Arterial_OD!L61*Control!$B$3,0)</f>
        <v>0</v>
      </c>
      <c r="M61">
        <f>IF(AND(COUNTIF(Control!$E$20:$E$100,$B61)=0,COUNTIF(Control!$E$20:$E$100,M$2)=0),VISUM_Arterial_OD!M61*Control!$B$3,0)</f>
        <v>10.183388039999999</v>
      </c>
      <c r="N61">
        <f>IF(AND(COUNTIF(Control!$E$20:$E$100,$B61)=0,COUNTIF(Control!$E$20:$E$100,N$2)=0),VISUM_Arterial_OD!N61*Control!$B$3,0)</f>
        <v>4.4179520700000001</v>
      </c>
      <c r="O61">
        <f>IF(AND(COUNTIF(Control!$E$20:$E$100,$B61)=0,COUNTIF(Control!$E$20:$E$100,O$2)=0),VISUM_Arterial_OD!O61*Control!$B$3,0)</f>
        <v>0</v>
      </c>
      <c r="P61">
        <f>IF(AND(COUNTIF(Control!$E$20:$E$100,$B61)=0,COUNTIF(Control!$E$20:$E$100,P$2)=0),VISUM_Arterial_OD!P61*Control!$B$3,0)</f>
        <v>0</v>
      </c>
      <c r="Q61">
        <f>IF(AND(COUNTIF(Control!$E$20:$E$100,$B61)=0,COUNTIF(Control!$E$20:$E$100,Q$2)=0),VISUM_Arterial_OD!Q61*Control!$B$3,0)</f>
        <v>0</v>
      </c>
      <c r="R61">
        <f>IF(AND(COUNTIF(Control!$E$20:$E$100,$B61)=0,COUNTIF(Control!$E$20:$E$100,R$2)=0),VISUM_Arterial_OD!R61*Control!$B$3,0)</f>
        <v>0</v>
      </c>
      <c r="S61">
        <f>IF(AND(COUNTIF(Control!$E$20:$E$100,$B61)=0,COUNTIF(Control!$E$20:$E$100,S$2)=0),VISUM_Arterial_OD!S61*Control!$B$3,0)</f>
        <v>0</v>
      </c>
      <c r="T61">
        <f>IF(AND(COUNTIF(Control!$E$20:$E$100,$B61)=0,COUNTIF(Control!$E$20:$E$100,T$2)=0),VISUM_Arterial_OD!T61*Control!$B$3,0)</f>
        <v>0</v>
      </c>
      <c r="U61">
        <f>IF(AND(COUNTIF(Control!$E$20:$E$100,$B61)=0,COUNTIF(Control!$E$20:$E$100,U$2)=0),VISUM_Arterial_OD!U61*Control!$B$3,0)</f>
        <v>0</v>
      </c>
      <c r="V61">
        <f>IF(AND(COUNTIF(Control!$E$20:$E$100,$B61)=0,COUNTIF(Control!$E$20:$E$100,V$2)=0),VISUM_Arterial_OD!V61*Control!$B$3,0)</f>
        <v>0</v>
      </c>
      <c r="W61">
        <f>IF(AND(COUNTIF(Control!$E$20:$E$100,$B61)=0,COUNTIF(Control!$E$20:$E$100,W$2)=0),VISUM_Arterial_OD!W61*Control!$B$3,0)</f>
        <v>0</v>
      </c>
      <c r="X61">
        <f>IF(AND(COUNTIF(Control!$E$20:$E$100,$B61)=0,COUNTIF(Control!$E$20:$E$100,X$2)=0),VISUM_Arterial_OD!X61*Control!$B$3,0)</f>
        <v>0</v>
      </c>
      <c r="Y61">
        <f>IF(AND(COUNTIF(Control!$E$20:$E$100,$B61)=0,COUNTIF(Control!$E$20:$E$100,Y$2)=0),VISUM_Arterial_OD!Y61*Control!$B$3,0)</f>
        <v>1.31259405</v>
      </c>
      <c r="Z61">
        <f>IF(AND(COUNTIF(Control!$E$20:$E$100,$B61)=0,COUNTIF(Control!$E$20:$E$100,Z$2)=0),VISUM_Arterial_OD!Z61*Control!$B$3,0)</f>
        <v>0</v>
      </c>
      <c r="AA61">
        <f>IF(AND(COUNTIF(Control!$E$20:$E$100,$B61)=0,COUNTIF(Control!$E$20:$E$100,AA$2)=0),VISUM_Arterial_OD!AA61*Control!$B$3,0)</f>
        <v>0</v>
      </c>
      <c r="AB61">
        <f>IF(AND(COUNTIF(Control!$E$20:$E$100,$B61)=0,COUNTIF(Control!$E$20:$E$100,AB$2)=0),VISUM_Arterial_OD!AB61*Control!$B$3,0)</f>
        <v>0</v>
      </c>
      <c r="AC61">
        <f>IF(AND(COUNTIF(Control!$E$20:$E$100,$B61)=0,COUNTIF(Control!$E$20:$E$100,AC$2)=0),VISUM_Arterial_OD!AC61*Control!$B$3,0)</f>
        <v>0</v>
      </c>
      <c r="AD61">
        <f>IF(AND(COUNTIF(Control!$E$20:$E$100,$B61)=0,COUNTIF(Control!$E$20:$E$100,AD$2)=0),VISUM_Arterial_OD!AD61*Control!$B$3,0)</f>
        <v>7.7854259999999995E-2</v>
      </c>
      <c r="AE61">
        <f>IF(AND(COUNTIF(Control!$E$20:$E$100,$B61)=0,COUNTIF(Control!$E$20:$E$100,AE$2)=0),VISUM_Arterial_OD!AE61*Control!$B$3,0)</f>
        <v>0.16278794999999999</v>
      </c>
      <c r="AF61">
        <f>IF(AND(COUNTIF(Control!$E$20:$E$100,$B61)=0,COUNTIF(Control!$E$20:$E$100,AF$2)=0),VISUM_Arterial_OD!AF61*Control!$B$3,0)</f>
        <v>0</v>
      </c>
      <c r="AG61">
        <f>IF(AND(COUNTIF(Control!$E$20:$E$100,$B61)=0,COUNTIF(Control!$E$20:$E$100,AG$2)=0),VISUM_Arterial_OD!AG61*Control!$B$3,0)</f>
        <v>0</v>
      </c>
      <c r="AH61">
        <f>IF(AND(COUNTIF(Control!$E$20:$E$100,$B61)=0,COUNTIF(Control!$E$20:$E$100,AH$2)=0),VISUM_Arterial_OD!AH61*Control!$B$3,0)</f>
        <v>0</v>
      </c>
      <c r="AI61">
        <f>IF(AND(COUNTIF(Control!$E$20:$E$100,$B61)=0,COUNTIF(Control!$E$20:$E$100,AI$2)=0),VISUM_Arterial_OD!AI61*Control!$B$3,0)</f>
        <v>0</v>
      </c>
      <c r="AJ61">
        <f>IF(AND(COUNTIF(Control!$E$20:$E$100,$B61)=0,COUNTIF(Control!$E$20:$E$100,AJ$2)=0),VISUM_Arterial_OD!AJ61*Control!$B$3,0)</f>
        <v>0</v>
      </c>
      <c r="AK61">
        <f>IF(AND(COUNTIF(Control!$E$20:$E$100,$B61)=0,COUNTIF(Control!$E$20:$E$100,AK$2)=0),VISUM_Arterial_OD!AK61*Control!$B$3,0)</f>
        <v>0</v>
      </c>
      <c r="AL61">
        <f>IF(AND(COUNTIF(Control!$E$20:$E$100,$B61)=0,COUNTIF(Control!$E$20:$E$100,AL$2)=0),VISUM_Arterial_OD!AL61*Control!$B$3,0)</f>
        <v>0</v>
      </c>
      <c r="AM61">
        <f>IF(AND(COUNTIF(Control!$E$20:$E$100,$B61)=0,COUNTIF(Control!$E$20:$E$100,AM$2)=0),VISUM_Arterial_OD!AM61*Control!$B$3,0)</f>
        <v>0</v>
      </c>
      <c r="AN61">
        <f>IF(AND(COUNTIF(Control!$E$20:$E$100,$B61)=0,COUNTIF(Control!$E$20:$E$100,AN$2)=0),VISUM_Arterial_OD!AN61*Control!$B$3,0)</f>
        <v>0</v>
      </c>
      <c r="AO61">
        <f>IF(AND(COUNTIF(Control!$E$20:$E$100,$B61)=0,COUNTIF(Control!$E$20:$E$100,AO$2)=0),VISUM_Arterial_OD!AO61*Control!$B$3,0)</f>
        <v>0</v>
      </c>
      <c r="AP61">
        <f>IF(AND(COUNTIF(Control!$E$20:$E$100,$B61)=0,COUNTIF(Control!$E$20:$E$100,AP$2)=0),VISUM_Arterial_OD!AP61*Control!$B$3,0)</f>
        <v>0</v>
      </c>
      <c r="AQ61">
        <f>IF(AND(COUNTIF(Control!$E$20:$E$100,$B61)=0,COUNTIF(Control!$E$20:$E$100,AQ$2)=0),VISUM_Arterial_OD!AQ61*Control!$B$3,0)</f>
        <v>0</v>
      </c>
      <c r="AR61">
        <f>IF(AND(COUNTIF(Control!$E$20:$E$100,$B61)=0,COUNTIF(Control!$E$20:$E$100,AR$2)=0),VISUM_Arterial_OD!AR61*Control!$B$3,0)</f>
        <v>0</v>
      </c>
      <c r="AS61">
        <f>IF(AND(COUNTIF(Control!$E$20:$E$100,$B61)=0,COUNTIF(Control!$E$20:$E$100,AS$2)=0),VISUM_Arterial_OD!AS61*Control!$B$3,0)</f>
        <v>0</v>
      </c>
      <c r="AT61">
        <f>IF(AND(COUNTIF(Control!$E$20:$E$100,$B61)=0,COUNTIF(Control!$E$20:$E$100,AT$2)=0),VISUM_Arterial_OD!AT61*Control!$B$3,0)</f>
        <v>0</v>
      </c>
      <c r="AU61">
        <f>IF(AND(COUNTIF(Control!$E$20:$E$100,$B61)=0,COUNTIF(Control!$E$20:$E$100,AU$2)=0),VISUM_Arterial_OD!AU61*Control!$B$3,0)</f>
        <v>0</v>
      </c>
      <c r="AV61">
        <f>IF(AND(COUNTIF(Control!$E$20:$E$100,$B61)=0,COUNTIF(Control!$E$20:$E$100,AV$2)=0),VISUM_Arterial_OD!AV61*Control!$B$3,0)</f>
        <v>0</v>
      </c>
      <c r="AW61">
        <f>IF(AND(COUNTIF(Control!$E$20:$E$100,$B61)=0,COUNTIF(Control!$E$20:$E$100,AW$2)=0),VISUM_Arterial_OD!AW61*Control!$B$3,0)</f>
        <v>0</v>
      </c>
      <c r="AX61">
        <f>IF(AND(COUNTIF(Control!$E$20:$E$100,$B61)=0,COUNTIF(Control!$E$20:$E$100,AX$2)=0),VISUM_Arterial_OD!AX61*Control!$B$3,0)</f>
        <v>0</v>
      </c>
      <c r="AY61">
        <f>IF(AND(COUNTIF(Control!$E$20:$E$100,$B61)=0,COUNTIF(Control!$E$20:$E$100,AY$2)=0),VISUM_Arterial_OD!AY61*Control!$B$3,0)</f>
        <v>0</v>
      </c>
      <c r="AZ61">
        <f>IF(AND(COUNTIF(Control!$E$20:$E$100,$B61)=0,COUNTIF(Control!$E$20:$E$100,AZ$2)=0),VISUM_Arterial_OD!AZ61*Control!$B$3,0)</f>
        <v>0</v>
      </c>
      <c r="BA61">
        <f>IF(AND(COUNTIF(Control!$E$20:$E$100,$B61)=0,COUNTIF(Control!$E$20:$E$100,BA$2)=0),VISUM_Arterial_OD!BA61*Control!$B$3,0)</f>
        <v>0</v>
      </c>
      <c r="BB61">
        <f>IF(AND(COUNTIF(Control!$E$20:$E$100,$B61)=0,COUNTIF(Control!$E$20:$E$100,BB$2)=0),VISUM_Arterial_OD!BB61*Control!$B$3,0)</f>
        <v>0</v>
      </c>
      <c r="BC61">
        <f>IF(AND(COUNTIF(Control!$E$20:$E$100,$B61)=0,COUNTIF(Control!$E$20:$E$100,BC$2)=0),VISUM_Arterial_OD!BC61*Control!$B$3,0)</f>
        <v>0</v>
      </c>
      <c r="BD61">
        <f>IF(AND(COUNTIF(Control!$E$20:$E$100,$B61)=0,COUNTIF(Control!$E$20:$E$100,BD$2)=0),VISUM_Arterial_OD!BD61*Control!$B$3,0)</f>
        <v>0</v>
      </c>
      <c r="BE61">
        <f>IF(AND(COUNTIF(Control!$E$20:$E$100,$B61)=0,COUNTIF(Control!$E$20:$E$100,BE$2)=0),VISUM_Arterial_OD!BE61*Control!$B$3,0)</f>
        <v>0</v>
      </c>
      <c r="BF61">
        <f>IF(AND(COUNTIF(Control!$E$20:$E$100,$B61)=0,COUNTIF(Control!$E$20:$E$100,BF$2)=0),VISUM_Arterial_OD!BF61*Control!$B$3,0)</f>
        <v>0</v>
      </c>
      <c r="BG61">
        <f>IF(AND(COUNTIF(Control!$E$20:$E$100,$B61)=0,COUNTIF(Control!$E$20:$E$100,BG$2)=0),VISUM_Arterial_OD!BG61*Control!$B$3,0)</f>
        <v>0.59554392</v>
      </c>
      <c r="BH61">
        <f>IF(AND(COUNTIF(Control!$E$20:$E$100,$B61)=0,COUNTIF(Control!$E$20:$E$100,BH$2)=0),VISUM_Arterial_OD!BH61*Control!$B$3,0)</f>
        <v>0</v>
      </c>
      <c r="BI61">
        <f>IF(AND(COUNTIF(Control!$E$20:$E$100,$B61)=0,COUNTIF(Control!$E$20:$E$100,BI$2)=0),VISUM_Arterial_OD!BI61*Control!$B$3,0)</f>
        <v>0</v>
      </c>
      <c r="BJ61">
        <f>IF(AND(COUNTIF(Control!$E$20:$E$100,$B61)=0,COUNTIF(Control!$E$20:$E$100,BJ$2)=0),VISUM_Arterial_OD!BJ61*Control!$B$3,0)</f>
        <v>0</v>
      </c>
      <c r="BK61">
        <f>IF(AND(COUNTIF(Control!$E$20:$E$100,$B61)=0,COUNTIF(Control!$E$20:$E$100,BK$2)=0),VISUM_Arterial_OD!BK61*Control!$B$3,0)</f>
        <v>0</v>
      </c>
      <c r="BL61">
        <f>IF(AND(COUNTIF(Control!$E$20:$E$100,$B61)=0,COUNTIF(Control!$E$20:$E$100,BL$2)=0),VISUM_Arterial_OD!BL61*Control!$B$3,0)</f>
        <v>0</v>
      </c>
      <c r="BM61">
        <f>IF(AND(COUNTIF(Control!$E$20:$E$100,$B61)=0,COUNTIF(Control!$E$20:$E$100,BM$2)=0),VISUM_Arterial_OD!BM61*Control!$B$3,0)</f>
        <v>0</v>
      </c>
      <c r="BN61">
        <f>IF(AND(COUNTIF(Control!$E$20:$E$100,$B61)=0,COUNTIF(Control!$E$20:$E$100,BN$2)=0),VISUM_Arterial_OD!BN61*Control!$B$3,0)</f>
        <v>0</v>
      </c>
      <c r="BO61">
        <f>IF(AND(COUNTIF(Control!$E$20:$E$100,$B61)=0,COUNTIF(Control!$E$20:$E$100,BO$2)=0),VISUM_Arterial_OD!BO61*Control!$B$3,0)</f>
        <v>0</v>
      </c>
      <c r="BP61">
        <f>IF(AND(COUNTIF(Control!$E$20:$E$100,$B61)=0,COUNTIF(Control!$E$20:$E$100,BP$2)=0),VISUM_Arterial_OD!BP61*Control!$B$3,0)</f>
        <v>0</v>
      </c>
      <c r="BQ61">
        <f>IF(AND(COUNTIF(Control!$E$20:$E$100,$B61)=0,COUNTIF(Control!$E$20:$E$100,BQ$2)=0),VISUM_Arterial_OD!BQ61*Control!$B$3,0)</f>
        <v>0</v>
      </c>
    </row>
    <row r="62" spans="1:69" x14ac:dyDescent="0.25">
      <c r="A62" s="5">
        <f>IF(VLOOKUP(B62,Arterial_Zone_Link_Mapping!$A:$C,2,FALSE)&lt;&gt;"",VLOOKUP(B62,Arterial_Zone_Link_Mapping!$A:$C,2,FALSE),"")</f>
        <v>348</v>
      </c>
      <c r="B62" s="5">
        <v>84</v>
      </c>
      <c r="C62">
        <f>IF(AND(COUNTIF(Control!$E$20:$E$100,$B62)=0,COUNTIF(Control!$E$20:$E$100,C$2)=0),VISUM_Arterial_OD!C62*Control!$B$3,0)</f>
        <v>0</v>
      </c>
      <c r="D62">
        <f>IF(AND(COUNTIF(Control!$E$20:$E$100,$B62)=0,COUNTIF(Control!$E$20:$E$100,D$2)=0),VISUM_Arterial_OD!D62*Control!$B$3,0)</f>
        <v>0</v>
      </c>
      <c r="E62">
        <f>IF(AND(COUNTIF(Control!$E$20:$E$100,$B62)=0,COUNTIF(Control!$E$20:$E$100,E$2)=0),VISUM_Arterial_OD!E62*Control!$B$3,0)</f>
        <v>0</v>
      </c>
      <c r="F62">
        <f>IF(AND(COUNTIF(Control!$E$20:$E$100,$B62)=0,COUNTIF(Control!$E$20:$E$100,F$2)=0),VISUM_Arterial_OD!F62*Control!$B$3,0)</f>
        <v>0</v>
      </c>
      <c r="G62">
        <f>IF(AND(COUNTIF(Control!$E$20:$E$100,$B62)=0,COUNTIF(Control!$E$20:$E$100,G$2)=0),VISUM_Arterial_OD!G62*Control!$B$3,0)</f>
        <v>0</v>
      </c>
      <c r="H62">
        <f>IF(AND(COUNTIF(Control!$E$20:$E$100,$B62)=0,COUNTIF(Control!$E$20:$E$100,H$2)=0),VISUM_Arterial_OD!H62*Control!$B$3,0)</f>
        <v>1.6885603499999999</v>
      </c>
      <c r="I62">
        <f>IF(AND(COUNTIF(Control!$E$20:$E$100,$B62)=0,COUNTIF(Control!$E$20:$E$100,I$2)=0),VISUM_Arterial_OD!I62*Control!$B$3,0)</f>
        <v>1.7264562299999999</v>
      </c>
      <c r="J62">
        <f>IF(AND(COUNTIF(Control!$E$20:$E$100,$B62)=0,COUNTIF(Control!$E$20:$E$100,J$2)=0),VISUM_Arterial_OD!J62*Control!$B$3,0)</f>
        <v>0</v>
      </c>
      <c r="K62">
        <f>IF(AND(COUNTIF(Control!$E$20:$E$100,$B62)=0,COUNTIF(Control!$E$20:$E$100,K$2)=0),VISUM_Arterial_OD!K62*Control!$B$3,0)</f>
        <v>0</v>
      </c>
      <c r="L62">
        <f>IF(AND(COUNTIF(Control!$E$20:$E$100,$B62)=0,COUNTIF(Control!$E$20:$E$100,L$2)=0),VISUM_Arterial_OD!L62*Control!$B$3,0)</f>
        <v>0</v>
      </c>
      <c r="M62">
        <f>IF(AND(COUNTIF(Control!$E$20:$E$100,$B62)=0,COUNTIF(Control!$E$20:$E$100,M$2)=0),VISUM_Arterial_OD!M62*Control!$B$3,0)</f>
        <v>0</v>
      </c>
      <c r="N62">
        <f>IF(AND(COUNTIF(Control!$E$20:$E$100,$B62)=0,COUNTIF(Control!$E$20:$E$100,N$2)=0),VISUM_Arterial_OD!N62*Control!$B$3,0)</f>
        <v>0</v>
      </c>
      <c r="O62">
        <f>IF(AND(COUNTIF(Control!$E$20:$E$100,$B62)=0,COUNTIF(Control!$E$20:$E$100,O$2)=0),VISUM_Arterial_OD!O62*Control!$B$3,0)</f>
        <v>0</v>
      </c>
      <c r="P62">
        <f>IF(AND(COUNTIF(Control!$E$20:$E$100,$B62)=0,COUNTIF(Control!$E$20:$E$100,P$2)=0),VISUM_Arterial_OD!P62*Control!$B$3,0)</f>
        <v>0</v>
      </c>
      <c r="Q62">
        <f>IF(AND(COUNTIF(Control!$E$20:$E$100,$B62)=0,COUNTIF(Control!$E$20:$E$100,Q$2)=0),VISUM_Arterial_OD!Q62*Control!$B$3,0)</f>
        <v>0</v>
      </c>
      <c r="R62">
        <f>IF(AND(COUNTIF(Control!$E$20:$E$100,$B62)=0,COUNTIF(Control!$E$20:$E$100,R$2)=0),VISUM_Arterial_OD!R62*Control!$B$3,0)</f>
        <v>0</v>
      </c>
      <c r="S62">
        <f>IF(AND(COUNTIF(Control!$E$20:$E$100,$B62)=0,COUNTIF(Control!$E$20:$E$100,S$2)=0),VISUM_Arterial_OD!S62*Control!$B$3,0)</f>
        <v>0</v>
      </c>
      <c r="T62">
        <f>IF(AND(COUNTIF(Control!$E$20:$E$100,$B62)=0,COUNTIF(Control!$E$20:$E$100,T$2)=0),VISUM_Arterial_OD!T62*Control!$B$3,0)</f>
        <v>0</v>
      </c>
      <c r="U62">
        <f>IF(AND(COUNTIF(Control!$E$20:$E$100,$B62)=0,COUNTIF(Control!$E$20:$E$100,U$2)=0),VISUM_Arterial_OD!U62*Control!$B$3,0)</f>
        <v>0</v>
      </c>
      <c r="V62">
        <f>IF(AND(COUNTIF(Control!$E$20:$E$100,$B62)=0,COUNTIF(Control!$E$20:$E$100,V$2)=0),VISUM_Arterial_OD!V62*Control!$B$3,0)</f>
        <v>0</v>
      </c>
      <c r="W62">
        <f>IF(AND(COUNTIF(Control!$E$20:$E$100,$B62)=0,COUNTIF(Control!$E$20:$E$100,W$2)=0),VISUM_Arterial_OD!W62*Control!$B$3,0)</f>
        <v>0</v>
      </c>
      <c r="X62">
        <f>IF(AND(COUNTIF(Control!$E$20:$E$100,$B62)=0,COUNTIF(Control!$E$20:$E$100,X$2)=0),VISUM_Arterial_OD!X62*Control!$B$3,0)</f>
        <v>0</v>
      </c>
      <c r="Y62">
        <f>IF(AND(COUNTIF(Control!$E$20:$E$100,$B62)=0,COUNTIF(Control!$E$20:$E$100,Y$2)=0),VISUM_Arterial_OD!Y62*Control!$B$3,0)</f>
        <v>0</v>
      </c>
      <c r="Z62">
        <f>IF(AND(COUNTIF(Control!$E$20:$E$100,$B62)=0,COUNTIF(Control!$E$20:$E$100,Z$2)=0),VISUM_Arterial_OD!Z62*Control!$B$3,0)</f>
        <v>0</v>
      </c>
      <c r="AA62">
        <f>IF(AND(COUNTIF(Control!$E$20:$E$100,$B62)=0,COUNTIF(Control!$E$20:$E$100,AA$2)=0),VISUM_Arterial_OD!AA62*Control!$B$3,0)</f>
        <v>0</v>
      </c>
      <c r="AB62">
        <f>IF(AND(COUNTIF(Control!$E$20:$E$100,$B62)=0,COUNTIF(Control!$E$20:$E$100,AB$2)=0),VISUM_Arterial_OD!AB62*Control!$B$3,0)</f>
        <v>0</v>
      </c>
      <c r="AC62">
        <f>IF(AND(COUNTIF(Control!$E$20:$E$100,$B62)=0,COUNTIF(Control!$E$20:$E$100,AC$2)=0),VISUM_Arterial_OD!AC62*Control!$B$3,0)</f>
        <v>0</v>
      </c>
      <c r="AD62">
        <f>IF(AND(COUNTIF(Control!$E$20:$E$100,$B62)=0,COUNTIF(Control!$E$20:$E$100,AD$2)=0),VISUM_Arterial_OD!AD62*Control!$B$3,0)</f>
        <v>0</v>
      </c>
      <c r="AE62">
        <f>IF(AND(COUNTIF(Control!$E$20:$E$100,$B62)=0,COUNTIF(Control!$E$20:$E$100,AE$2)=0),VISUM_Arterial_OD!AE62*Control!$B$3,0)</f>
        <v>0</v>
      </c>
      <c r="AF62">
        <f>IF(AND(COUNTIF(Control!$E$20:$E$100,$B62)=0,COUNTIF(Control!$E$20:$E$100,AF$2)=0),VISUM_Arterial_OD!AF62*Control!$B$3,0)</f>
        <v>0</v>
      </c>
      <c r="AG62">
        <f>IF(AND(COUNTIF(Control!$E$20:$E$100,$B62)=0,COUNTIF(Control!$E$20:$E$100,AG$2)=0),VISUM_Arterial_OD!AG62*Control!$B$3,0)</f>
        <v>0</v>
      </c>
      <c r="AH62">
        <f>IF(AND(COUNTIF(Control!$E$20:$E$100,$B62)=0,COUNTIF(Control!$E$20:$E$100,AH$2)=0),VISUM_Arterial_OD!AH62*Control!$B$3,0)</f>
        <v>0</v>
      </c>
      <c r="AI62">
        <f>IF(AND(COUNTIF(Control!$E$20:$E$100,$B62)=0,COUNTIF(Control!$E$20:$E$100,AI$2)=0),VISUM_Arterial_OD!AI62*Control!$B$3,0)</f>
        <v>0</v>
      </c>
      <c r="AJ62">
        <f>IF(AND(COUNTIF(Control!$E$20:$E$100,$B62)=0,COUNTIF(Control!$E$20:$E$100,AJ$2)=0),VISUM_Arterial_OD!AJ62*Control!$B$3,0)</f>
        <v>0</v>
      </c>
      <c r="AK62">
        <f>IF(AND(COUNTIF(Control!$E$20:$E$100,$B62)=0,COUNTIF(Control!$E$20:$E$100,AK$2)=0),VISUM_Arterial_OD!AK62*Control!$B$3,0)</f>
        <v>0</v>
      </c>
      <c r="AL62">
        <f>IF(AND(COUNTIF(Control!$E$20:$E$100,$B62)=0,COUNTIF(Control!$E$20:$E$100,AL$2)=0),VISUM_Arterial_OD!AL62*Control!$B$3,0)</f>
        <v>0</v>
      </c>
      <c r="AM62">
        <f>IF(AND(COUNTIF(Control!$E$20:$E$100,$B62)=0,COUNTIF(Control!$E$20:$E$100,AM$2)=0),VISUM_Arterial_OD!AM62*Control!$B$3,0)</f>
        <v>0</v>
      </c>
      <c r="AN62">
        <f>IF(AND(COUNTIF(Control!$E$20:$E$100,$B62)=0,COUNTIF(Control!$E$20:$E$100,AN$2)=0),VISUM_Arterial_OD!AN62*Control!$B$3,0)</f>
        <v>0</v>
      </c>
      <c r="AO62">
        <f>IF(AND(COUNTIF(Control!$E$20:$E$100,$B62)=0,COUNTIF(Control!$E$20:$E$100,AO$2)=0),VISUM_Arterial_OD!AO62*Control!$B$3,0)</f>
        <v>0</v>
      </c>
      <c r="AP62">
        <f>IF(AND(COUNTIF(Control!$E$20:$E$100,$B62)=0,COUNTIF(Control!$E$20:$E$100,AP$2)=0),VISUM_Arterial_OD!AP62*Control!$B$3,0)</f>
        <v>0</v>
      </c>
      <c r="AQ62">
        <f>IF(AND(COUNTIF(Control!$E$20:$E$100,$B62)=0,COUNTIF(Control!$E$20:$E$100,AQ$2)=0),VISUM_Arterial_OD!AQ62*Control!$B$3,0)</f>
        <v>0</v>
      </c>
      <c r="AR62">
        <f>IF(AND(COUNTIF(Control!$E$20:$E$100,$B62)=0,COUNTIF(Control!$E$20:$E$100,AR$2)=0),VISUM_Arterial_OD!AR62*Control!$B$3,0)</f>
        <v>0</v>
      </c>
      <c r="AS62">
        <f>IF(AND(COUNTIF(Control!$E$20:$E$100,$B62)=0,COUNTIF(Control!$E$20:$E$100,AS$2)=0),VISUM_Arterial_OD!AS62*Control!$B$3,0)</f>
        <v>0</v>
      </c>
      <c r="AT62">
        <f>IF(AND(COUNTIF(Control!$E$20:$E$100,$B62)=0,COUNTIF(Control!$E$20:$E$100,AT$2)=0),VISUM_Arterial_OD!AT62*Control!$B$3,0)</f>
        <v>0</v>
      </c>
      <c r="AU62">
        <f>IF(AND(COUNTIF(Control!$E$20:$E$100,$B62)=0,COUNTIF(Control!$E$20:$E$100,AU$2)=0),VISUM_Arterial_OD!AU62*Control!$B$3,0)</f>
        <v>0</v>
      </c>
      <c r="AV62">
        <f>IF(AND(COUNTIF(Control!$E$20:$E$100,$B62)=0,COUNTIF(Control!$E$20:$E$100,AV$2)=0),VISUM_Arterial_OD!AV62*Control!$B$3,0)</f>
        <v>0</v>
      </c>
      <c r="AW62">
        <f>IF(AND(COUNTIF(Control!$E$20:$E$100,$B62)=0,COUNTIF(Control!$E$20:$E$100,AW$2)=0),VISUM_Arterial_OD!AW62*Control!$B$3,0)</f>
        <v>0</v>
      </c>
      <c r="AX62">
        <f>IF(AND(COUNTIF(Control!$E$20:$E$100,$B62)=0,COUNTIF(Control!$E$20:$E$100,AX$2)=0),VISUM_Arterial_OD!AX62*Control!$B$3,0)</f>
        <v>0</v>
      </c>
      <c r="AY62">
        <f>IF(AND(COUNTIF(Control!$E$20:$E$100,$B62)=0,COUNTIF(Control!$E$20:$E$100,AY$2)=0),VISUM_Arterial_OD!AY62*Control!$B$3,0)</f>
        <v>0</v>
      </c>
      <c r="AZ62">
        <f>IF(AND(COUNTIF(Control!$E$20:$E$100,$B62)=0,COUNTIF(Control!$E$20:$E$100,AZ$2)=0),VISUM_Arterial_OD!AZ62*Control!$B$3,0)</f>
        <v>0</v>
      </c>
      <c r="BA62">
        <f>IF(AND(COUNTIF(Control!$E$20:$E$100,$B62)=0,COUNTIF(Control!$E$20:$E$100,BA$2)=0),VISUM_Arterial_OD!BA62*Control!$B$3,0)</f>
        <v>0</v>
      </c>
      <c r="BB62">
        <f>IF(AND(COUNTIF(Control!$E$20:$E$100,$B62)=0,COUNTIF(Control!$E$20:$E$100,BB$2)=0),VISUM_Arterial_OD!BB62*Control!$B$3,0)</f>
        <v>0</v>
      </c>
      <c r="BC62">
        <f>IF(AND(COUNTIF(Control!$E$20:$E$100,$B62)=0,COUNTIF(Control!$E$20:$E$100,BC$2)=0),VISUM_Arterial_OD!BC62*Control!$B$3,0)</f>
        <v>0</v>
      </c>
      <c r="BD62">
        <f>IF(AND(COUNTIF(Control!$E$20:$E$100,$B62)=0,COUNTIF(Control!$E$20:$E$100,BD$2)=0),VISUM_Arterial_OD!BD62*Control!$B$3,0)</f>
        <v>0</v>
      </c>
      <c r="BE62">
        <f>IF(AND(COUNTIF(Control!$E$20:$E$100,$B62)=0,COUNTIF(Control!$E$20:$E$100,BE$2)=0),VISUM_Arterial_OD!BE62*Control!$B$3,0)</f>
        <v>0</v>
      </c>
      <c r="BF62">
        <f>IF(AND(COUNTIF(Control!$E$20:$E$100,$B62)=0,COUNTIF(Control!$E$20:$E$100,BF$2)=0),VISUM_Arterial_OD!BF62*Control!$B$3,0)</f>
        <v>0</v>
      </c>
      <c r="BG62">
        <f>IF(AND(COUNTIF(Control!$E$20:$E$100,$B62)=0,COUNTIF(Control!$E$20:$E$100,BG$2)=0),VISUM_Arterial_OD!BG62*Control!$B$3,0)</f>
        <v>0</v>
      </c>
      <c r="BH62">
        <f>IF(AND(COUNTIF(Control!$E$20:$E$100,$B62)=0,COUNTIF(Control!$E$20:$E$100,BH$2)=0),VISUM_Arterial_OD!BH62*Control!$B$3,0)</f>
        <v>0</v>
      </c>
      <c r="BI62">
        <f>IF(AND(COUNTIF(Control!$E$20:$E$100,$B62)=0,COUNTIF(Control!$E$20:$E$100,BI$2)=0),VISUM_Arterial_OD!BI62*Control!$B$3,0)</f>
        <v>0</v>
      </c>
      <c r="BJ62">
        <f>IF(AND(COUNTIF(Control!$E$20:$E$100,$B62)=0,COUNTIF(Control!$E$20:$E$100,BJ$2)=0),VISUM_Arterial_OD!BJ62*Control!$B$3,0)</f>
        <v>0</v>
      </c>
      <c r="BK62">
        <f>IF(AND(COUNTIF(Control!$E$20:$E$100,$B62)=0,COUNTIF(Control!$E$20:$E$100,BK$2)=0),VISUM_Arterial_OD!BK62*Control!$B$3,0)</f>
        <v>0.88797917999999998</v>
      </c>
      <c r="BL62">
        <f>IF(AND(COUNTIF(Control!$E$20:$E$100,$B62)=0,COUNTIF(Control!$E$20:$E$100,BL$2)=0),VISUM_Arterial_OD!BL62*Control!$B$3,0)</f>
        <v>0.23999435999999999</v>
      </c>
      <c r="BM62">
        <f>IF(AND(COUNTIF(Control!$E$20:$E$100,$B62)=0,COUNTIF(Control!$E$20:$E$100,BM$2)=0),VISUM_Arterial_OD!BM62*Control!$B$3,0)</f>
        <v>3.0359459999999998E-2</v>
      </c>
      <c r="BN62">
        <f>IF(AND(COUNTIF(Control!$E$20:$E$100,$B62)=0,COUNTIF(Control!$E$20:$E$100,BN$2)=0),VISUM_Arterial_OD!BN62*Control!$B$3,0)</f>
        <v>3.0719607599999996</v>
      </c>
      <c r="BO62">
        <f>IF(AND(COUNTIF(Control!$E$20:$E$100,$B62)=0,COUNTIF(Control!$E$20:$E$100,BO$2)=0),VISUM_Arterial_OD!BO62*Control!$B$3,0)</f>
        <v>0</v>
      </c>
      <c r="BP62">
        <f>IF(AND(COUNTIF(Control!$E$20:$E$100,$B62)=0,COUNTIF(Control!$E$20:$E$100,BP$2)=0),VISUM_Arterial_OD!BP62*Control!$B$3,0)</f>
        <v>0</v>
      </c>
      <c r="BQ62">
        <f>IF(AND(COUNTIF(Control!$E$20:$E$100,$B62)=0,COUNTIF(Control!$E$20:$E$100,BQ$2)=0),VISUM_Arterial_OD!BQ62*Control!$B$3,0)</f>
        <v>0</v>
      </c>
    </row>
    <row r="63" spans="1:69" x14ac:dyDescent="0.25">
      <c r="A63" s="5">
        <f>IF(VLOOKUP(B63,Arterial_Zone_Link_Mapping!$A:$C,2,FALSE)&lt;&gt;"",VLOOKUP(B63,Arterial_Zone_Link_Mapping!$A:$C,2,FALSE),"")</f>
        <v>125</v>
      </c>
      <c r="B63" s="5">
        <v>85</v>
      </c>
      <c r="C63">
        <f>IF(AND(COUNTIF(Control!$E$20:$E$100,$B63)=0,COUNTIF(Control!$E$20:$E$100,C$2)=0),VISUM_Arterial_OD!C63*Control!$B$3,0)</f>
        <v>0</v>
      </c>
      <c r="D63">
        <f>IF(AND(COUNTIF(Control!$E$20:$E$100,$B63)=0,COUNTIF(Control!$E$20:$E$100,D$2)=0),VISUM_Arterial_OD!D63*Control!$B$3,0)</f>
        <v>0</v>
      </c>
      <c r="E63">
        <f>IF(AND(COUNTIF(Control!$E$20:$E$100,$B63)=0,COUNTIF(Control!$E$20:$E$100,E$2)=0),VISUM_Arterial_OD!E63*Control!$B$3,0)</f>
        <v>0</v>
      </c>
      <c r="F63">
        <f>IF(AND(COUNTIF(Control!$E$20:$E$100,$B63)=0,COUNTIF(Control!$E$20:$E$100,F$2)=0),VISUM_Arterial_OD!F63*Control!$B$3,0)</f>
        <v>0</v>
      </c>
      <c r="G63">
        <f>IF(AND(COUNTIF(Control!$E$20:$E$100,$B63)=0,COUNTIF(Control!$E$20:$E$100,G$2)=0),VISUM_Arterial_OD!G63*Control!$B$3,0)</f>
        <v>0</v>
      </c>
      <c r="H63">
        <f>IF(AND(COUNTIF(Control!$E$20:$E$100,$B63)=0,COUNTIF(Control!$E$20:$E$100,H$2)=0),VISUM_Arterial_OD!H63*Control!$B$3,0)</f>
        <v>5.527953E-2</v>
      </c>
      <c r="I63">
        <f>IF(AND(COUNTIF(Control!$E$20:$E$100,$B63)=0,COUNTIF(Control!$E$20:$E$100,I$2)=0),VISUM_Arterial_OD!I63*Control!$B$3,0)</f>
        <v>5.6520180000000003E-2</v>
      </c>
      <c r="J63">
        <f>IF(AND(COUNTIF(Control!$E$20:$E$100,$B63)=0,COUNTIF(Control!$E$20:$E$100,J$2)=0),VISUM_Arterial_OD!J63*Control!$B$3,0)</f>
        <v>0</v>
      </c>
      <c r="K63">
        <f>IF(AND(COUNTIF(Control!$E$20:$E$100,$B63)=0,COUNTIF(Control!$E$20:$E$100,K$2)=0),VISUM_Arterial_OD!K63*Control!$B$3,0)</f>
        <v>0</v>
      </c>
      <c r="L63">
        <f>IF(AND(COUNTIF(Control!$E$20:$E$100,$B63)=0,COUNTIF(Control!$E$20:$E$100,L$2)=0),VISUM_Arterial_OD!L63*Control!$B$3,0)</f>
        <v>0</v>
      </c>
      <c r="M63">
        <f>IF(AND(COUNTIF(Control!$E$20:$E$100,$B63)=0,COUNTIF(Control!$E$20:$E$100,M$2)=0),VISUM_Arterial_OD!M63*Control!$B$3,0)</f>
        <v>0</v>
      </c>
      <c r="N63">
        <f>IF(AND(COUNTIF(Control!$E$20:$E$100,$B63)=0,COUNTIF(Control!$E$20:$E$100,N$2)=0),VISUM_Arterial_OD!N63*Control!$B$3,0)</f>
        <v>0</v>
      </c>
      <c r="O63">
        <f>IF(AND(COUNTIF(Control!$E$20:$E$100,$B63)=0,COUNTIF(Control!$E$20:$E$100,O$2)=0),VISUM_Arterial_OD!O63*Control!$B$3,0)</f>
        <v>0</v>
      </c>
      <c r="P63">
        <f>IF(AND(COUNTIF(Control!$E$20:$E$100,$B63)=0,COUNTIF(Control!$E$20:$E$100,P$2)=0),VISUM_Arterial_OD!P63*Control!$B$3,0)</f>
        <v>0</v>
      </c>
      <c r="Q63">
        <f>IF(AND(COUNTIF(Control!$E$20:$E$100,$B63)=0,COUNTIF(Control!$E$20:$E$100,Q$2)=0),VISUM_Arterial_OD!Q63*Control!$B$3,0)</f>
        <v>0</v>
      </c>
      <c r="R63">
        <f>IF(AND(COUNTIF(Control!$E$20:$E$100,$B63)=0,COUNTIF(Control!$E$20:$E$100,R$2)=0),VISUM_Arterial_OD!R63*Control!$B$3,0)</f>
        <v>0</v>
      </c>
      <c r="S63">
        <f>IF(AND(COUNTIF(Control!$E$20:$E$100,$B63)=0,COUNTIF(Control!$E$20:$E$100,S$2)=0),VISUM_Arterial_OD!S63*Control!$B$3,0)</f>
        <v>0</v>
      </c>
      <c r="T63">
        <f>IF(AND(COUNTIF(Control!$E$20:$E$100,$B63)=0,COUNTIF(Control!$E$20:$E$100,T$2)=0),VISUM_Arterial_OD!T63*Control!$B$3,0)</f>
        <v>0</v>
      </c>
      <c r="U63">
        <f>IF(AND(COUNTIF(Control!$E$20:$E$100,$B63)=0,COUNTIF(Control!$E$20:$E$100,U$2)=0),VISUM_Arterial_OD!U63*Control!$B$3,0)</f>
        <v>0</v>
      </c>
      <c r="V63">
        <f>IF(AND(COUNTIF(Control!$E$20:$E$100,$B63)=0,COUNTIF(Control!$E$20:$E$100,V$2)=0),VISUM_Arterial_OD!V63*Control!$B$3,0)</f>
        <v>0</v>
      </c>
      <c r="W63">
        <f>IF(AND(COUNTIF(Control!$E$20:$E$100,$B63)=0,COUNTIF(Control!$E$20:$E$100,W$2)=0),VISUM_Arterial_OD!W63*Control!$B$3,0)</f>
        <v>0</v>
      </c>
      <c r="X63">
        <f>IF(AND(COUNTIF(Control!$E$20:$E$100,$B63)=0,COUNTIF(Control!$E$20:$E$100,X$2)=0),VISUM_Arterial_OD!X63*Control!$B$3,0)</f>
        <v>0</v>
      </c>
      <c r="Y63">
        <f>IF(AND(COUNTIF(Control!$E$20:$E$100,$B63)=0,COUNTIF(Control!$E$20:$E$100,Y$2)=0),VISUM_Arterial_OD!Y63*Control!$B$3,0)</f>
        <v>0</v>
      </c>
      <c r="Z63">
        <f>IF(AND(COUNTIF(Control!$E$20:$E$100,$B63)=0,COUNTIF(Control!$E$20:$E$100,Z$2)=0),VISUM_Arterial_OD!Z63*Control!$B$3,0)</f>
        <v>0</v>
      </c>
      <c r="AA63">
        <f>IF(AND(COUNTIF(Control!$E$20:$E$100,$B63)=0,COUNTIF(Control!$E$20:$E$100,AA$2)=0),VISUM_Arterial_OD!AA63*Control!$B$3,0)</f>
        <v>0</v>
      </c>
      <c r="AB63">
        <f>IF(AND(COUNTIF(Control!$E$20:$E$100,$B63)=0,COUNTIF(Control!$E$20:$E$100,AB$2)=0),VISUM_Arterial_OD!AB63*Control!$B$3,0)</f>
        <v>0</v>
      </c>
      <c r="AC63">
        <f>IF(AND(COUNTIF(Control!$E$20:$E$100,$B63)=0,COUNTIF(Control!$E$20:$E$100,AC$2)=0),VISUM_Arterial_OD!AC63*Control!$B$3,0)</f>
        <v>0</v>
      </c>
      <c r="AD63">
        <f>IF(AND(COUNTIF(Control!$E$20:$E$100,$B63)=0,COUNTIF(Control!$E$20:$E$100,AD$2)=0),VISUM_Arterial_OD!AD63*Control!$B$3,0)</f>
        <v>0</v>
      </c>
      <c r="AE63">
        <f>IF(AND(COUNTIF(Control!$E$20:$E$100,$B63)=0,COUNTIF(Control!$E$20:$E$100,AE$2)=0),VISUM_Arterial_OD!AE63*Control!$B$3,0)</f>
        <v>0</v>
      </c>
      <c r="AF63">
        <f>IF(AND(COUNTIF(Control!$E$20:$E$100,$B63)=0,COUNTIF(Control!$E$20:$E$100,AF$2)=0),VISUM_Arterial_OD!AF63*Control!$B$3,0)</f>
        <v>0</v>
      </c>
      <c r="AG63">
        <f>IF(AND(COUNTIF(Control!$E$20:$E$100,$B63)=0,COUNTIF(Control!$E$20:$E$100,AG$2)=0),VISUM_Arterial_OD!AG63*Control!$B$3,0)</f>
        <v>0</v>
      </c>
      <c r="AH63">
        <f>IF(AND(COUNTIF(Control!$E$20:$E$100,$B63)=0,COUNTIF(Control!$E$20:$E$100,AH$2)=0),VISUM_Arterial_OD!AH63*Control!$B$3,0)</f>
        <v>0</v>
      </c>
      <c r="AI63">
        <f>IF(AND(COUNTIF(Control!$E$20:$E$100,$B63)=0,COUNTIF(Control!$E$20:$E$100,AI$2)=0),VISUM_Arterial_OD!AI63*Control!$B$3,0)</f>
        <v>0</v>
      </c>
      <c r="AJ63">
        <f>IF(AND(COUNTIF(Control!$E$20:$E$100,$B63)=0,COUNTIF(Control!$E$20:$E$100,AJ$2)=0),VISUM_Arterial_OD!AJ63*Control!$B$3,0)</f>
        <v>0</v>
      </c>
      <c r="AK63">
        <f>IF(AND(COUNTIF(Control!$E$20:$E$100,$B63)=0,COUNTIF(Control!$E$20:$E$100,AK$2)=0),VISUM_Arterial_OD!AK63*Control!$B$3,0)</f>
        <v>0</v>
      </c>
      <c r="AL63">
        <f>IF(AND(COUNTIF(Control!$E$20:$E$100,$B63)=0,COUNTIF(Control!$E$20:$E$100,AL$2)=0),VISUM_Arterial_OD!AL63*Control!$B$3,0)</f>
        <v>0</v>
      </c>
      <c r="AM63">
        <f>IF(AND(COUNTIF(Control!$E$20:$E$100,$B63)=0,COUNTIF(Control!$E$20:$E$100,AM$2)=0),VISUM_Arterial_OD!AM63*Control!$B$3,0)</f>
        <v>0</v>
      </c>
      <c r="AN63">
        <f>IF(AND(COUNTIF(Control!$E$20:$E$100,$B63)=0,COUNTIF(Control!$E$20:$E$100,AN$2)=0),VISUM_Arterial_OD!AN63*Control!$B$3,0)</f>
        <v>0</v>
      </c>
      <c r="AO63">
        <f>IF(AND(COUNTIF(Control!$E$20:$E$100,$B63)=0,COUNTIF(Control!$E$20:$E$100,AO$2)=0),VISUM_Arterial_OD!AO63*Control!$B$3,0)</f>
        <v>0</v>
      </c>
      <c r="AP63">
        <f>IF(AND(COUNTIF(Control!$E$20:$E$100,$B63)=0,COUNTIF(Control!$E$20:$E$100,AP$2)=0),VISUM_Arterial_OD!AP63*Control!$B$3,0)</f>
        <v>0</v>
      </c>
      <c r="AQ63">
        <f>IF(AND(COUNTIF(Control!$E$20:$E$100,$B63)=0,COUNTIF(Control!$E$20:$E$100,AQ$2)=0),VISUM_Arterial_OD!AQ63*Control!$B$3,0)</f>
        <v>0</v>
      </c>
      <c r="AR63">
        <f>IF(AND(COUNTIF(Control!$E$20:$E$100,$B63)=0,COUNTIF(Control!$E$20:$E$100,AR$2)=0),VISUM_Arterial_OD!AR63*Control!$B$3,0)</f>
        <v>0</v>
      </c>
      <c r="AS63">
        <f>IF(AND(COUNTIF(Control!$E$20:$E$100,$B63)=0,COUNTIF(Control!$E$20:$E$100,AS$2)=0),VISUM_Arterial_OD!AS63*Control!$B$3,0)</f>
        <v>0</v>
      </c>
      <c r="AT63">
        <f>IF(AND(COUNTIF(Control!$E$20:$E$100,$B63)=0,COUNTIF(Control!$E$20:$E$100,AT$2)=0),VISUM_Arterial_OD!AT63*Control!$B$3,0)</f>
        <v>0</v>
      </c>
      <c r="AU63">
        <f>IF(AND(COUNTIF(Control!$E$20:$E$100,$B63)=0,COUNTIF(Control!$E$20:$E$100,AU$2)=0),VISUM_Arterial_OD!AU63*Control!$B$3,0)</f>
        <v>0</v>
      </c>
      <c r="AV63">
        <f>IF(AND(COUNTIF(Control!$E$20:$E$100,$B63)=0,COUNTIF(Control!$E$20:$E$100,AV$2)=0),VISUM_Arterial_OD!AV63*Control!$B$3,0)</f>
        <v>0</v>
      </c>
      <c r="AW63">
        <f>IF(AND(COUNTIF(Control!$E$20:$E$100,$B63)=0,COUNTIF(Control!$E$20:$E$100,AW$2)=0),VISUM_Arterial_OD!AW63*Control!$B$3,0)</f>
        <v>0</v>
      </c>
      <c r="AX63">
        <f>IF(AND(COUNTIF(Control!$E$20:$E$100,$B63)=0,COUNTIF(Control!$E$20:$E$100,AX$2)=0),VISUM_Arterial_OD!AX63*Control!$B$3,0)</f>
        <v>0</v>
      </c>
      <c r="AY63">
        <f>IF(AND(COUNTIF(Control!$E$20:$E$100,$B63)=0,COUNTIF(Control!$E$20:$E$100,AY$2)=0),VISUM_Arterial_OD!AY63*Control!$B$3,0)</f>
        <v>0</v>
      </c>
      <c r="AZ63">
        <f>IF(AND(COUNTIF(Control!$E$20:$E$100,$B63)=0,COUNTIF(Control!$E$20:$E$100,AZ$2)=0),VISUM_Arterial_OD!AZ63*Control!$B$3,0)</f>
        <v>0</v>
      </c>
      <c r="BA63">
        <f>IF(AND(COUNTIF(Control!$E$20:$E$100,$B63)=0,COUNTIF(Control!$E$20:$E$100,BA$2)=0),VISUM_Arterial_OD!BA63*Control!$B$3,0)</f>
        <v>0</v>
      </c>
      <c r="BB63">
        <f>IF(AND(COUNTIF(Control!$E$20:$E$100,$B63)=0,COUNTIF(Control!$E$20:$E$100,BB$2)=0),VISUM_Arterial_OD!BB63*Control!$B$3,0)</f>
        <v>0</v>
      </c>
      <c r="BC63">
        <f>IF(AND(COUNTIF(Control!$E$20:$E$100,$B63)=0,COUNTIF(Control!$E$20:$E$100,BC$2)=0),VISUM_Arterial_OD!BC63*Control!$B$3,0)</f>
        <v>0</v>
      </c>
      <c r="BD63">
        <f>IF(AND(COUNTIF(Control!$E$20:$E$100,$B63)=0,COUNTIF(Control!$E$20:$E$100,BD$2)=0),VISUM_Arterial_OD!BD63*Control!$B$3,0)</f>
        <v>0</v>
      </c>
      <c r="BE63">
        <f>IF(AND(COUNTIF(Control!$E$20:$E$100,$B63)=0,COUNTIF(Control!$E$20:$E$100,BE$2)=0),VISUM_Arterial_OD!BE63*Control!$B$3,0)</f>
        <v>0</v>
      </c>
      <c r="BF63">
        <f>IF(AND(COUNTIF(Control!$E$20:$E$100,$B63)=0,COUNTIF(Control!$E$20:$E$100,BF$2)=0),VISUM_Arterial_OD!BF63*Control!$B$3,0)</f>
        <v>0</v>
      </c>
      <c r="BG63">
        <f>IF(AND(COUNTIF(Control!$E$20:$E$100,$B63)=0,COUNTIF(Control!$E$20:$E$100,BG$2)=0),VISUM_Arterial_OD!BG63*Control!$B$3,0)</f>
        <v>0</v>
      </c>
      <c r="BH63">
        <f>IF(AND(COUNTIF(Control!$E$20:$E$100,$B63)=0,COUNTIF(Control!$E$20:$E$100,BH$2)=0),VISUM_Arterial_OD!BH63*Control!$B$3,0)</f>
        <v>0</v>
      </c>
      <c r="BI63">
        <f>IF(AND(COUNTIF(Control!$E$20:$E$100,$B63)=0,COUNTIF(Control!$E$20:$E$100,BI$2)=0),VISUM_Arterial_OD!BI63*Control!$B$3,0)</f>
        <v>0</v>
      </c>
      <c r="BJ63">
        <f>IF(AND(COUNTIF(Control!$E$20:$E$100,$B63)=0,COUNTIF(Control!$E$20:$E$100,BJ$2)=0),VISUM_Arterial_OD!BJ63*Control!$B$3,0)</f>
        <v>0.12185489999999999</v>
      </c>
      <c r="BK63">
        <f>IF(AND(COUNTIF(Control!$E$20:$E$100,$B63)=0,COUNTIF(Control!$E$20:$E$100,BK$2)=0),VISUM_Arterial_OD!BK63*Control!$B$3,0)</f>
        <v>0</v>
      </c>
      <c r="BL63">
        <f>IF(AND(COUNTIF(Control!$E$20:$E$100,$B63)=0,COUNTIF(Control!$E$20:$E$100,BL$2)=0),VISUM_Arterial_OD!BL63*Control!$B$3,0)</f>
        <v>0.14999868</v>
      </c>
      <c r="BM63">
        <f>IF(AND(COUNTIF(Control!$E$20:$E$100,$B63)=0,COUNTIF(Control!$E$20:$E$100,BM$2)=0),VISUM_Arterial_OD!BM63*Control!$B$3,0)</f>
        <v>7.6159499999999998E-3</v>
      </c>
      <c r="BN63">
        <f>IF(AND(COUNTIF(Control!$E$20:$E$100,$B63)=0,COUNTIF(Control!$E$20:$E$100,BN$2)=0),VISUM_Arterial_OD!BN63*Control!$B$3,0)</f>
        <v>3.1499725199999999</v>
      </c>
      <c r="BO63">
        <f>IF(AND(COUNTIF(Control!$E$20:$E$100,$B63)=0,COUNTIF(Control!$E$20:$E$100,BO$2)=0),VISUM_Arterial_OD!BO63*Control!$B$3,0)</f>
        <v>0</v>
      </c>
      <c r="BP63">
        <f>IF(AND(COUNTIF(Control!$E$20:$E$100,$B63)=0,COUNTIF(Control!$E$20:$E$100,BP$2)=0),VISUM_Arterial_OD!BP63*Control!$B$3,0)</f>
        <v>0</v>
      </c>
      <c r="BQ63">
        <f>IF(AND(COUNTIF(Control!$E$20:$E$100,$B63)=0,COUNTIF(Control!$E$20:$E$100,BQ$2)=0),VISUM_Arterial_OD!BQ63*Control!$B$3,0)</f>
        <v>0</v>
      </c>
    </row>
    <row r="64" spans="1:69" x14ac:dyDescent="0.25">
      <c r="A64" s="5">
        <f>IF(VLOOKUP(B64,Arterial_Zone_Link_Mapping!$A:$C,2,FALSE)&lt;&gt;"",VLOOKUP(B64,Arterial_Zone_Link_Mapping!$A:$C,2,FALSE),"")</f>
        <v>349</v>
      </c>
      <c r="B64" s="5">
        <v>86</v>
      </c>
      <c r="C64">
        <f>IF(AND(COUNTIF(Control!$E$20:$E$100,$B64)=0,COUNTIF(Control!$E$20:$E$100,C$2)=0),VISUM_Arterial_OD!C64*Control!$B$3,0)</f>
        <v>0</v>
      </c>
      <c r="D64">
        <f>IF(AND(COUNTIF(Control!$E$20:$E$100,$B64)=0,COUNTIF(Control!$E$20:$E$100,D$2)=0),VISUM_Arterial_OD!D64*Control!$B$3,0)</f>
        <v>0</v>
      </c>
      <c r="E64">
        <f>IF(AND(COUNTIF(Control!$E$20:$E$100,$B64)=0,COUNTIF(Control!$E$20:$E$100,E$2)=0),VISUM_Arterial_OD!E64*Control!$B$3,0)</f>
        <v>0</v>
      </c>
      <c r="F64">
        <f>IF(AND(COUNTIF(Control!$E$20:$E$100,$B64)=0,COUNTIF(Control!$E$20:$E$100,F$2)=0),VISUM_Arterial_OD!F64*Control!$B$3,0)</f>
        <v>0</v>
      </c>
      <c r="G64">
        <f>IF(AND(COUNTIF(Control!$E$20:$E$100,$B64)=0,COUNTIF(Control!$E$20:$E$100,G$2)=0),VISUM_Arterial_OD!G64*Control!$B$3,0)</f>
        <v>0</v>
      </c>
      <c r="H64">
        <f>IF(AND(COUNTIF(Control!$E$20:$E$100,$B64)=0,COUNTIF(Control!$E$20:$E$100,H$2)=0),VISUM_Arterial_OD!H64*Control!$B$3,0)</f>
        <v>0.57117048000000004</v>
      </c>
      <c r="I64">
        <f>IF(AND(COUNTIF(Control!$E$20:$E$100,$B64)=0,COUNTIF(Control!$E$20:$E$100,I$2)=0),VISUM_Arterial_OD!I64*Control!$B$3,0)</f>
        <v>0.58398912000000003</v>
      </c>
      <c r="J64">
        <f>IF(AND(COUNTIF(Control!$E$20:$E$100,$B64)=0,COUNTIF(Control!$E$20:$E$100,J$2)=0),VISUM_Arterial_OD!J64*Control!$B$3,0)</f>
        <v>0</v>
      </c>
      <c r="K64">
        <f>IF(AND(COUNTIF(Control!$E$20:$E$100,$B64)=0,COUNTIF(Control!$E$20:$E$100,K$2)=0),VISUM_Arterial_OD!K64*Control!$B$3,0)</f>
        <v>0</v>
      </c>
      <c r="L64">
        <f>IF(AND(COUNTIF(Control!$E$20:$E$100,$B64)=0,COUNTIF(Control!$E$20:$E$100,L$2)=0),VISUM_Arterial_OD!L64*Control!$B$3,0)</f>
        <v>0</v>
      </c>
      <c r="M64">
        <f>IF(AND(COUNTIF(Control!$E$20:$E$100,$B64)=0,COUNTIF(Control!$E$20:$E$100,M$2)=0),VISUM_Arterial_OD!M64*Control!$B$3,0)</f>
        <v>0</v>
      </c>
      <c r="N64">
        <f>IF(AND(COUNTIF(Control!$E$20:$E$100,$B64)=0,COUNTIF(Control!$E$20:$E$100,N$2)=0),VISUM_Arterial_OD!N64*Control!$B$3,0)</f>
        <v>0</v>
      </c>
      <c r="O64">
        <f>IF(AND(COUNTIF(Control!$E$20:$E$100,$B64)=0,COUNTIF(Control!$E$20:$E$100,O$2)=0),VISUM_Arterial_OD!O64*Control!$B$3,0)</f>
        <v>0</v>
      </c>
      <c r="P64">
        <f>IF(AND(COUNTIF(Control!$E$20:$E$100,$B64)=0,COUNTIF(Control!$E$20:$E$100,P$2)=0),VISUM_Arterial_OD!P64*Control!$B$3,0)</f>
        <v>0</v>
      </c>
      <c r="Q64">
        <f>IF(AND(COUNTIF(Control!$E$20:$E$100,$B64)=0,COUNTIF(Control!$E$20:$E$100,Q$2)=0),VISUM_Arterial_OD!Q64*Control!$B$3,0)</f>
        <v>0</v>
      </c>
      <c r="R64">
        <f>IF(AND(COUNTIF(Control!$E$20:$E$100,$B64)=0,COUNTIF(Control!$E$20:$E$100,R$2)=0),VISUM_Arterial_OD!R64*Control!$B$3,0)</f>
        <v>0</v>
      </c>
      <c r="S64">
        <f>IF(AND(COUNTIF(Control!$E$20:$E$100,$B64)=0,COUNTIF(Control!$E$20:$E$100,S$2)=0),VISUM_Arterial_OD!S64*Control!$B$3,0)</f>
        <v>0</v>
      </c>
      <c r="T64">
        <f>IF(AND(COUNTIF(Control!$E$20:$E$100,$B64)=0,COUNTIF(Control!$E$20:$E$100,T$2)=0),VISUM_Arterial_OD!T64*Control!$B$3,0)</f>
        <v>0</v>
      </c>
      <c r="U64">
        <f>IF(AND(COUNTIF(Control!$E$20:$E$100,$B64)=0,COUNTIF(Control!$E$20:$E$100,U$2)=0),VISUM_Arterial_OD!U64*Control!$B$3,0)</f>
        <v>0</v>
      </c>
      <c r="V64">
        <f>IF(AND(COUNTIF(Control!$E$20:$E$100,$B64)=0,COUNTIF(Control!$E$20:$E$100,V$2)=0),VISUM_Arterial_OD!V64*Control!$B$3,0)</f>
        <v>0</v>
      </c>
      <c r="W64">
        <f>IF(AND(COUNTIF(Control!$E$20:$E$100,$B64)=0,COUNTIF(Control!$E$20:$E$100,W$2)=0),VISUM_Arterial_OD!W64*Control!$B$3,0)</f>
        <v>0</v>
      </c>
      <c r="X64">
        <f>IF(AND(COUNTIF(Control!$E$20:$E$100,$B64)=0,COUNTIF(Control!$E$20:$E$100,X$2)=0),VISUM_Arterial_OD!X64*Control!$B$3,0)</f>
        <v>0</v>
      </c>
      <c r="Y64">
        <f>IF(AND(COUNTIF(Control!$E$20:$E$100,$B64)=0,COUNTIF(Control!$E$20:$E$100,Y$2)=0),VISUM_Arterial_OD!Y64*Control!$B$3,0)</f>
        <v>0</v>
      </c>
      <c r="Z64">
        <f>IF(AND(COUNTIF(Control!$E$20:$E$100,$B64)=0,COUNTIF(Control!$E$20:$E$100,Z$2)=0),VISUM_Arterial_OD!Z64*Control!$B$3,0)</f>
        <v>0</v>
      </c>
      <c r="AA64">
        <f>IF(AND(COUNTIF(Control!$E$20:$E$100,$B64)=0,COUNTIF(Control!$E$20:$E$100,AA$2)=0),VISUM_Arterial_OD!AA64*Control!$B$3,0)</f>
        <v>0</v>
      </c>
      <c r="AB64">
        <f>IF(AND(COUNTIF(Control!$E$20:$E$100,$B64)=0,COUNTIF(Control!$E$20:$E$100,AB$2)=0),VISUM_Arterial_OD!AB64*Control!$B$3,0)</f>
        <v>0</v>
      </c>
      <c r="AC64">
        <f>IF(AND(COUNTIF(Control!$E$20:$E$100,$B64)=0,COUNTIF(Control!$E$20:$E$100,AC$2)=0),VISUM_Arterial_OD!AC64*Control!$B$3,0)</f>
        <v>0</v>
      </c>
      <c r="AD64">
        <f>IF(AND(COUNTIF(Control!$E$20:$E$100,$B64)=0,COUNTIF(Control!$E$20:$E$100,AD$2)=0),VISUM_Arterial_OD!AD64*Control!$B$3,0)</f>
        <v>0</v>
      </c>
      <c r="AE64">
        <f>IF(AND(COUNTIF(Control!$E$20:$E$100,$B64)=0,COUNTIF(Control!$E$20:$E$100,AE$2)=0),VISUM_Arterial_OD!AE64*Control!$B$3,0)</f>
        <v>0</v>
      </c>
      <c r="AF64">
        <f>IF(AND(COUNTIF(Control!$E$20:$E$100,$B64)=0,COUNTIF(Control!$E$20:$E$100,AF$2)=0),VISUM_Arterial_OD!AF64*Control!$B$3,0)</f>
        <v>0</v>
      </c>
      <c r="AG64">
        <f>IF(AND(COUNTIF(Control!$E$20:$E$100,$B64)=0,COUNTIF(Control!$E$20:$E$100,AG$2)=0),VISUM_Arterial_OD!AG64*Control!$B$3,0)</f>
        <v>0</v>
      </c>
      <c r="AH64">
        <f>IF(AND(COUNTIF(Control!$E$20:$E$100,$B64)=0,COUNTIF(Control!$E$20:$E$100,AH$2)=0),VISUM_Arterial_OD!AH64*Control!$B$3,0)</f>
        <v>0</v>
      </c>
      <c r="AI64">
        <f>IF(AND(COUNTIF(Control!$E$20:$E$100,$B64)=0,COUNTIF(Control!$E$20:$E$100,AI$2)=0),VISUM_Arterial_OD!AI64*Control!$B$3,0)</f>
        <v>0</v>
      </c>
      <c r="AJ64">
        <f>IF(AND(COUNTIF(Control!$E$20:$E$100,$B64)=0,COUNTIF(Control!$E$20:$E$100,AJ$2)=0),VISUM_Arterial_OD!AJ64*Control!$B$3,0)</f>
        <v>0</v>
      </c>
      <c r="AK64">
        <f>IF(AND(COUNTIF(Control!$E$20:$E$100,$B64)=0,COUNTIF(Control!$E$20:$E$100,AK$2)=0),VISUM_Arterial_OD!AK64*Control!$B$3,0)</f>
        <v>0</v>
      </c>
      <c r="AL64">
        <f>IF(AND(COUNTIF(Control!$E$20:$E$100,$B64)=0,COUNTIF(Control!$E$20:$E$100,AL$2)=0),VISUM_Arterial_OD!AL64*Control!$B$3,0)</f>
        <v>0</v>
      </c>
      <c r="AM64">
        <f>IF(AND(COUNTIF(Control!$E$20:$E$100,$B64)=0,COUNTIF(Control!$E$20:$E$100,AM$2)=0),VISUM_Arterial_OD!AM64*Control!$B$3,0)</f>
        <v>0</v>
      </c>
      <c r="AN64">
        <f>IF(AND(COUNTIF(Control!$E$20:$E$100,$B64)=0,COUNTIF(Control!$E$20:$E$100,AN$2)=0),VISUM_Arterial_OD!AN64*Control!$B$3,0)</f>
        <v>0</v>
      </c>
      <c r="AO64">
        <f>IF(AND(COUNTIF(Control!$E$20:$E$100,$B64)=0,COUNTIF(Control!$E$20:$E$100,AO$2)=0),VISUM_Arterial_OD!AO64*Control!$B$3,0)</f>
        <v>0</v>
      </c>
      <c r="AP64">
        <f>IF(AND(COUNTIF(Control!$E$20:$E$100,$B64)=0,COUNTIF(Control!$E$20:$E$100,AP$2)=0),VISUM_Arterial_OD!AP64*Control!$B$3,0)</f>
        <v>0</v>
      </c>
      <c r="AQ64">
        <f>IF(AND(COUNTIF(Control!$E$20:$E$100,$B64)=0,COUNTIF(Control!$E$20:$E$100,AQ$2)=0),VISUM_Arterial_OD!AQ64*Control!$B$3,0)</f>
        <v>0</v>
      </c>
      <c r="AR64">
        <f>IF(AND(COUNTIF(Control!$E$20:$E$100,$B64)=0,COUNTIF(Control!$E$20:$E$100,AR$2)=0),VISUM_Arterial_OD!AR64*Control!$B$3,0)</f>
        <v>0</v>
      </c>
      <c r="AS64">
        <f>IF(AND(COUNTIF(Control!$E$20:$E$100,$B64)=0,COUNTIF(Control!$E$20:$E$100,AS$2)=0),VISUM_Arterial_OD!AS64*Control!$B$3,0)</f>
        <v>0</v>
      </c>
      <c r="AT64">
        <f>IF(AND(COUNTIF(Control!$E$20:$E$100,$B64)=0,COUNTIF(Control!$E$20:$E$100,AT$2)=0),VISUM_Arterial_OD!AT64*Control!$B$3,0)</f>
        <v>0</v>
      </c>
      <c r="AU64">
        <f>IF(AND(COUNTIF(Control!$E$20:$E$100,$B64)=0,COUNTIF(Control!$E$20:$E$100,AU$2)=0),VISUM_Arterial_OD!AU64*Control!$B$3,0)</f>
        <v>0</v>
      </c>
      <c r="AV64">
        <f>IF(AND(COUNTIF(Control!$E$20:$E$100,$B64)=0,COUNTIF(Control!$E$20:$E$100,AV$2)=0),VISUM_Arterial_OD!AV64*Control!$B$3,0)</f>
        <v>0</v>
      </c>
      <c r="AW64">
        <f>IF(AND(COUNTIF(Control!$E$20:$E$100,$B64)=0,COUNTIF(Control!$E$20:$E$100,AW$2)=0),VISUM_Arterial_OD!AW64*Control!$B$3,0)</f>
        <v>0</v>
      </c>
      <c r="AX64">
        <f>IF(AND(COUNTIF(Control!$E$20:$E$100,$B64)=0,COUNTIF(Control!$E$20:$E$100,AX$2)=0),VISUM_Arterial_OD!AX64*Control!$B$3,0)</f>
        <v>0</v>
      </c>
      <c r="AY64">
        <f>IF(AND(COUNTIF(Control!$E$20:$E$100,$B64)=0,COUNTIF(Control!$E$20:$E$100,AY$2)=0),VISUM_Arterial_OD!AY64*Control!$B$3,0)</f>
        <v>0</v>
      </c>
      <c r="AZ64">
        <f>IF(AND(COUNTIF(Control!$E$20:$E$100,$B64)=0,COUNTIF(Control!$E$20:$E$100,AZ$2)=0),VISUM_Arterial_OD!AZ64*Control!$B$3,0)</f>
        <v>0</v>
      </c>
      <c r="BA64">
        <f>IF(AND(COUNTIF(Control!$E$20:$E$100,$B64)=0,COUNTIF(Control!$E$20:$E$100,BA$2)=0),VISUM_Arterial_OD!BA64*Control!$B$3,0)</f>
        <v>0</v>
      </c>
      <c r="BB64">
        <f>IF(AND(COUNTIF(Control!$E$20:$E$100,$B64)=0,COUNTIF(Control!$E$20:$E$100,BB$2)=0),VISUM_Arterial_OD!BB64*Control!$B$3,0)</f>
        <v>0</v>
      </c>
      <c r="BC64">
        <f>IF(AND(COUNTIF(Control!$E$20:$E$100,$B64)=0,COUNTIF(Control!$E$20:$E$100,BC$2)=0),VISUM_Arterial_OD!BC64*Control!$B$3,0)</f>
        <v>0</v>
      </c>
      <c r="BD64">
        <f>IF(AND(COUNTIF(Control!$E$20:$E$100,$B64)=0,COUNTIF(Control!$E$20:$E$100,BD$2)=0),VISUM_Arterial_OD!BD64*Control!$B$3,0)</f>
        <v>0</v>
      </c>
      <c r="BE64">
        <f>IF(AND(COUNTIF(Control!$E$20:$E$100,$B64)=0,COUNTIF(Control!$E$20:$E$100,BE$2)=0),VISUM_Arterial_OD!BE64*Control!$B$3,0)</f>
        <v>0</v>
      </c>
      <c r="BF64">
        <f>IF(AND(COUNTIF(Control!$E$20:$E$100,$B64)=0,COUNTIF(Control!$E$20:$E$100,BF$2)=0),VISUM_Arterial_OD!BF64*Control!$B$3,0)</f>
        <v>0</v>
      </c>
      <c r="BG64">
        <f>IF(AND(COUNTIF(Control!$E$20:$E$100,$B64)=0,COUNTIF(Control!$E$20:$E$100,BG$2)=0),VISUM_Arterial_OD!BG64*Control!$B$3,0)</f>
        <v>0</v>
      </c>
      <c r="BH64">
        <f>IF(AND(COUNTIF(Control!$E$20:$E$100,$B64)=0,COUNTIF(Control!$E$20:$E$100,BH$2)=0),VISUM_Arterial_OD!BH64*Control!$B$3,0)</f>
        <v>0</v>
      </c>
      <c r="BI64">
        <f>IF(AND(COUNTIF(Control!$E$20:$E$100,$B64)=0,COUNTIF(Control!$E$20:$E$100,BI$2)=0),VISUM_Arterial_OD!BI64*Control!$B$3,0)</f>
        <v>0</v>
      </c>
      <c r="BJ64">
        <f>IF(AND(COUNTIF(Control!$E$20:$E$100,$B64)=0,COUNTIF(Control!$E$20:$E$100,BJ$2)=0),VISUM_Arterial_OD!BJ64*Control!$B$3,0)</f>
        <v>1.2590538600000001</v>
      </c>
      <c r="BK64">
        <f>IF(AND(COUNTIF(Control!$E$20:$E$100,$B64)=0,COUNTIF(Control!$E$20:$E$100,BK$2)=0),VISUM_Arterial_OD!BK64*Control!$B$3,0)</f>
        <v>0.44999606999999997</v>
      </c>
      <c r="BL64">
        <f>IF(AND(COUNTIF(Control!$E$20:$E$100,$B64)=0,COUNTIF(Control!$E$20:$E$100,BL$2)=0),VISUM_Arterial_OD!BL64*Control!$B$3,0)</f>
        <v>0</v>
      </c>
      <c r="BM64">
        <f>IF(AND(COUNTIF(Control!$E$20:$E$100,$B64)=0,COUNTIF(Control!$E$20:$E$100,BM$2)=0),VISUM_Arterial_OD!BM64*Control!$B$3,0)</f>
        <v>7.8690869999999996E-2</v>
      </c>
      <c r="BN64">
        <f>IF(AND(COUNTIF(Control!$E$20:$E$100,$B64)=0,COUNTIF(Control!$E$20:$E$100,BN$2)=0),VISUM_Arterial_OD!BN64*Control!$B$3,0)</f>
        <v>0.59999475000000002</v>
      </c>
      <c r="BO64">
        <f>IF(AND(COUNTIF(Control!$E$20:$E$100,$B64)=0,COUNTIF(Control!$E$20:$E$100,BO$2)=0),VISUM_Arterial_OD!BO64*Control!$B$3,0)</f>
        <v>0</v>
      </c>
      <c r="BP64">
        <f>IF(AND(COUNTIF(Control!$E$20:$E$100,$B64)=0,COUNTIF(Control!$E$20:$E$100,BP$2)=0),VISUM_Arterial_OD!BP64*Control!$B$3,0)</f>
        <v>0</v>
      </c>
      <c r="BQ64">
        <f>IF(AND(COUNTIF(Control!$E$20:$E$100,$B64)=0,COUNTIF(Control!$E$20:$E$100,BQ$2)=0),VISUM_Arterial_OD!BQ64*Control!$B$3,0)</f>
        <v>0</v>
      </c>
    </row>
    <row r="65" spans="1:69" x14ac:dyDescent="0.25">
      <c r="A65" s="5">
        <f>IF(VLOOKUP(B65,Arterial_Zone_Link_Mapping!$A:$C,2,FALSE)&lt;&gt;"",VLOOKUP(B65,Arterial_Zone_Link_Mapping!$A:$C,2,FALSE),"")</f>
        <v>256</v>
      </c>
      <c r="B65" s="5">
        <v>87</v>
      </c>
      <c r="C65">
        <f>IF(AND(COUNTIF(Control!$E$20:$E$100,$B65)=0,COUNTIF(Control!$E$20:$E$100,C$2)=0),VISUM_Arterial_OD!C65*Control!$B$3,0)</f>
        <v>0</v>
      </c>
      <c r="D65">
        <f>IF(AND(COUNTIF(Control!$E$20:$E$100,$B65)=0,COUNTIF(Control!$E$20:$E$100,D$2)=0),VISUM_Arterial_OD!D65*Control!$B$3,0)</f>
        <v>0</v>
      </c>
      <c r="E65">
        <f>IF(AND(COUNTIF(Control!$E$20:$E$100,$B65)=0,COUNTIF(Control!$E$20:$E$100,E$2)=0),VISUM_Arterial_OD!E65*Control!$B$3,0)</f>
        <v>0</v>
      </c>
      <c r="F65">
        <f>IF(AND(COUNTIF(Control!$E$20:$E$100,$B65)=0,COUNTIF(Control!$E$20:$E$100,F$2)=0),VISUM_Arterial_OD!F65*Control!$B$3,0)</f>
        <v>0</v>
      </c>
      <c r="G65">
        <f>IF(AND(COUNTIF(Control!$E$20:$E$100,$B65)=0,COUNTIF(Control!$E$20:$E$100,G$2)=0),VISUM_Arterial_OD!G65*Control!$B$3,0)</f>
        <v>0</v>
      </c>
      <c r="H65">
        <f>IF(AND(COUNTIF(Control!$E$20:$E$100,$B65)=0,COUNTIF(Control!$E$20:$E$100,H$2)=0),VISUM_Arterial_OD!H65*Control!$B$3,0)</f>
        <v>1.10065824</v>
      </c>
      <c r="I65">
        <f>IF(AND(COUNTIF(Control!$E$20:$E$100,$B65)=0,COUNTIF(Control!$E$20:$E$100,I$2)=0),VISUM_Arterial_OD!I65*Control!$B$3,0)</f>
        <v>1.1253599700000001</v>
      </c>
      <c r="J65">
        <f>IF(AND(COUNTIF(Control!$E$20:$E$100,$B65)=0,COUNTIF(Control!$E$20:$E$100,J$2)=0),VISUM_Arterial_OD!J65*Control!$B$3,0)</f>
        <v>0</v>
      </c>
      <c r="K65">
        <f>IF(AND(COUNTIF(Control!$E$20:$E$100,$B65)=0,COUNTIF(Control!$E$20:$E$100,K$2)=0),VISUM_Arterial_OD!K65*Control!$B$3,0)</f>
        <v>0</v>
      </c>
      <c r="L65">
        <f>IF(AND(COUNTIF(Control!$E$20:$E$100,$B65)=0,COUNTIF(Control!$E$20:$E$100,L$2)=0),VISUM_Arterial_OD!L65*Control!$B$3,0)</f>
        <v>0</v>
      </c>
      <c r="M65">
        <f>IF(AND(COUNTIF(Control!$E$20:$E$100,$B65)=0,COUNTIF(Control!$E$20:$E$100,M$2)=0),VISUM_Arterial_OD!M65*Control!$B$3,0)</f>
        <v>0</v>
      </c>
      <c r="N65">
        <f>IF(AND(COUNTIF(Control!$E$20:$E$100,$B65)=0,COUNTIF(Control!$E$20:$E$100,N$2)=0),VISUM_Arterial_OD!N65*Control!$B$3,0)</f>
        <v>0</v>
      </c>
      <c r="O65">
        <f>IF(AND(COUNTIF(Control!$E$20:$E$100,$B65)=0,COUNTIF(Control!$E$20:$E$100,O$2)=0),VISUM_Arterial_OD!O65*Control!$B$3,0)</f>
        <v>0</v>
      </c>
      <c r="P65">
        <f>IF(AND(COUNTIF(Control!$E$20:$E$100,$B65)=0,COUNTIF(Control!$E$20:$E$100,P$2)=0),VISUM_Arterial_OD!P65*Control!$B$3,0)</f>
        <v>0</v>
      </c>
      <c r="Q65">
        <f>IF(AND(COUNTIF(Control!$E$20:$E$100,$B65)=0,COUNTIF(Control!$E$20:$E$100,Q$2)=0),VISUM_Arterial_OD!Q65*Control!$B$3,0)</f>
        <v>0</v>
      </c>
      <c r="R65">
        <f>IF(AND(COUNTIF(Control!$E$20:$E$100,$B65)=0,COUNTIF(Control!$E$20:$E$100,R$2)=0),VISUM_Arterial_OD!R65*Control!$B$3,0)</f>
        <v>0</v>
      </c>
      <c r="S65">
        <f>IF(AND(COUNTIF(Control!$E$20:$E$100,$B65)=0,COUNTIF(Control!$E$20:$E$100,S$2)=0),VISUM_Arterial_OD!S65*Control!$B$3,0)</f>
        <v>0</v>
      </c>
      <c r="T65">
        <f>IF(AND(COUNTIF(Control!$E$20:$E$100,$B65)=0,COUNTIF(Control!$E$20:$E$100,T$2)=0),VISUM_Arterial_OD!T65*Control!$B$3,0)</f>
        <v>0</v>
      </c>
      <c r="U65">
        <f>IF(AND(COUNTIF(Control!$E$20:$E$100,$B65)=0,COUNTIF(Control!$E$20:$E$100,U$2)=0),VISUM_Arterial_OD!U65*Control!$B$3,0)</f>
        <v>0</v>
      </c>
      <c r="V65">
        <f>IF(AND(COUNTIF(Control!$E$20:$E$100,$B65)=0,COUNTIF(Control!$E$20:$E$100,V$2)=0),VISUM_Arterial_OD!V65*Control!$B$3,0)</f>
        <v>0</v>
      </c>
      <c r="W65">
        <f>IF(AND(COUNTIF(Control!$E$20:$E$100,$B65)=0,COUNTIF(Control!$E$20:$E$100,W$2)=0),VISUM_Arterial_OD!W65*Control!$B$3,0)</f>
        <v>0</v>
      </c>
      <c r="X65">
        <f>IF(AND(COUNTIF(Control!$E$20:$E$100,$B65)=0,COUNTIF(Control!$E$20:$E$100,X$2)=0),VISUM_Arterial_OD!X65*Control!$B$3,0)</f>
        <v>0</v>
      </c>
      <c r="Y65">
        <f>IF(AND(COUNTIF(Control!$E$20:$E$100,$B65)=0,COUNTIF(Control!$E$20:$E$100,Y$2)=0),VISUM_Arterial_OD!Y65*Control!$B$3,0)</f>
        <v>0</v>
      </c>
      <c r="Z65">
        <f>IF(AND(COUNTIF(Control!$E$20:$E$100,$B65)=0,COUNTIF(Control!$E$20:$E$100,Z$2)=0),VISUM_Arterial_OD!Z65*Control!$B$3,0)</f>
        <v>0</v>
      </c>
      <c r="AA65">
        <f>IF(AND(COUNTIF(Control!$E$20:$E$100,$B65)=0,COUNTIF(Control!$E$20:$E$100,AA$2)=0),VISUM_Arterial_OD!AA65*Control!$B$3,0)</f>
        <v>0</v>
      </c>
      <c r="AB65">
        <f>IF(AND(COUNTIF(Control!$E$20:$E$100,$B65)=0,COUNTIF(Control!$E$20:$E$100,AB$2)=0),VISUM_Arterial_OD!AB65*Control!$B$3,0)</f>
        <v>0</v>
      </c>
      <c r="AC65">
        <f>IF(AND(COUNTIF(Control!$E$20:$E$100,$B65)=0,COUNTIF(Control!$E$20:$E$100,AC$2)=0),VISUM_Arterial_OD!AC65*Control!$B$3,0)</f>
        <v>0</v>
      </c>
      <c r="AD65">
        <f>IF(AND(COUNTIF(Control!$E$20:$E$100,$B65)=0,COUNTIF(Control!$E$20:$E$100,AD$2)=0),VISUM_Arterial_OD!AD65*Control!$B$3,0)</f>
        <v>0</v>
      </c>
      <c r="AE65">
        <f>IF(AND(COUNTIF(Control!$E$20:$E$100,$B65)=0,COUNTIF(Control!$E$20:$E$100,AE$2)=0),VISUM_Arterial_OD!AE65*Control!$B$3,0)</f>
        <v>0</v>
      </c>
      <c r="AF65">
        <f>IF(AND(COUNTIF(Control!$E$20:$E$100,$B65)=0,COUNTIF(Control!$E$20:$E$100,AF$2)=0),VISUM_Arterial_OD!AF65*Control!$B$3,0)</f>
        <v>0</v>
      </c>
      <c r="AG65">
        <f>IF(AND(COUNTIF(Control!$E$20:$E$100,$B65)=0,COUNTIF(Control!$E$20:$E$100,AG$2)=0),VISUM_Arterial_OD!AG65*Control!$B$3,0)</f>
        <v>0</v>
      </c>
      <c r="AH65">
        <f>IF(AND(COUNTIF(Control!$E$20:$E$100,$B65)=0,COUNTIF(Control!$E$20:$E$100,AH$2)=0),VISUM_Arterial_OD!AH65*Control!$B$3,0)</f>
        <v>0</v>
      </c>
      <c r="AI65">
        <f>IF(AND(COUNTIF(Control!$E$20:$E$100,$B65)=0,COUNTIF(Control!$E$20:$E$100,AI$2)=0),VISUM_Arterial_OD!AI65*Control!$B$3,0)</f>
        <v>0</v>
      </c>
      <c r="AJ65">
        <f>IF(AND(COUNTIF(Control!$E$20:$E$100,$B65)=0,COUNTIF(Control!$E$20:$E$100,AJ$2)=0),VISUM_Arterial_OD!AJ65*Control!$B$3,0)</f>
        <v>0</v>
      </c>
      <c r="AK65">
        <f>IF(AND(COUNTIF(Control!$E$20:$E$100,$B65)=0,COUNTIF(Control!$E$20:$E$100,AK$2)=0),VISUM_Arterial_OD!AK65*Control!$B$3,0)</f>
        <v>0</v>
      </c>
      <c r="AL65">
        <f>IF(AND(COUNTIF(Control!$E$20:$E$100,$B65)=0,COUNTIF(Control!$E$20:$E$100,AL$2)=0),VISUM_Arterial_OD!AL65*Control!$B$3,0)</f>
        <v>0</v>
      </c>
      <c r="AM65">
        <f>IF(AND(COUNTIF(Control!$E$20:$E$100,$B65)=0,COUNTIF(Control!$E$20:$E$100,AM$2)=0),VISUM_Arterial_OD!AM65*Control!$B$3,0)</f>
        <v>0</v>
      </c>
      <c r="AN65">
        <f>IF(AND(COUNTIF(Control!$E$20:$E$100,$B65)=0,COUNTIF(Control!$E$20:$E$100,AN$2)=0),VISUM_Arterial_OD!AN65*Control!$B$3,0)</f>
        <v>0</v>
      </c>
      <c r="AO65">
        <f>IF(AND(COUNTIF(Control!$E$20:$E$100,$B65)=0,COUNTIF(Control!$E$20:$E$100,AO$2)=0),VISUM_Arterial_OD!AO65*Control!$B$3,0)</f>
        <v>0</v>
      </c>
      <c r="AP65">
        <f>IF(AND(COUNTIF(Control!$E$20:$E$100,$B65)=0,COUNTIF(Control!$E$20:$E$100,AP$2)=0),VISUM_Arterial_OD!AP65*Control!$B$3,0)</f>
        <v>0</v>
      </c>
      <c r="AQ65">
        <f>IF(AND(COUNTIF(Control!$E$20:$E$100,$B65)=0,COUNTIF(Control!$E$20:$E$100,AQ$2)=0),VISUM_Arterial_OD!AQ65*Control!$B$3,0)</f>
        <v>0</v>
      </c>
      <c r="AR65">
        <f>IF(AND(COUNTIF(Control!$E$20:$E$100,$B65)=0,COUNTIF(Control!$E$20:$E$100,AR$2)=0),VISUM_Arterial_OD!AR65*Control!$B$3,0)</f>
        <v>0</v>
      </c>
      <c r="AS65">
        <f>IF(AND(COUNTIF(Control!$E$20:$E$100,$B65)=0,COUNTIF(Control!$E$20:$E$100,AS$2)=0),VISUM_Arterial_OD!AS65*Control!$B$3,0)</f>
        <v>0</v>
      </c>
      <c r="AT65">
        <f>IF(AND(COUNTIF(Control!$E$20:$E$100,$B65)=0,COUNTIF(Control!$E$20:$E$100,AT$2)=0),VISUM_Arterial_OD!AT65*Control!$B$3,0)</f>
        <v>0</v>
      </c>
      <c r="AU65">
        <f>IF(AND(COUNTIF(Control!$E$20:$E$100,$B65)=0,COUNTIF(Control!$E$20:$E$100,AU$2)=0),VISUM_Arterial_OD!AU65*Control!$B$3,0)</f>
        <v>0</v>
      </c>
      <c r="AV65">
        <f>IF(AND(COUNTIF(Control!$E$20:$E$100,$B65)=0,COUNTIF(Control!$E$20:$E$100,AV$2)=0),VISUM_Arterial_OD!AV65*Control!$B$3,0)</f>
        <v>0</v>
      </c>
      <c r="AW65">
        <f>IF(AND(COUNTIF(Control!$E$20:$E$100,$B65)=0,COUNTIF(Control!$E$20:$E$100,AW$2)=0),VISUM_Arterial_OD!AW65*Control!$B$3,0)</f>
        <v>0</v>
      </c>
      <c r="AX65">
        <f>IF(AND(COUNTIF(Control!$E$20:$E$100,$B65)=0,COUNTIF(Control!$E$20:$E$100,AX$2)=0),VISUM_Arterial_OD!AX65*Control!$B$3,0)</f>
        <v>0</v>
      </c>
      <c r="AY65">
        <f>IF(AND(COUNTIF(Control!$E$20:$E$100,$B65)=0,COUNTIF(Control!$E$20:$E$100,AY$2)=0),VISUM_Arterial_OD!AY65*Control!$B$3,0)</f>
        <v>0</v>
      </c>
      <c r="AZ65">
        <f>IF(AND(COUNTIF(Control!$E$20:$E$100,$B65)=0,COUNTIF(Control!$E$20:$E$100,AZ$2)=0),VISUM_Arterial_OD!AZ65*Control!$B$3,0)</f>
        <v>0</v>
      </c>
      <c r="BA65">
        <f>IF(AND(COUNTIF(Control!$E$20:$E$100,$B65)=0,COUNTIF(Control!$E$20:$E$100,BA$2)=0),VISUM_Arterial_OD!BA65*Control!$B$3,0)</f>
        <v>0</v>
      </c>
      <c r="BB65">
        <f>IF(AND(COUNTIF(Control!$E$20:$E$100,$B65)=0,COUNTIF(Control!$E$20:$E$100,BB$2)=0),VISUM_Arterial_OD!BB65*Control!$B$3,0)</f>
        <v>0</v>
      </c>
      <c r="BC65">
        <f>IF(AND(COUNTIF(Control!$E$20:$E$100,$B65)=0,COUNTIF(Control!$E$20:$E$100,BC$2)=0),VISUM_Arterial_OD!BC65*Control!$B$3,0)</f>
        <v>0</v>
      </c>
      <c r="BD65">
        <f>IF(AND(COUNTIF(Control!$E$20:$E$100,$B65)=0,COUNTIF(Control!$E$20:$E$100,BD$2)=0),VISUM_Arterial_OD!BD65*Control!$B$3,0)</f>
        <v>0</v>
      </c>
      <c r="BE65">
        <f>IF(AND(COUNTIF(Control!$E$20:$E$100,$B65)=0,COUNTIF(Control!$E$20:$E$100,BE$2)=0),VISUM_Arterial_OD!BE65*Control!$B$3,0)</f>
        <v>0</v>
      </c>
      <c r="BF65">
        <f>IF(AND(COUNTIF(Control!$E$20:$E$100,$B65)=0,COUNTIF(Control!$E$20:$E$100,BF$2)=0),VISUM_Arterial_OD!BF65*Control!$B$3,0)</f>
        <v>0</v>
      </c>
      <c r="BG65">
        <f>IF(AND(COUNTIF(Control!$E$20:$E$100,$B65)=0,COUNTIF(Control!$E$20:$E$100,BG$2)=0),VISUM_Arterial_OD!BG65*Control!$B$3,0)</f>
        <v>0</v>
      </c>
      <c r="BH65">
        <f>IF(AND(COUNTIF(Control!$E$20:$E$100,$B65)=0,COUNTIF(Control!$E$20:$E$100,BH$2)=0),VISUM_Arterial_OD!BH65*Control!$B$3,0)</f>
        <v>0</v>
      </c>
      <c r="BI65">
        <f>IF(AND(COUNTIF(Control!$E$20:$E$100,$B65)=0,COUNTIF(Control!$E$20:$E$100,BI$2)=0),VISUM_Arterial_OD!BI65*Control!$B$3,0)</f>
        <v>0</v>
      </c>
      <c r="BJ65">
        <f>IF(AND(COUNTIF(Control!$E$20:$E$100,$B65)=0,COUNTIF(Control!$E$20:$E$100,BJ$2)=0),VISUM_Arterial_OD!BJ65*Control!$B$3,0)</f>
        <v>1.7999842799999999</v>
      </c>
      <c r="BK65">
        <f>IF(AND(COUNTIF(Control!$E$20:$E$100,$B65)=0,COUNTIF(Control!$E$20:$E$100,BK$2)=0),VISUM_Arterial_OD!BK65*Control!$B$3,0)</f>
        <v>0.44398958999999999</v>
      </c>
      <c r="BL65">
        <f>IF(AND(COUNTIF(Control!$E$20:$E$100,$B65)=0,COUNTIF(Control!$E$20:$E$100,BL$2)=0),VISUM_Arterial_OD!BL65*Control!$B$3,0)</f>
        <v>0.11999720999999999</v>
      </c>
      <c r="BM65">
        <f>IF(AND(COUNTIF(Control!$E$20:$E$100,$B65)=0,COUNTIF(Control!$E$20:$E$100,BM$2)=0),VISUM_Arterial_OD!BM65*Control!$B$3,0)</f>
        <v>0</v>
      </c>
      <c r="BN65">
        <f>IF(AND(COUNTIF(Control!$E$20:$E$100,$B65)=0,COUNTIF(Control!$E$20:$E$100,BN$2)=0),VISUM_Arterial_OD!BN65*Control!$B$3,0)</f>
        <v>1.5359803799999998</v>
      </c>
      <c r="BO65">
        <f>IF(AND(COUNTIF(Control!$E$20:$E$100,$B65)=0,COUNTIF(Control!$E$20:$E$100,BO$2)=0),VISUM_Arterial_OD!BO65*Control!$B$3,0)</f>
        <v>0</v>
      </c>
      <c r="BP65">
        <f>IF(AND(COUNTIF(Control!$E$20:$E$100,$B65)=0,COUNTIF(Control!$E$20:$E$100,BP$2)=0),VISUM_Arterial_OD!BP65*Control!$B$3,0)</f>
        <v>0</v>
      </c>
      <c r="BQ65">
        <f>IF(AND(COUNTIF(Control!$E$20:$E$100,$B65)=0,COUNTIF(Control!$E$20:$E$100,BQ$2)=0),VISUM_Arterial_OD!BQ65*Control!$B$3,0)</f>
        <v>0</v>
      </c>
    </row>
    <row r="66" spans="1:69" x14ac:dyDescent="0.25">
      <c r="A66" s="5">
        <f>IF(VLOOKUP(B66,Arterial_Zone_Link_Mapping!$A:$C,2,FALSE)&lt;&gt;"",VLOOKUP(B66,Arterial_Zone_Link_Mapping!$A:$C,2,FALSE),"")</f>
        <v>235</v>
      </c>
      <c r="B66" s="5">
        <v>88</v>
      </c>
      <c r="C66">
        <f>IF(AND(COUNTIF(Control!$E$20:$E$100,$B66)=0,COUNTIF(Control!$E$20:$E$100,C$2)=0),VISUM_Arterial_OD!C66*Control!$B$3,0)</f>
        <v>0</v>
      </c>
      <c r="D66">
        <f>IF(AND(COUNTIF(Control!$E$20:$E$100,$B66)=0,COUNTIF(Control!$E$20:$E$100,D$2)=0),VISUM_Arterial_OD!D66*Control!$B$3,0)</f>
        <v>0</v>
      </c>
      <c r="E66">
        <f>IF(AND(COUNTIF(Control!$E$20:$E$100,$B66)=0,COUNTIF(Control!$E$20:$E$100,E$2)=0),VISUM_Arterial_OD!E66*Control!$B$3,0)</f>
        <v>0</v>
      </c>
      <c r="F66">
        <f>IF(AND(COUNTIF(Control!$E$20:$E$100,$B66)=0,COUNTIF(Control!$E$20:$E$100,F$2)=0),VISUM_Arterial_OD!F66*Control!$B$3,0)</f>
        <v>0</v>
      </c>
      <c r="G66">
        <f>IF(AND(COUNTIF(Control!$E$20:$E$100,$B66)=0,COUNTIF(Control!$E$20:$E$100,G$2)=0),VISUM_Arterial_OD!G66*Control!$B$3,0)</f>
        <v>0</v>
      </c>
      <c r="H66">
        <f>IF(AND(COUNTIF(Control!$E$20:$E$100,$B66)=0,COUNTIF(Control!$E$20:$E$100,H$2)=0),VISUM_Arterial_OD!H66*Control!$B$3,0)</f>
        <v>4.8173789099999995</v>
      </c>
      <c r="I66">
        <f>IF(AND(COUNTIF(Control!$E$20:$E$100,$B66)=0,COUNTIF(Control!$E$20:$E$100,I$2)=0),VISUM_Arterial_OD!I66*Control!$B$3,0)</f>
        <v>4.9254939599999998</v>
      </c>
      <c r="J66">
        <f>IF(AND(COUNTIF(Control!$E$20:$E$100,$B66)=0,COUNTIF(Control!$E$20:$E$100,J$2)=0),VISUM_Arterial_OD!J66*Control!$B$3,0)</f>
        <v>0</v>
      </c>
      <c r="K66">
        <f>IF(AND(COUNTIF(Control!$E$20:$E$100,$B66)=0,COUNTIF(Control!$E$20:$E$100,K$2)=0),VISUM_Arterial_OD!K66*Control!$B$3,0)</f>
        <v>0</v>
      </c>
      <c r="L66">
        <f>IF(AND(COUNTIF(Control!$E$20:$E$100,$B66)=0,COUNTIF(Control!$E$20:$E$100,L$2)=0),VISUM_Arterial_OD!L66*Control!$B$3,0)</f>
        <v>0</v>
      </c>
      <c r="M66">
        <f>IF(AND(COUNTIF(Control!$E$20:$E$100,$B66)=0,COUNTIF(Control!$E$20:$E$100,M$2)=0),VISUM_Arterial_OD!M66*Control!$B$3,0)</f>
        <v>0</v>
      </c>
      <c r="N66">
        <f>IF(AND(COUNTIF(Control!$E$20:$E$100,$B66)=0,COUNTIF(Control!$E$20:$E$100,N$2)=0),VISUM_Arterial_OD!N66*Control!$B$3,0)</f>
        <v>0</v>
      </c>
      <c r="O66">
        <f>IF(AND(COUNTIF(Control!$E$20:$E$100,$B66)=0,COUNTIF(Control!$E$20:$E$100,O$2)=0),VISUM_Arterial_OD!O66*Control!$B$3,0)</f>
        <v>0</v>
      </c>
      <c r="P66">
        <f>IF(AND(COUNTIF(Control!$E$20:$E$100,$B66)=0,COUNTIF(Control!$E$20:$E$100,P$2)=0),VISUM_Arterial_OD!P66*Control!$B$3,0)</f>
        <v>0</v>
      </c>
      <c r="Q66">
        <f>IF(AND(COUNTIF(Control!$E$20:$E$100,$B66)=0,COUNTIF(Control!$E$20:$E$100,Q$2)=0),VISUM_Arterial_OD!Q66*Control!$B$3,0)</f>
        <v>0</v>
      </c>
      <c r="R66">
        <f>IF(AND(COUNTIF(Control!$E$20:$E$100,$B66)=0,COUNTIF(Control!$E$20:$E$100,R$2)=0),VISUM_Arterial_OD!R66*Control!$B$3,0)</f>
        <v>0</v>
      </c>
      <c r="S66">
        <f>IF(AND(COUNTIF(Control!$E$20:$E$100,$B66)=0,COUNTIF(Control!$E$20:$E$100,S$2)=0),VISUM_Arterial_OD!S66*Control!$B$3,0)</f>
        <v>0</v>
      </c>
      <c r="T66">
        <f>IF(AND(COUNTIF(Control!$E$20:$E$100,$B66)=0,COUNTIF(Control!$E$20:$E$100,T$2)=0),VISUM_Arterial_OD!T66*Control!$B$3,0)</f>
        <v>0</v>
      </c>
      <c r="U66">
        <f>IF(AND(COUNTIF(Control!$E$20:$E$100,$B66)=0,COUNTIF(Control!$E$20:$E$100,U$2)=0),VISUM_Arterial_OD!U66*Control!$B$3,0)</f>
        <v>0</v>
      </c>
      <c r="V66">
        <f>IF(AND(COUNTIF(Control!$E$20:$E$100,$B66)=0,COUNTIF(Control!$E$20:$E$100,V$2)=0),VISUM_Arterial_OD!V66*Control!$B$3,0)</f>
        <v>0</v>
      </c>
      <c r="W66">
        <f>IF(AND(COUNTIF(Control!$E$20:$E$100,$B66)=0,COUNTIF(Control!$E$20:$E$100,W$2)=0),VISUM_Arterial_OD!W66*Control!$B$3,0)</f>
        <v>0</v>
      </c>
      <c r="X66">
        <f>IF(AND(COUNTIF(Control!$E$20:$E$100,$B66)=0,COUNTIF(Control!$E$20:$E$100,X$2)=0),VISUM_Arterial_OD!X66*Control!$B$3,0)</f>
        <v>0</v>
      </c>
      <c r="Y66">
        <f>IF(AND(COUNTIF(Control!$E$20:$E$100,$B66)=0,COUNTIF(Control!$E$20:$E$100,Y$2)=0),VISUM_Arterial_OD!Y66*Control!$B$3,0)</f>
        <v>0</v>
      </c>
      <c r="Z66">
        <f>IF(AND(COUNTIF(Control!$E$20:$E$100,$B66)=0,COUNTIF(Control!$E$20:$E$100,Z$2)=0),VISUM_Arterial_OD!Z66*Control!$B$3,0)</f>
        <v>0</v>
      </c>
      <c r="AA66">
        <f>IF(AND(COUNTIF(Control!$E$20:$E$100,$B66)=0,COUNTIF(Control!$E$20:$E$100,AA$2)=0),VISUM_Arterial_OD!AA66*Control!$B$3,0)</f>
        <v>0</v>
      </c>
      <c r="AB66">
        <f>IF(AND(COUNTIF(Control!$E$20:$E$100,$B66)=0,COUNTIF(Control!$E$20:$E$100,AB$2)=0),VISUM_Arterial_OD!AB66*Control!$B$3,0)</f>
        <v>0</v>
      </c>
      <c r="AC66">
        <f>IF(AND(COUNTIF(Control!$E$20:$E$100,$B66)=0,COUNTIF(Control!$E$20:$E$100,AC$2)=0),VISUM_Arterial_OD!AC66*Control!$B$3,0)</f>
        <v>0</v>
      </c>
      <c r="AD66">
        <f>IF(AND(COUNTIF(Control!$E$20:$E$100,$B66)=0,COUNTIF(Control!$E$20:$E$100,AD$2)=0),VISUM_Arterial_OD!AD66*Control!$B$3,0)</f>
        <v>0</v>
      </c>
      <c r="AE66">
        <f>IF(AND(COUNTIF(Control!$E$20:$E$100,$B66)=0,COUNTIF(Control!$E$20:$E$100,AE$2)=0),VISUM_Arterial_OD!AE66*Control!$B$3,0)</f>
        <v>0</v>
      </c>
      <c r="AF66">
        <f>IF(AND(COUNTIF(Control!$E$20:$E$100,$B66)=0,COUNTIF(Control!$E$20:$E$100,AF$2)=0),VISUM_Arterial_OD!AF66*Control!$B$3,0)</f>
        <v>0</v>
      </c>
      <c r="AG66">
        <f>IF(AND(COUNTIF(Control!$E$20:$E$100,$B66)=0,COUNTIF(Control!$E$20:$E$100,AG$2)=0),VISUM_Arterial_OD!AG66*Control!$B$3,0)</f>
        <v>0</v>
      </c>
      <c r="AH66">
        <f>IF(AND(COUNTIF(Control!$E$20:$E$100,$B66)=0,COUNTIF(Control!$E$20:$E$100,AH$2)=0),VISUM_Arterial_OD!AH66*Control!$B$3,0)</f>
        <v>0</v>
      </c>
      <c r="AI66">
        <f>IF(AND(COUNTIF(Control!$E$20:$E$100,$B66)=0,COUNTIF(Control!$E$20:$E$100,AI$2)=0),VISUM_Arterial_OD!AI66*Control!$B$3,0)</f>
        <v>0</v>
      </c>
      <c r="AJ66">
        <f>IF(AND(COUNTIF(Control!$E$20:$E$100,$B66)=0,COUNTIF(Control!$E$20:$E$100,AJ$2)=0),VISUM_Arterial_OD!AJ66*Control!$B$3,0)</f>
        <v>0</v>
      </c>
      <c r="AK66">
        <f>IF(AND(COUNTIF(Control!$E$20:$E$100,$B66)=0,COUNTIF(Control!$E$20:$E$100,AK$2)=0),VISUM_Arterial_OD!AK66*Control!$B$3,0)</f>
        <v>0</v>
      </c>
      <c r="AL66">
        <f>IF(AND(COUNTIF(Control!$E$20:$E$100,$B66)=0,COUNTIF(Control!$E$20:$E$100,AL$2)=0),VISUM_Arterial_OD!AL66*Control!$B$3,0)</f>
        <v>0</v>
      </c>
      <c r="AM66">
        <f>IF(AND(COUNTIF(Control!$E$20:$E$100,$B66)=0,COUNTIF(Control!$E$20:$E$100,AM$2)=0),VISUM_Arterial_OD!AM66*Control!$B$3,0)</f>
        <v>0</v>
      </c>
      <c r="AN66">
        <f>IF(AND(COUNTIF(Control!$E$20:$E$100,$B66)=0,COUNTIF(Control!$E$20:$E$100,AN$2)=0),VISUM_Arterial_OD!AN66*Control!$B$3,0)</f>
        <v>0</v>
      </c>
      <c r="AO66">
        <f>IF(AND(COUNTIF(Control!$E$20:$E$100,$B66)=0,COUNTIF(Control!$E$20:$E$100,AO$2)=0),VISUM_Arterial_OD!AO66*Control!$B$3,0)</f>
        <v>0</v>
      </c>
      <c r="AP66">
        <f>IF(AND(COUNTIF(Control!$E$20:$E$100,$B66)=0,COUNTIF(Control!$E$20:$E$100,AP$2)=0),VISUM_Arterial_OD!AP66*Control!$B$3,0)</f>
        <v>0</v>
      </c>
      <c r="AQ66">
        <f>IF(AND(COUNTIF(Control!$E$20:$E$100,$B66)=0,COUNTIF(Control!$E$20:$E$100,AQ$2)=0),VISUM_Arterial_OD!AQ66*Control!$B$3,0)</f>
        <v>0</v>
      </c>
      <c r="AR66">
        <f>IF(AND(COUNTIF(Control!$E$20:$E$100,$B66)=0,COUNTIF(Control!$E$20:$E$100,AR$2)=0),VISUM_Arterial_OD!AR66*Control!$B$3,0)</f>
        <v>0</v>
      </c>
      <c r="AS66">
        <f>IF(AND(COUNTIF(Control!$E$20:$E$100,$B66)=0,COUNTIF(Control!$E$20:$E$100,AS$2)=0),VISUM_Arterial_OD!AS66*Control!$B$3,0)</f>
        <v>0</v>
      </c>
      <c r="AT66">
        <f>IF(AND(COUNTIF(Control!$E$20:$E$100,$B66)=0,COUNTIF(Control!$E$20:$E$100,AT$2)=0),VISUM_Arterial_OD!AT66*Control!$B$3,0)</f>
        <v>0</v>
      </c>
      <c r="AU66">
        <f>IF(AND(COUNTIF(Control!$E$20:$E$100,$B66)=0,COUNTIF(Control!$E$20:$E$100,AU$2)=0),VISUM_Arterial_OD!AU66*Control!$B$3,0)</f>
        <v>0</v>
      </c>
      <c r="AV66">
        <f>IF(AND(COUNTIF(Control!$E$20:$E$100,$B66)=0,COUNTIF(Control!$E$20:$E$100,AV$2)=0),VISUM_Arterial_OD!AV66*Control!$B$3,0)</f>
        <v>0</v>
      </c>
      <c r="AW66">
        <f>IF(AND(COUNTIF(Control!$E$20:$E$100,$B66)=0,COUNTIF(Control!$E$20:$E$100,AW$2)=0),VISUM_Arterial_OD!AW66*Control!$B$3,0)</f>
        <v>0</v>
      </c>
      <c r="AX66">
        <f>IF(AND(COUNTIF(Control!$E$20:$E$100,$B66)=0,COUNTIF(Control!$E$20:$E$100,AX$2)=0),VISUM_Arterial_OD!AX66*Control!$B$3,0)</f>
        <v>0</v>
      </c>
      <c r="AY66">
        <f>IF(AND(COUNTIF(Control!$E$20:$E$100,$B66)=0,COUNTIF(Control!$E$20:$E$100,AY$2)=0),VISUM_Arterial_OD!AY66*Control!$B$3,0)</f>
        <v>0</v>
      </c>
      <c r="AZ66">
        <f>IF(AND(COUNTIF(Control!$E$20:$E$100,$B66)=0,COUNTIF(Control!$E$20:$E$100,AZ$2)=0),VISUM_Arterial_OD!AZ66*Control!$B$3,0)</f>
        <v>0</v>
      </c>
      <c r="BA66">
        <f>IF(AND(COUNTIF(Control!$E$20:$E$100,$B66)=0,COUNTIF(Control!$E$20:$E$100,BA$2)=0),VISUM_Arterial_OD!BA66*Control!$B$3,0)</f>
        <v>0</v>
      </c>
      <c r="BB66">
        <f>IF(AND(COUNTIF(Control!$E$20:$E$100,$B66)=0,COUNTIF(Control!$E$20:$E$100,BB$2)=0),VISUM_Arterial_OD!BB66*Control!$B$3,0)</f>
        <v>0</v>
      </c>
      <c r="BC66">
        <f>IF(AND(COUNTIF(Control!$E$20:$E$100,$B66)=0,COUNTIF(Control!$E$20:$E$100,BC$2)=0),VISUM_Arterial_OD!BC66*Control!$B$3,0)</f>
        <v>0</v>
      </c>
      <c r="BD66">
        <f>IF(AND(COUNTIF(Control!$E$20:$E$100,$B66)=0,COUNTIF(Control!$E$20:$E$100,BD$2)=0),VISUM_Arterial_OD!BD66*Control!$B$3,0)</f>
        <v>0</v>
      </c>
      <c r="BE66">
        <f>IF(AND(COUNTIF(Control!$E$20:$E$100,$B66)=0,COUNTIF(Control!$E$20:$E$100,BE$2)=0),VISUM_Arterial_OD!BE66*Control!$B$3,0)</f>
        <v>0</v>
      </c>
      <c r="BF66">
        <f>IF(AND(COUNTIF(Control!$E$20:$E$100,$B66)=0,COUNTIF(Control!$E$20:$E$100,BF$2)=0),VISUM_Arterial_OD!BF66*Control!$B$3,0)</f>
        <v>0</v>
      </c>
      <c r="BG66">
        <f>IF(AND(COUNTIF(Control!$E$20:$E$100,$B66)=0,COUNTIF(Control!$E$20:$E$100,BG$2)=0),VISUM_Arterial_OD!BG66*Control!$B$3,0)</f>
        <v>0</v>
      </c>
      <c r="BH66">
        <f>IF(AND(COUNTIF(Control!$E$20:$E$100,$B66)=0,COUNTIF(Control!$E$20:$E$100,BH$2)=0),VISUM_Arterial_OD!BH66*Control!$B$3,0)</f>
        <v>0</v>
      </c>
      <c r="BI66">
        <f>IF(AND(COUNTIF(Control!$E$20:$E$100,$B66)=0,COUNTIF(Control!$E$20:$E$100,BI$2)=0),VISUM_Arterial_OD!BI66*Control!$B$3,0)</f>
        <v>0</v>
      </c>
      <c r="BJ66">
        <f>IF(AND(COUNTIF(Control!$E$20:$E$100,$B66)=0,COUNTIF(Control!$E$20:$E$100,BJ$2)=0),VISUM_Arterial_OD!BJ66*Control!$B$3,0)</f>
        <v>10.619140349999999</v>
      </c>
      <c r="BK66">
        <f>IF(AND(COUNTIF(Control!$E$20:$E$100,$B66)=0,COUNTIF(Control!$E$20:$E$100,BK$2)=0),VISUM_Arterial_OD!BK66*Control!$B$3,0)</f>
        <v>11.54983719</v>
      </c>
      <c r="BL66">
        <f>IF(AND(COUNTIF(Control!$E$20:$E$100,$B66)=0,COUNTIF(Control!$E$20:$E$100,BL$2)=0),VISUM_Arterial_OD!BL66*Control!$B$3,0)</f>
        <v>2.06954949</v>
      </c>
      <c r="BM66">
        <f>IF(AND(COUNTIF(Control!$E$20:$E$100,$B66)=0,COUNTIF(Control!$E$20:$E$100,BM$2)=0),VISUM_Arterial_OD!BM66*Control!$B$3,0)</f>
        <v>0.66369626999999998</v>
      </c>
      <c r="BN66">
        <f>IF(AND(COUNTIF(Control!$E$20:$E$100,$B66)=0,COUNTIF(Control!$E$20:$E$100,BN$2)=0),VISUM_Arterial_OD!BN66*Control!$B$3,0)</f>
        <v>0</v>
      </c>
      <c r="BO66">
        <f>IF(AND(COUNTIF(Control!$E$20:$E$100,$B66)=0,COUNTIF(Control!$E$20:$E$100,BO$2)=0),VISUM_Arterial_OD!BO66*Control!$B$3,0)</f>
        <v>0</v>
      </c>
      <c r="BP66">
        <f>IF(AND(COUNTIF(Control!$E$20:$E$100,$B66)=0,COUNTIF(Control!$E$20:$E$100,BP$2)=0),VISUM_Arterial_OD!BP66*Control!$B$3,0)</f>
        <v>0</v>
      </c>
      <c r="BQ66">
        <f>IF(AND(COUNTIF(Control!$E$20:$E$100,$B66)=0,COUNTIF(Control!$E$20:$E$100,BQ$2)=0),VISUM_Arterial_OD!BQ66*Control!$B$3,0)</f>
        <v>0</v>
      </c>
    </row>
    <row r="67" spans="1:69" x14ac:dyDescent="0.25">
      <c r="A67" s="5">
        <f>IF(VLOOKUP(B67,Arterial_Zone_Link_Mapping!$A:$C,2,FALSE)&lt;&gt;"",VLOOKUP(B67,Arterial_Zone_Link_Mapping!$A:$C,2,FALSE),"")</f>
        <v>355</v>
      </c>
      <c r="B67" s="5">
        <v>89</v>
      </c>
      <c r="C67">
        <f>IF(AND(COUNTIF(Control!$E$20:$E$100,$B67)=0,COUNTIF(Control!$E$20:$E$100,C$2)=0),VISUM_Arterial_OD!C67*Control!$B$3,0)</f>
        <v>6.90014313</v>
      </c>
      <c r="D67">
        <f>IF(AND(COUNTIF(Control!$E$20:$E$100,$B67)=0,COUNTIF(Control!$E$20:$E$100,D$2)=0),VISUM_Arterial_OD!D67*Control!$B$3,0)</f>
        <v>0.15065712000000001</v>
      </c>
      <c r="E67">
        <f>IF(AND(COUNTIF(Control!$E$20:$E$100,$B67)=0,COUNTIF(Control!$E$20:$E$100,E$2)=0),VISUM_Arterial_OD!E67*Control!$B$3,0)</f>
        <v>0</v>
      </c>
      <c r="F67">
        <f>IF(AND(COUNTIF(Control!$E$20:$E$100,$B67)=0,COUNTIF(Control!$E$20:$E$100,F$2)=0),VISUM_Arterial_OD!F67*Control!$B$3,0)</f>
        <v>0</v>
      </c>
      <c r="G67">
        <f>IF(AND(COUNTIF(Control!$E$20:$E$100,$B67)=0,COUNTIF(Control!$E$20:$E$100,G$2)=0),VISUM_Arterial_OD!G67*Control!$B$3,0)</f>
        <v>0</v>
      </c>
      <c r="H67">
        <f>IF(AND(COUNTIF(Control!$E$20:$E$100,$B67)=0,COUNTIF(Control!$E$20:$E$100,H$2)=0),VISUM_Arterial_OD!H67*Control!$B$3,0)</f>
        <v>0</v>
      </c>
      <c r="I67">
        <f>IF(AND(COUNTIF(Control!$E$20:$E$100,$B67)=0,COUNTIF(Control!$E$20:$E$100,I$2)=0),VISUM_Arterial_OD!I67*Control!$B$3,0)</f>
        <v>0</v>
      </c>
      <c r="J67">
        <f>IF(AND(COUNTIF(Control!$E$20:$E$100,$B67)=0,COUNTIF(Control!$E$20:$E$100,J$2)=0),VISUM_Arterial_OD!J67*Control!$B$3,0)</f>
        <v>0.80714618999999987</v>
      </c>
      <c r="K67">
        <f>IF(AND(COUNTIF(Control!$E$20:$E$100,$B67)=0,COUNTIF(Control!$E$20:$E$100,K$2)=0),VISUM_Arterial_OD!K67*Control!$B$3,0)</f>
        <v>0.47828834999999997</v>
      </c>
      <c r="L67">
        <f>IF(AND(COUNTIF(Control!$E$20:$E$100,$B67)=0,COUNTIF(Control!$E$20:$E$100,L$2)=0),VISUM_Arterial_OD!L67*Control!$B$3,0)</f>
        <v>2.5534465799999997</v>
      </c>
      <c r="M67">
        <f>IF(AND(COUNTIF(Control!$E$20:$E$100,$B67)=0,COUNTIF(Control!$E$20:$E$100,M$2)=0),VISUM_Arterial_OD!M67*Control!$B$3,0)</f>
        <v>0</v>
      </c>
      <c r="N67">
        <f>IF(AND(COUNTIF(Control!$E$20:$E$100,$B67)=0,COUNTIF(Control!$E$20:$E$100,N$2)=0),VISUM_Arterial_OD!N67*Control!$B$3,0)</f>
        <v>0</v>
      </c>
      <c r="O67">
        <f>IF(AND(COUNTIF(Control!$E$20:$E$100,$B67)=0,COUNTIF(Control!$E$20:$E$100,O$2)=0),VISUM_Arterial_OD!O67*Control!$B$3,0)</f>
        <v>1.64631945</v>
      </c>
      <c r="P67">
        <f>IF(AND(COUNTIF(Control!$E$20:$E$100,$B67)=0,COUNTIF(Control!$E$20:$E$100,P$2)=0),VISUM_Arterial_OD!P67*Control!$B$3,0)</f>
        <v>0.59061258000000005</v>
      </c>
      <c r="Q67">
        <f>IF(AND(COUNTIF(Control!$E$20:$E$100,$B67)=0,COUNTIF(Control!$E$20:$E$100,Q$2)=0),VISUM_Arterial_OD!Q67*Control!$B$3,0)</f>
        <v>0</v>
      </c>
      <c r="R67">
        <f>IF(AND(COUNTIF(Control!$E$20:$E$100,$B67)=0,COUNTIF(Control!$E$20:$E$100,R$2)=0),VISUM_Arterial_OD!R67*Control!$B$3,0)</f>
        <v>0</v>
      </c>
      <c r="S67">
        <f>IF(AND(COUNTIF(Control!$E$20:$E$100,$B67)=0,COUNTIF(Control!$E$20:$E$100,S$2)=0),VISUM_Arterial_OD!S67*Control!$B$3,0)</f>
        <v>1.2156039599999999</v>
      </c>
      <c r="T67">
        <f>IF(AND(COUNTIF(Control!$E$20:$E$100,$B67)=0,COUNTIF(Control!$E$20:$E$100,T$2)=0),VISUM_Arterial_OD!T67*Control!$B$3,0)</f>
        <v>0</v>
      </c>
      <c r="U67">
        <f>IF(AND(COUNTIF(Control!$E$20:$E$100,$B67)=0,COUNTIF(Control!$E$20:$E$100,U$2)=0),VISUM_Arterial_OD!U67*Control!$B$3,0)</f>
        <v>0</v>
      </c>
      <c r="V67">
        <f>IF(AND(COUNTIF(Control!$E$20:$E$100,$B67)=0,COUNTIF(Control!$E$20:$E$100,V$2)=0),VISUM_Arterial_OD!V67*Control!$B$3,0)</f>
        <v>0</v>
      </c>
      <c r="W67">
        <f>IF(AND(COUNTIF(Control!$E$20:$E$100,$B67)=0,COUNTIF(Control!$E$20:$E$100,W$2)=0),VISUM_Arterial_OD!W67*Control!$B$3,0)</f>
        <v>0</v>
      </c>
      <c r="X67">
        <f>IF(AND(COUNTIF(Control!$E$20:$E$100,$B67)=0,COUNTIF(Control!$E$20:$E$100,X$2)=0),VISUM_Arterial_OD!X67*Control!$B$3,0)</f>
        <v>0</v>
      </c>
      <c r="Y67">
        <f>IF(AND(COUNTIF(Control!$E$20:$E$100,$B67)=0,COUNTIF(Control!$E$20:$E$100,Y$2)=0),VISUM_Arterial_OD!Y67*Control!$B$3,0)</f>
        <v>0</v>
      </c>
      <c r="Z67">
        <f>IF(AND(COUNTIF(Control!$E$20:$E$100,$B67)=0,COUNTIF(Control!$E$20:$E$100,Z$2)=0),VISUM_Arterial_OD!Z67*Control!$B$3,0)</f>
        <v>0.15961361999999998</v>
      </c>
      <c r="AA67">
        <f>IF(AND(COUNTIF(Control!$E$20:$E$100,$B67)=0,COUNTIF(Control!$E$20:$E$100,AA$2)=0),VISUM_Arterial_OD!AA67*Control!$B$3,0)</f>
        <v>0</v>
      </c>
      <c r="AB67">
        <f>IF(AND(COUNTIF(Control!$E$20:$E$100,$B67)=0,COUNTIF(Control!$E$20:$E$100,AB$2)=0),VISUM_Arterial_OD!AB67*Control!$B$3,0)</f>
        <v>0.93266972999999997</v>
      </c>
      <c r="AC67">
        <f>IF(AND(COUNTIF(Control!$E$20:$E$100,$B67)=0,COUNTIF(Control!$E$20:$E$100,AC$2)=0),VISUM_Arterial_OD!AC67*Control!$B$3,0)</f>
        <v>0</v>
      </c>
      <c r="AD67">
        <f>IF(AND(COUNTIF(Control!$E$20:$E$100,$B67)=0,COUNTIF(Control!$E$20:$E$100,AD$2)=0),VISUM_Arterial_OD!AD67*Control!$B$3,0)</f>
        <v>0</v>
      </c>
      <c r="AE67">
        <f>IF(AND(COUNTIF(Control!$E$20:$E$100,$B67)=0,COUNTIF(Control!$E$20:$E$100,AE$2)=0),VISUM_Arterial_OD!AE67*Control!$B$3,0)</f>
        <v>0</v>
      </c>
      <c r="AF67">
        <f>IF(AND(COUNTIF(Control!$E$20:$E$100,$B67)=0,COUNTIF(Control!$E$20:$E$100,AF$2)=0),VISUM_Arterial_OD!AF67*Control!$B$3,0)</f>
        <v>0</v>
      </c>
      <c r="AG67">
        <f>IF(AND(COUNTIF(Control!$E$20:$E$100,$B67)=0,COUNTIF(Control!$E$20:$E$100,AG$2)=0),VISUM_Arterial_OD!AG67*Control!$B$3,0)</f>
        <v>0</v>
      </c>
      <c r="AH67">
        <f>IF(AND(COUNTIF(Control!$E$20:$E$100,$B67)=0,COUNTIF(Control!$E$20:$E$100,AH$2)=0),VISUM_Arterial_OD!AH67*Control!$B$3,0)</f>
        <v>0</v>
      </c>
      <c r="AI67">
        <f>IF(AND(COUNTIF(Control!$E$20:$E$100,$B67)=0,COUNTIF(Control!$E$20:$E$100,AI$2)=0),VISUM_Arterial_OD!AI67*Control!$B$3,0)</f>
        <v>0</v>
      </c>
      <c r="AJ67">
        <f>IF(AND(COUNTIF(Control!$E$20:$E$100,$B67)=0,COUNTIF(Control!$E$20:$E$100,AJ$2)=0),VISUM_Arterial_OD!AJ67*Control!$B$3,0)</f>
        <v>0</v>
      </c>
      <c r="AK67">
        <f>IF(AND(COUNTIF(Control!$E$20:$E$100,$B67)=0,COUNTIF(Control!$E$20:$E$100,AK$2)=0),VISUM_Arterial_OD!AK67*Control!$B$3,0)</f>
        <v>0</v>
      </c>
      <c r="AL67">
        <f>IF(AND(COUNTIF(Control!$E$20:$E$100,$B67)=0,COUNTIF(Control!$E$20:$E$100,AL$2)=0),VISUM_Arterial_OD!AL67*Control!$B$3,0)</f>
        <v>1.06122462</v>
      </c>
      <c r="AM67">
        <f>IF(AND(COUNTIF(Control!$E$20:$E$100,$B67)=0,COUNTIF(Control!$E$20:$E$100,AM$2)=0),VISUM_Arterial_OD!AM67*Control!$B$3,0)</f>
        <v>0</v>
      </c>
      <c r="AN67">
        <f>IF(AND(COUNTIF(Control!$E$20:$E$100,$B67)=0,COUNTIF(Control!$E$20:$E$100,AN$2)=0),VISUM_Arterial_OD!AN67*Control!$B$3,0)</f>
        <v>2.1440824799999998</v>
      </c>
      <c r="AO67">
        <f>IF(AND(COUNTIF(Control!$E$20:$E$100,$B67)=0,COUNTIF(Control!$E$20:$E$100,AO$2)=0),VISUM_Arterial_OD!AO67*Control!$B$3,0)</f>
        <v>0</v>
      </c>
      <c r="AP67">
        <f>IF(AND(COUNTIF(Control!$E$20:$E$100,$B67)=0,COUNTIF(Control!$E$20:$E$100,AP$2)=0),VISUM_Arterial_OD!AP67*Control!$B$3,0)</f>
        <v>0</v>
      </c>
      <c r="AQ67">
        <f>IF(AND(COUNTIF(Control!$E$20:$E$100,$B67)=0,COUNTIF(Control!$E$20:$E$100,AQ$2)=0),VISUM_Arterial_OD!AQ67*Control!$B$3,0)</f>
        <v>0</v>
      </c>
      <c r="AR67">
        <f>IF(AND(COUNTIF(Control!$E$20:$E$100,$B67)=0,COUNTIF(Control!$E$20:$E$100,AR$2)=0),VISUM_Arterial_OD!AR67*Control!$B$3,0)</f>
        <v>0</v>
      </c>
      <c r="AS67">
        <f>IF(AND(COUNTIF(Control!$E$20:$E$100,$B67)=0,COUNTIF(Control!$E$20:$E$100,AS$2)=0),VISUM_Arterial_OD!AS67*Control!$B$3,0)</f>
        <v>0</v>
      </c>
      <c r="AT67">
        <f>IF(AND(COUNTIF(Control!$E$20:$E$100,$B67)=0,COUNTIF(Control!$E$20:$E$100,AT$2)=0),VISUM_Arterial_OD!AT67*Control!$B$3,0)</f>
        <v>0</v>
      </c>
      <c r="AU67">
        <f>IF(AND(COUNTIF(Control!$E$20:$E$100,$B67)=0,COUNTIF(Control!$E$20:$E$100,AU$2)=0),VISUM_Arterial_OD!AU67*Control!$B$3,0)</f>
        <v>0</v>
      </c>
      <c r="AV67">
        <f>IF(AND(COUNTIF(Control!$E$20:$E$100,$B67)=0,COUNTIF(Control!$E$20:$E$100,AV$2)=0),VISUM_Arterial_OD!AV67*Control!$B$3,0)</f>
        <v>0</v>
      </c>
      <c r="AW67">
        <f>IF(AND(COUNTIF(Control!$E$20:$E$100,$B67)=0,COUNTIF(Control!$E$20:$E$100,AW$2)=0),VISUM_Arterial_OD!AW67*Control!$B$3,0)</f>
        <v>0</v>
      </c>
      <c r="AX67">
        <f>IF(AND(COUNTIF(Control!$E$20:$E$100,$B67)=0,COUNTIF(Control!$E$20:$E$100,AX$2)=0),VISUM_Arterial_OD!AX67*Control!$B$3,0)</f>
        <v>1.70412702</v>
      </c>
      <c r="AY67">
        <f>IF(AND(COUNTIF(Control!$E$20:$E$100,$B67)=0,COUNTIF(Control!$E$20:$E$100,AY$2)=0),VISUM_Arterial_OD!AY67*Control!$B$3,0)</f>
        <v>0</v>
      </c>
      <c r="AZ67">
        <f>IF(AND(COUNTIF(Control!$E$20:$E$100,$B67)=0,COUNTIF(Control!$E$20:$E$100,AZ$2)=0),VISUM_Arterial_OD!AZ67*Control!$B$3,0)</f>
        <v>0</v>
      </c>
      <c r="BA67">
        <f>IF(AND(COUNTIF(Control!$E$20:$E$100,$B67)=0,COUNTIF(Control!$E$20:$E$100,BA$2)=0),VISUM_Arterial_OD!BA67*Control!$B$3,0)</f>
        <v>0</v>
      </c>
      <c r="BB67">
        <f>IF(AND(COUNTIF(Control!$E$20:$E$100,$B67)=0,COUNTIF(Control!$E$20:$E$100,BB$2)=0),VISUM_Arterial_OD!BB67*Control!$B$3,0)</f>
        <v>0</v>
      </c>
      <c r="BC67">
        <f>IF(AND(COUNTIF(Control!$E$20:$E$100,$B67)=0,COUNTIF(Control!$E$20:$E$100,BC$2)=0),VISUM_Arterial_OD!BC67*Control!$B$3,0)</f>
        <v>0</v>
      </c>
      <c r="BD67">
        <f>IF(AND(COUNTIF(Control!$E$20:$E$100,$B67)=0,COUNTIF(Control!$E$20:$E$100,BD$2)=0),VISUM_Arterial_OD!BD67*Control!$B$3,0)</f>
        <v>0</v>
      </c>
      <c r="BE67">
        <f>IF(AND(COUNTIF(Control!$E$20:$E$100,$B67)=0,COUNTIF(Control!$E$20:$E$100,BE$2)=0),VISUM_Arterial_OD!BE67*Control!$B$3,0)</f>
        <v>0</v>
      </c>
      <c r="BF67">
        <f>IF(AND(COUNTIF(Control!$E$20:$E$100,$B67)=0,COUNTIF(Control!$E$20:$E$100,BF$2)=0),VISUM_Arterial_OD!BF67*Control!$B$3,0)</f>
        <v>0</v>
      </c>
      <c r="BG67">
        <f>IF(AND(COUNTIF(Control!$E$20:$E$100,$B67)=0,COUNTIF(Control!$E$20:$E$100,BG$2)=0),VISUM_Arterial_OD!BG67*Control!$B$3,0)</f>
        <v>0</v>
      </c>
      <c r="BH67">
        <f>IF(AND(COUNTIF(Control!$E$20:$E$100,$B67)=0,COUNTIF(Control!$E$20:$E$100,BH$2)=0),VISUM_Arterial_OD!BH67*Control!$B$3,0)</f>
        <v>0</v>
      </c>
      <c r="BI67">
        <f>IF(AND(COUNTIF(Control!$E$20:$E$100,$B67)=0,COUNTIF(Control!$E$20:$E$100,BI$2)=0),VISUM_Arterial_OD!BI67*Control!$B$3,0)</f>
        <v>0</v>
      </c>
      <c r="BJ67">
        <f>IF(AND(COUNTIF(Control!$E$20:$E$100,$B67)=0,COUNTIF(Control!$E$20:$E$100,BJ$2)=0),VISUM_Arterial_OD!BJ67*Control!$B$3,0)</f>
        <v>0</v>
      </c>
      <c r="BK67">
        <f>IF(AND(COUNTIF(Control!$E$20:$E$100,$B67)=0,COUNTIF(Control!$E$20:$E$100,BK$2)=0),VISUM_Arterial_OD!BK67*Control!$B$3,0)</f>
        <v>0</v>
      </c>
      <c r="BL67">
        <f>IF(AND(COUNTIF(Control!$E$20:$E$100,$B67)=0,COUNTIF(Control!$E$20:$E$100,BL$2)=0),VISUM_Arterial_OD!BL67*Control!$B$3,0)</f>
        <v>0</v>
      </c>
      <c r="BM67">
        <f>IF(AND(COUNTIF(Control!$E$20:$E$100,$B67)=0,COUNTIF(Control!$E$20:$E$100,BM$2)=0),VISUM_Arterial_OD!BM67*Control!$B$3,0)</f>
        <v>0</v>
      </c>
      <c r="BN67">
        <f>IF(AND(COUNTIF(Control!$E$20:$E$100,$B67)=0,COUNTIF(Control!$E$20:$E$100,BN$2)=0),VISUM_Arterial_OD!BN67*Control!$B$3,0)</f>
        <v>0</v>
      </c>
      <c r="BO67">
        <f>IF(AND(COUNTIF(Control!$E$20:$E$100,$B67)=0,COUNTIF(Control!$E$20:$E$100,BO$2)=0),VISUM_Arterial_OD!BO67*Control!$B$3,0)</f>
        <v>0</v>
      </c>
      <c r="BP67">
        <f>IF(AND(COUNTIF(Control!$E$20:$E$100,$B67)=0,COUNTIF(Control!$E$20:$E$100,BP$2)=0),VISUM_Arterial_OD!BP67*Control!$B$3,0)</f>
        <v>2.6078522400000002</v>
      </c>
      <c r="BQ67">
        <f>IF(AND(COUNTIF(Control!$E$20:$E$100,$B67)=0,COUNTIF(Control!$E$20:$E$100,BQ$2)=0),VISUM_Arterial_OD!BQ67*Control!$B$3,0)</f>
        <v>0</v>
      </c>
    </row>
    <row r="68" spans="1:69" x14ac:dyDescent="0.25">
      <c r="A68" s="5">
        <f>IF(VLOOKUP(B68,Arterial_Zone_Link_Mapping!$A:$C,2,FALSE)&lt;&gt;"",VLOOKUP(B68,Arterial_Zone_Link_Mapping!$A:$C,2,FALSE),"")</f>
        <v>431</v>
      </c>
      <c r="B68" s="5">
        <v>90</v>
      </c>
      <c r="C68">
        <f>IF(AND(COUNTIF(Control!$E$20:$E$100,$B68)=0,COUNTIF(Control!$E$20:$E$100,C$2)=0),VISUM_Arterial_OD!C68*Control!$B$3,0)</f>
        <v>0</v>
      </c>
      <c r="D68">
        <f>IF(AND(COUNTIF(Control!$E$20:$E$100,$B68)=0,COUNTIF(Control!$E$20:$E$100,D$2)=0),VISUM_Arterial_OD!D68*Control!$B$3,0)</f>
        <v>0</v>
      </c>
      <c r="E68">
        <f>IF(AND(COUNTIF(Control!$E$20:$E$100,$B68)=0,COUNTIF(Control!$E$20:$E$100,E$2)=0),VISUM_Arterial_OD!E68*Control!$B$3,0)</f>
        <v>0</v>
      </c>
      <c r="F68">
        <f>IF(AND(COUNTIF(Control!$E$20:$E$100,$B68)=0,COUNTIF(Control!$E$20:$E$100,F$2)=0),VISUM_Arterial_OD!F68*Control!$B$3,0)</f>
        <v>0</v>
      </c>
      <c r="G68">
        <f>IF(AND(COUNTIF(Control!$E$20:$E$100,$B68)=0,COUNTIF(Control!$E$20:$E$100,G$2)=0),VISUM_Arterial_OD!G68*Control!$B$3,0)</f>
        <v>0</v>
      </c>
      <c r="H68">
        <f>IF(AND(COUNTIF(Control!$E$20:$E$100,$B68)=0,COUNTIF(Control!$E$20:$E$100,H$2)=0),VISUM_Arterial_OD!H68*Control!$B$3,0)</f>
        <v>0</v>
      </c>
      <c r="I68">
        <f>IF(AND(COUNTIF(Control!$E$20:$E$100,$B68)=0,COUNTIF(Control!$E$20:$E$100,I$2)=0),VISUM_Arterial_OD!I68*Control!$B$3,0)</f>
        <v>0</v>
      </c>
      <c r="J68">
        <f>IF(AND(COUNTIF(Control!$E$20:$E$100,$B68)=0,COUNTIF(Control!$E$20:$E$100,J$2)=0),VISUM_Arterial_OD!J68*Control!$B$3,0)</f>
        <v>0</v>
      </c>
      <c r="K68">
        <f>IF(AND(COUNTIF(Control!$E$20:$E$100,$B68)=0,COUNTIF(Control!$E$20:$E$100,K$2)=0),VISUM_Arterial_OD!K68*Control!$B$3,0)</f>
        <v>0.16449548999999999</v>
      </c>
      <c r="L68">
        <f>IF(AND(COUNTIF(Control!$E$20:$E$100,$B68)=0,COUNTIF(Control!$E$20:$E$100,L$2)=0),VISUM_Arterial_OD!L68*Control!$B$3,0)</f>
        <v>0.87819510000000001</v>
      </c>
      <c r="M68">
        <f>IF(AND(COUNTIF(Control!$E$20:$E$100,$B68)=0,COUNTIF(Control!$E$20:$E$100,M$2)=0),VISUM_Arterial_OD!M68*Control!$B$3,0)</f>
        <v>0</v>
      </c>
      <c r="N68">
        <f>IF(AND(COUNTIF(Control!$E$20:$E$100,$B68)=0,COUNTIF(Control!$E$20:$E$100,N$2)=0),VISUM_Arterial_OD!N68*Control!$B$3,0)</f>
        <v>0</v>
      </c>
      <c r="O68">
        <f>IF(AND(COUNTIF(Control!$E$20:$E$100,$B68)=0,COUNTIF(Control!$E$20:$E$100,O$2)=0),VISUM_Arterial_OD!O68*Control!$B$3,0)</f>
        <v>0</v>
      </c>
      <c r="P68">
        <f>IF(AND(COUNTIF(Control!$E$20:$E$100,$B68)=0,COUNTIF(Control!$E$20:$E$100,P$2)=0),VISUM_Arterial_OD!P68*Control!$B$3,0)</f>
        <v>0.20312667000000001</v>
      </c>
      <c r="Q68">
        <f>IF(AND(COUNTIF(Control!$E$20:$E$100,$B68)=0,COUNTIF(Control!$E$20:$E$100,Q$2)=0),VISUM_Arterial_OD!Q68*Control!$B$3,0)</f>
        <v>0</v>
      </c>
      <c r="R68">
        <f>IF(AND(COUNTIF(Control!$E$20:$E$100,$B68)=0,COUNTIF(Control!$E$20:$E$100,R$2)=0),VISUM_Arterial_OD!R68*Control!$B$3,0)</f>
        <v>0</v>
      </c>
      <c r="S68">
        <f>IF(AND(COUNTIF(Control!$E$20:$E$100,$B68)=0,COUNTIF(Control!$E$20:$E$100,S$2)=0),VISUM_Arterial_OD!S68*Control!$B$3,0)</f>
        <v>0.41807706</v>
      </c>
      <c r="T68">
        <f>IF(AND(COUNTIF(Control!$E$20:$E$100,$B68)=0,COUNTIF(Control!$E$20:$E$100,T$2)=0),VISUM_Arterial_OD!T68*Control!$B$3,0)</f>
        <v>0</v>
      </c>
      <c r="U68">
        <f>IF(AND(COUNTIF(Control!$E$20:$E$100,$B68)=0,COUNTIF(Control!$E$20:$E$100,U$2)=0),VISUM_Arterial_OD!U68*Control!$B$3,0)</f>
        <v>0</v>
      </c>
      <c r="V68">
        <f>IF(AND(COUNTIF(Control!$E$20:$E$100,$B68)=0,COUNTIF(Control!$E$20:$E$100,V$2)=0),VISUM_Arterial_OD!V68*Control!$B$3,0)</f>
        <v>0</v>
      </c>
      <c r="W68">
        <f>IF(AND(COUNTIF(Control!$E$20:$E$100,$B68)=0,COUNTIF(Control!$E$20:$E$100,W$2)=0),VISUM_Arterial_OD!W68*Control!$B$3,0)</f>
        <v>0</v>
      </c>
      <c r="X68">
        <f>IF(AND(COUNTIF(Control!$E$20:$E$100,$B68)=0,COUNTIF(Control!$E$20:$E$100,X$2)=0),VISUM_Arterial_OD!X68*Control!$B$3,0)</f>
        <v>0</v>
      </c>
      <c r="Y68">
        <f>IF(AND(COUNTIF(Control!$E$20:$E$100,$B68)=0,COUNTIF(Control!$E$20:$E$100,Y$2)=0),VISUM_Arterial_OD!Y68*Control!$B$3,0)</f>
        <v>0</v>
      </c>
      <c r="Z68">
        <f>IF(AND(COUNTIF(Control!$E$20:$E$100,$B68)=0,COUNTIF(Control!$E$20:$E$100,Z$2)=0),VISUM_Arterial_OD!Z68*Control!$B$3,0)</f>
        <v>0</v>
      </c>
      <c r="AA68">
        <f>IF(AND(COUNTIF(Control!$E$20:$E$100,$B68)=0,COUNTIF(Control!$E$20:$E$100,AA$2)=0),VISUM_Arterial_OD!AA68*Control!$B$3,0)</f>
        <v>0</v>
      </c>
      <c r="AB68">
        <f>IF(AND(COUNTIF(Control!$E$20:$E$100,$B68)=0,COUNTIF(Control!$E$20:$E$100,AB$2)=0),VISUM_Arterial_OD!AB68*Control!$B$3,0)</f>
        <v>0</v>
      </c>
      <c r="AC68">
        <f>IF(AND(COUNTIF(Control!$E$20:$E$100,$B68)=0,COUNTIF(Control!$E$20:$E$100,AC$2)=0),VISUM_Arterial_OD!AC68*Control!$B$3,0)</f>
        <v>0</v>
      </c>
      <c r="AD68">
        <f>IF(AND(COUNTIF(Control!$E$20:$E$100,$B68)=0,COUNTIF(Control!$E$20:$E$100,AD$2)=0),VISUM_Arterial_OD!AD68*Control!$B$3,0)</f>
        <v>0</v>
      </c>
      <c r="AE68">
        <f>IF(AND(COUNTIF(Control!$E$20:$E$100,$B68)=0,COUNTIF(Control!$E$20:$E$100,AE$2)=0),VISUM_Arterial_OD!AE68*Control!$B$3,0)</f>
        <v>0</v>
      </c>
      <c r="AF68">
        <f>IF(AND(COUNTIF(Control!$E$20:$E$100,$B68)=0,COUNTIF(Control!$E$20:$E$100,AF$2)=0),VISUM_Arterial_OD!AF68*Control!$B$3,0)</f>
        <v>0</v>
      </c>
      <c r="AG68">
        <f>IF(AND(COUNTIF(Control!$E$20:$E$100,$B68)=0,COUNTIF(Control!$E$20:$E$100,AG$2)=0),VISUM_Arterial_OD!AG68*Control!$B$3,0)</f>
        <v>0</v>
      </c>
      <c r="AH68">
        <f>IF(AND(COUNTIF(Control!$E$20:$E$100,$B68)=0,COUNTIF(Control!$E$20:$E$100,AH$2)=0),VISUM_Arterial_OD!AH68*Control!$B$3,0)</f>
        <v>0</v>
      </c>
      <c r="AI68">
        <f>IF(AND(COUNTIF(Control!$E$20:$E$100,$B68)=0,COUNTIF(Control!$E$20:$E$100,AI$2)=0),VISUM_Arterial_OD!AI68*Control!$B$3,0)</f>
        <v>0</v>
      </c>
      <c r="AJ68">
        <f>IF(AND(COUNTIF(Control!$E$20:$E$100,$B68)=0,COUNTIF(Control!$E$20:$E$100,AJ$2)=0),VISUM_Arterial_OD!AJ68*Control!$B$3,0)</f>
        <v>0</v>
      </c>
      <c r="AK68">
        <f>IF(AND(COUNTIF(Control!$E$20:$E$100,$B68)=0,COUNTIF(Control!$E$20:$E$100,AK$2)=0),VISUM_Arterial_OD!AK68*Control!$B$3,0)</f>
        <v>0</v>
      </c>
      <c r="AL68">
        <f>IF(AND(COUNTIF(Control!$E$20:$E$100,$B68)=0,COUNTIF(Control!$E$20:$E$100,AL$2)=0),VISUM_Arterial_OD!AL68*Control!$B$3,0)</f>
        <v>0</v>
      </c>
      <c r="AM68">
        <f>IF(AND(COUNTIF(Control!$E$20:$E$100,$B68)=0,COUNTIF(Control!$E$20:$E$100,AM$2)=0),VISUM_Arterial_OD!AM68*Control!$B$3,0)</f>
        <v>0</v>
      </c>
      <c r="AN68">
        <f>IF(AND(COUNTIF(Control!$E$20:$E$100,$B68)=0,COUNTIF(Control!$E$20:$E$100,AN$2)=0),VISUM_Arterial_OD!AN68*Control!$B$3,0)</f>
        <v>0</v>
      </c>
      <c r="AO68">
        <f>IF(AND(COUNTIF(Control!$E$20:$E$100,$B68)=0,COUNTIF(Control!$E$20:$E$100,AO$2)=0),VISUM_Arterial_OD!AO68*Control!$B$3,0)</f>
        <v>0</v>
      </c>
      <c r="AP68">
        <f>IF(AND(COUNTIF(Control!$E$20:$E$100,$B68)=0,COUNTIF(Control!$E$20:$E$100,AP$2)=0),VISUM_Arterial_OD!AP68*Control!$B$3,0)</f>
        <v>0</v>
      </c>
      <c r="AQ68">
        <f>IF(AND(COUNTIF(Control!$E$20:$E$100,$B68)=0,COUNTIF(Control!$E$20:$E$100,AQ$2)=0),VISUM_Arterial_OD!AQ68*Control!$B$3,0)</f>
        <v>0</v>
      </c>
      <c r="AR68">
        <f>IF(AND(COUNTIF(Control!$E$20:$E$100,$B68)=0,COUNTIF(Control!$E$20:$E$100,AR$2)=0),VISUM_Arterial_OD!AR68*Control!$B$3,0)</f>
        <v>0</v>
      </c>
      <c r="AS68">
        <f>IF(AND(COUNTIF(Control!$E$20:$E$100,$B68)=0,COUNTIF(Control!$E$20:$E$100,AS$2)=0),VISUM_Arterial_OD!AS68*Control!$B$3,0)</f>
        <v>0</v>
      </c>
      <c r="AT68">
        <f>IF(AND(COUNTIF(Control!$E$20:$E$100,$B68)=0,COUNTIF(Control!$E$20:$E$100,AT$2)=0),VISUM_Arterial_OD!AT68*Control!$B$3,0)</f>
        <v>0</v>
      </c>
      <c r="AU68">
        <f>IF(AND(COUNTIF(Control!$E$20:$E$100,$B68)=0,COUNTIF(Control!$E$20:$E$100,AU$2)=0),VISUM_Arterial_OD!AU68*Control!$B$3,0)</f>
        <v>0</v>
      </c>
      <c r="AV68">
        <f>IF(AND(COUNTIF(Control!$E$20:$E$100,$B68)=0,COUNTIF(Control!$E$20:$E$100,AV$2)=0),VISUM_Arterial_OD!AV68*Control!$B$3,0)</f>
        <v>0</v>
      </c>
      <c r="AW68">
        <f>IF(AND(COUNTIF(Control!$E$20:$E$100,$B68)=0,COUNTIF(Control!$E$20:$E$100,AW$2)=0),VISUM_Arterial_OD!AW68*Control!$B$3,0)</f>
        <v>0</v>
      </c>
      <c r="AX68">
        <f>IF(AND(COUNTIF(Control!$E$20:$E$100,$B68)=0,COUNTIF(Control!$E$20:$E$100,AX$2)=0),VISUM_Arterial_OD!AX68*Control!$B$3,0)</f>
        <v>0.58609254</v>
      </c>
      <c r="AY68">
        <f>IF(AND(COUNTIF(Control!$E$20:$E$100,$B68)=0,COUNTIF(Control!$E$20:$E$100,AY$2)=0),VISUM_Arterial_OD!AY68*Control!$B$3,0)</f>
        <v>0</v>
      </c>
      <c r="AZ68">
        <f>IF(AND(COUNTIF(Control!$E$20:$E$100,$B68)=0,COUNTIF(Control!$E$20:$E$100,AZ$2)=0),VISUM_Arterial_OD!AZ68*Control!$B$3,0)</f>
        <v>0</v>
      </c>
      <c r="BA68">
        <f>IF(AND(COUNTIF(Control!$E$20:$E$100,$B68)=0,COUNTIF(Control!$E$20:$E$100,BA$2)=0),VISUM_Arterial_OD!BA68*Control!$B$3,0)</f>
        <v>0</v>
      </c>
      <c r="BB68">
        <f>IF(AND(COUNTIF(Control!$E$20:$E$100,$B68)=0,COUNTIF(Control!$E$20:$E$100,BB$2)=0),VISUM_Arterial_OD!BB68*Control!$B$3,0)</f>
        <v>0</v>
      </c>
      <c r="BC68">
        <f>IF(AND(COUNTIF(Control!$E$20:$E$100,$B68)=0,COUNTIF(Control!$E$20:$E$100,BC$2)=0),VISUM_Arterial_OD!BC68*Control!$B$3,0)</f>
        <v>0</v>
      </c>
      <c r="BD68">
        <f>IF(AND(COUNTIF(Control!$E$20:$E$100,$B68)=0,COUNTIF(Control!$E$20:$E$100,BD$2)=0),VISUM_Arterial_OD!BD68*Control!$B$3,0)</f>
        <v>0</v>
      </c>
      <c r="BE68">
        <f>IF(AND(COUNTIF(Control!$E$20:$E$100,$B68)=0,COUNTIF(Control!$E$20:$E$100,BE$2)=0),VISUM_Arterial_OD!BE68*Control!$B$3,0)</f>
        <v>0</v>
      </c>
      <c r="BF68">
        <f>IF(AND(COUNTIF(Control!$E$20:$E$100,$B68)=0,COUNTIF(Control!$E$20:$E$100,BF$2)=0),VISUM_Arterial_OD!BF68*Control!$B$3,0)</f>
        <v>0</v>
      </c>
      <c r="BG68">
        <f>IF(AND(COUNTIF(Control!$E$20:$E$100,$B68)=0,COUNTIF(Control!$E$20:$E$100,BG$2)=0),VISUM_Arterial_OD!BG68*Control!$B$3,0)</f>
        <v>0</v>
      </c>
      <c r="BH68">
        <f>IF(AND(COUNTIF(Control!$E$20:$E$100,$B68)=0,COUNTIF(Control!$E$20:$E$100,BH$2)=0),VISUM_Arterial_OD!BH68*Control!$B$3,0)</f>
        <v>0</v>
      </c>
      <c r="BI68">
        <f>IF(AND(COUNTIF(Control!$E$20:$E$100,$B68)=0,COUNTIF(Control!$E$20:$E$100,BI$2)=0),VISUM_Arterial_OD!BI68*Control!$B$3,0)</f>
        <v>0</v>
      </c>
      <c r="BJ68">
        <f>IF(AND(COUNTIF(Control!$E$20:$E$100,$B68)=0,COUNTIF(Control!$E$20:$E$100,BJ$2)=0),VISUM_Arterial_OD!BJ68*Control!$B$3,0)</f>
        <v>0</v>
      </c>
      <c r="BK68">
        <f>IF(AND(COUNTIF(Control!$E$20:$E$100,$B68)=0,COUNTIF(Control!$E$20:$E$100,BK$2)=0),VISUM_Arterial_OD!BK68*Control!$B$3,0)</f>
        <v>0</v>
      </c>
      <c r="BL68">
        <f>IF(AND(COUNTIF(Control!$E$20:$E$100,$B68)=0,COUNTIF(Control!$E$20:$E$100,BL$2)=0),VISUM_Arterial_OD!BL68*Control!$B$3,0)</f>
        <v>0</v>
      </c>
      <c r="BM68">
        <f>IF(AND(COUNTIF(Control!$E$20:$E$100,$B68)=0,COUNTIF(Control!$E$20:$E$100,BM$2)=0),VISUM_Arterial_OD!BM68*Control!$B$3,0)</f>
        <v>0</v>
      </c>
      <c r="BN68">
        <f>IF(AND(COUNTIF(Control!$E$20:$E$100,$B68)=0,COUNTIF(Control!$E$20:$E$100,BN$2)=0),VISUM_Arterial_OD!BN68*Control!$B$3,0)</f>
        <v>0</v>
      </c>
      <c r="BO68">
        <f>IF(AND(COUNTIF(Control!$E$20:$E$100,$B68)=0,COUNTIF(Control!$E$20:$E$100,BO$2)=0),VISUM_Arterial_OD!BO68*Control!$B$3,0)</f>
        <v>0</v>
      </c>
      <c r="BP68">
        <f>IF(AND(COUNTIF(Control!$E$20:$E$100,$B68)=0,COUNTIF(Control!$E$20:$E$100,BP$2)=0),VISUM_Arterial_OD!BP68*Control!$B$3,0)</f>
        <v>0</v>
      </c>
      <c r="BQ68">
        <f>IF(AND(COUNTIF(Control!$E$20:$E$100,$B68)=0,COUNTIF(Control!$E$20:$E$100,BQ$2)=0),VISUM_Arterial_OD!BQ68*Control!$B$3,0)</f>
        <v>0</v>
      </c>
    </row>
    <row r="69" spans="1:69" x14ac:dyDescent="0.25">
      <c r="A69" s="5">
        <f>IF(VLOOKUP(B69,Arterial_Zone_Link_Mapping!$A:$C,2,FALSE)&lt;&gt;"",VLOOKUP(B69,Arterial_Zone_Link_Mapping!$A:$C,2,FALSE),"")</f>
        <v>257</v>
      </c>
      <c r="B69" s="5">
        <v>91</v>
      </c>
      <c r="C69">
        <f>IF(AND(COUNTIF(Control!$E$20:$E$100,$B69)=0,COUNTIF(Control!$E$20:$E$100,C$2)=0),VISUM_Arterial_OD!C69*Control!$B$3,0)</f>
        <v>1.4930107499999998</v>
      </c>
      <c r="D69">
        <f>IF(AND(COUNTIF(Control!$E$20:$E$100,$B69)=0,COUNTIF(Control!$E$20:$E$100,D$2)=0),VISUM_Arterial_OD!D69*Control!$B$3,0)</f>
        <v>0.14428157999999999</v>
      </c>
      <c r="E69">
        <f>IF(AND(COUNTIF(Control!$E$20:$E$100,$B69)=0,COUNTIF(Control!$E$20:$E$100,E$2)=0),VISUM_Arterial_OD!E69*Control!$B$3,0)</f>
        <v>0</v>
      </c>
      <c r="F69">
        <f>IF(AND(COUNTIF(Control!$E$20:$E$100,$B69)=0,COUNTIF(Control!$E$20:$E$100,F$2)=0),VISUM_Arterial_OD!F69*Control!$B$3,0)</f>
        <v>0</v>
      </c>
      <c r="G69">
        <f>IF(AND(COUNTIF(Control!$E$20:$E$100,$B69)=0,COUNTIF(Control!$E$20:$E$100,G$2)=0),VISUM_Arterial_OD!G69*Control!$B$3,0)</f>
        <v>0</v>
      </c>
      <c r="H69">
        <f>IF(AND(COUNTIF(Control!$E$20:$E$100,$B69)=0,COUNTIF(Control!$E$20:$E$100,H$2)=0),VISUM_Arterial_OD!H69*Control!$B$3,0)</f>
        <v>0</v>
      </c>
      <c r="I69">
        <f>IF(AND(COUNTIF(Control!$E$20:$E$100,$B69)=0,COUNTIF(Control!$E$20:$E$100,I$2)=0),VISUM_Arterial_OD!I69*Control!$B$3,0)</f>
        <v>0</v>
      </c>
      <c r="J69">
        <f>IF(AND(COUNTIF(Control!$E$20:$E$100,$B69)=0,COUNTIF(Control!$E$20:$E$100,J$2)=0),VISUM_Arterial_OD!J69*Control!$B$3,0)</f>
        <v>0.77298920999999998</v>
      </c>
      <c r="K69">
        <f>IF(AND(COUNTIF(Control!$E$20:$E$100,$B69)=0,COUNTIF(Control!$E$20:$E$100,K$2)=0),VISUM_Arterial_OD!K69*Control!$B$3,0)</f>
        <v>0</v>
      </c>
      <c r="L69">
        <f>IF(AND(COUNTIF(Control!$E$20:$E$100,$B69)=0,COUNTIF(Control!$E$20:$E$100,L$2)=0),VISUM_Arterial_OD!L69*Control!$B$3,0)</f>
        <v>0</v>
      </c>
      <c r="M69">
        <f>IF(AND(COUNTIF(Control!$E$20:$E$100,$B69)=0,COUNTIF(Control!$E$20:$E$100,M$2)=0),VISUM_Arterial_OD!M69*Control!$B$3,0)</f>
        <v>0</v>
      </c>
      <c r="N69">
        <f>IF(AND(COUNTIF(Control!$E$20:$E$100,$B69)=0,COUNTIF(Control!$E$20:$E$100,N$2)=0),VISUM_Arterial_OD!N69*Control!$B$3,0)</f>
        <v>0</v>
      </c>
      <c r="O69">
        <f>IF(AND(COUNTIF(Control!$E$20:$E$100,$B69)=0,COUNTIF(Control!$E$20:$E$100,O$2)=0),VISUM_Arterial_OD!O69*Control!$B$3,0)</f>
        <v>1.5766501799999999</v>
      </c>
      <c r="P69">
        <f>IF(AND(COUNTIF(Control!$E$20:$E$100,$B69)=0,COUNTIF(Control!$E$20:$E$100,P$2)=0),VISUM_Arterial_OD!P69*Control!$B$3,0)</f>
        <v>0</v>
      </c>
      <c r="Q69">
        <f>IF(AND(COUNTIF(Control!$E$20:$E$100,$B69)=0,COUNTIF(Control!$E$20:$E$100,Q$2)=0),VISUM_Arterial_OD!Q69*Control!$B$3,0)</f>
        <v>0</v>
      </c>
      <c r="R69">
        <f>IF(AND(COUNTIF(Control!$E$20:$E$100,$B69)=0,COUNTIF(Control!$E$20:$E$100,R$2)=0),VISUM_Arterial_OD!R69*Control!$B$3,0)</f>
        <v>0</v>
      </c>
      <c r="S69">
        <f>IF(AND(COUNTIF(Control!$E$20:$E$100,$B69)=0,COUNTIF(Control!$E$20:$E$100,S$2)=0),VISUM_Arterial_OD!S69*Control!$B$3,0)</f>
        <v>0</v>
      </c>
      <c r="T69">
        <f>IF(AND(COUNTIF(Control!$E$20:$E$100,$B69)=0,COUNTIF(Control!$E$20:$E$100,T$2)=0),VISUM_Arterial_OD!T69*Control!$B$3,0)</f>
        <v>0</v>
      </c>
      <c r="U69">
        <f>IF(AND(COUNTIF(Control!$E$20:$E$100,$B69)=0,COUNTIF(Control!$E$20:$E$100,U$2)=0),VISUM_Arterial_OD!U69*Control!$B$3,0)</f>
        <v>0</v>
      </c>
      <c r="V69">
        <f>IF(AND(COUNTIF(Control!$E$20:$E$100,$B69)=0,COUNTIF(Control!$E$20:$E$100,V$2)=0),VISUM_Arterial_OD!V69*Control!$B$3,0)</f>
        <v>0</v>
      </c>
      <c r="W69">
        <f>IF(AND(COUNTIF(Control!$E$20:$E$100,$B69)=0,COUNTIF(Control!$E$20:$E$100,W$2)=0),VISUM_Arterial_OD!W69*Control!$B$3,0)</f>
        <v>0</v>
      </c>
      <c r="X69">
        <f>IF(AND(COUNTIF(Control!$E$20:$E$100,$B69)=0,COUNTIF(Control!$E$20:$E$100,X$2)=0),VISUM_Arterial_OD!X69*Control!$B$3,0)</f>
        <v>0</v>
      </c>
      <c r="Y69">
        <f>IF(AND(COUNTIF(Control!$E$20:$E$100,$B69)=0,COUNTIF(Control!$E$20:$E$100,Y$2)=0),VISUM_Arterial_OD!Y69*Control!$B$3,0)</f>
        <v>0</v>
      </c>
      <c r="Z69">
        <f>IF(AND(COUNTIF(Control!$E$20:$E$100,$B69)=0,COUNTIF(Control!$E$20:$E$100,Z$2)=0),VISUM_Arterial_OD!Z69*Control!$B$3,0)</f>
        <v>0.15285905999999999</v>
      </c>
      <c r="AA69">
        <f>IF(AND(COUNTIF(Control!$E$20:$E$100,$B69)=0,COUNTIF(Control!$E$20:$E$100,AA$2)=0),VISUM_Arterial_OD!AA69*Control!$B$3,0)</f>
        <v>0</v>
      </c>
      <c r="AB69">
        <f>IF(AND(COUNTIF(Control!$E$20:$E$100,$B69)=0,COUNTIF(Control!$E$20:$E$100,AB$2)=0),VISUM_Arterial_OD!AB69*Control!$B$3,0)</f>
        <v>0.89320083000000006</v>
      </c>
      <c r="AC69">
        <f>IF(AND(COUNTIF(Control!$E$20:$E$100,$B69)=0,COUNTIF(Control!$E$20:$E$100,AC$2)=0),VISUM_Arterial_OD!AC69*Control!$B$3,0)</f>
        <v>0</v>
      </c>
      <c r="AD69">
        <f>IF(AND(COUNTIF(Control!$E$20:$E$100,$B69)=0,COUNTIF(Control!$E$20:$E$100,AD$2)=0),VISUM_Arterial_OD!AD69*Control!$B$3,0)</f>
        <v>0</v>
      </c>
      <c r="AE69">
        <f>IF(AND(COUNTIF(Control!$E$20:$E$100,$B69)=0,COUNTIF(Control!$E$20:$E$100,AE$2)=0),VISUM_Arterial_OD!AE69*Control!$B$3,0)</f>
        <v>0</v>
      </c>
      <c r="AF69">
        <f>IF(AND(COUNTIF(Control!$E$20:$E$100,$B69)=0,COUNTIF(Control!$E$20:$E$100,AF$2)=0),VISUM_Arterial_OD!AF69*Control!$B$3,0)</f>
        <v>0</v>
      </c>
      <c r="AG69">
        <f>IF(AND(COUNTIF(Control!$E$20:$E$100,$B69)=0,COUNTIF(Control!$E$20:$E$100,AG$2)=0),VISUM_Arterial_OD!AG69*Control!$B$3,0)</f>
        <v>0</v>
      </c>
      <c r="AH69">
        <f>IF(AND(COUNTIF(Control!$E$20:$E$100,$B69)=0,COUNTIF(Control!$E$20:$E$100,AH$2)=0),VISUM_Arterial_OD!AH69*Control!$B$3,0)</f>
        <v>0</v>
      </c>
      <c r="AI69">
        <f>IF(AND(COUNTIF(Control!$E$20:$E$100,$B69)=0,COUNTIF(Control!$E$20:$E$100,AI$2)=0),VISUM_Arterial_OD!AI69*Control!$B$3,0)</f>
        <v>0</v>
      </c>
      <c r="AJ69">
        <f>IF(AND(COUNTIF(Control!$E$20:$E$100,$B69)=0,COUNTIF(Control!$E$20:$E$100,AJ$2)=0),VISUM_Arterial_OD!AJ69*Control!$B$3,0)</f>
        <v>0</v>
      </c>
      <c r="AK69">
        <f>IF(AND(COUNTIF(Control!$E$20:$E$100,$B69)=0,COUNTIF(Control!$E$20:$E$100,AK$2)=0),VISUM_Arterial_OD!AK69*Control!$B$3,0)</f>
        <v>0</v>
      </c>
      <c r="AL69">
        <f>IF(AND(COUNTIF(Control!$E$20:$E$100,$B69)=0,COUNTIF(Control!$E$20:$E$100,AL$2)=0),VISUM_Arterial_OD!AL69*Control!$B$3,0)</f>
        <v>1.01631552</v>
      </c>
      <c r="AM69">
        <f>IF(AND(COUNTIF(Control!$E$20:$E$100,$B69)=0,COUNTIF(Control!$E$20:$E$100,AM$2)=0),VISUM_Arterial_OD!AM69*Control!$B$3,0)</f>
        <v>0</v>
      </c>
      <c r="AN69">
        <f>IF(AND(COUNTIF(Control!$E$20:$E$100,$B69)=0,COUNTIF(Control!$E$20:$E$100,AN$2)=0),VISUM_Arterial_OD!AN69*Control!$B$3,0)</f>
        <v>2.0533487699999999</v>
      </c>
      <c r="AO69">
        <f>IF(AND(COUNTIF(Control!$E$20:$E$100,$B69)=0,COUNTIF(Control!$E$20:$E$100,AO$2)=0),VISUM_Arterial_OD!AO69*Control!$B$3,0)</f>
        <v>0</v>
      </c>
      <c r="AP69">
        <f>IF(AND(COUNTIF(Control!$E$20:$E$100,$B69)=0,COUNTIF(Control!$E$20:$E$100,AP$2)=0),VISUM_Arterial_OD!AP69*Control!$B$3,0)</f>
        <v>0</v>
      </c>
      <c r="AQ69">
        <f>IF(AND(COUNTIF(Control!$E$20:$E$100,$B69)=0,COUNTIF(Control!$E$20:$E$100,AQ$2)=0),VISUM_Arterial_OD!AQ69*Control!$B$3,0)</f>
        <v>0</v>
      </c>
      <c r="AR69">
        <f>IF(AND(COUNTIF(Control!$E$20:$E$100,$B69)=0,COUNTIF(Control!$E$20:$E$100,AR$2)=0),VISUM_Arterial_OD!AR69*Control!$B$3,0)</f>
        <v>0</v>
      </c>
      <c r="AS69">
        <f>IF(AND(COUNTIF(Control!$E$20:$E$100,$B69)=0,COUNTIF(Control!$E$20:$E$100,AS$2)=0),VISUM_Arterial_OD!AS69*Control!$B$3,0)</f>
        <v>0</v>
      </c>
      <c r="AT69">
        <f>IF(AND(COUNTIF(Control!$E$20:$E$100,$B69)=0,COUNTIF(Control!$E$20:$E$100,AT$2)=0),VISUM_Arterial_OD!AT69*Control!$B$3,0)</f>
        <v>0</v>
      </c>
      <c r="AU69">
        <f>IF(AND(COUNTIF(Control!$E$20:$E$100,$B69)=0,COUNTIF(Control!$E$20:$E$100,AU$2)=0),VISUM_Arterial_OD!AU69*Control!$B$3,0)</f>
        <v>0</v>
      </c>
      <c r="AV69">
        <f>IF(AND(COUNTIF(Control!$E$20:$E$100,$B69)=0,COUNTIF(Control!$E$20:$E$100,AV$2)=0),VISUM_Arterial_OD!AV69*Control!$B$3,0)</f>
        <v>0</v>
      </c>
      <c r="AW69">
        <f>IF(AND(COUNTIF(Control!$E$20:$E$100,$B69)=0,COUNTIF(Control!$E$20:$E$100,AW$2)=0),VISUM_Arterial_OD!AW69*Control!$B$3,0)</f>
        <v>0</v>
      </c>
      <c r="AX69">
        <f>IF(AND(COUNTIF(Control!$E$20:$E$100,$B69)=0,COUNTIF(Control!$E$20:$E$100,AX$2)=0),VISUM_Arterial_OD!AX69*Control!$B$3,0)</f>
        <v>0</v>
      </c>
      <c r="AY69">
        <f>IF(AND(COUNTIF(Control!$E$20:$E$100,$B69)=0,COUNTIF(Control!$E$20:$E$100,AY$2)=0),VISUM_Arterial_OD!AY69*Control!$B$3,0)</f>
        <v>0</v>
      </c>
      <c r="AZ69">
        <f>IF(AND(COUNTIF(Control!$E$20:$E$100,$B69)=0,COUNTIF(Control!$E$20:$E$100,AZ$2)=0),VISUM_Arterial_OD!AZ69*Control!$B$3,0)</f>
        <v>0</v>
      </c>
      <c r="BA69">
        <f>IF(AND(COUNTIF(Control!$E$20:$E$100,$B69)=0,COUNTIF(Control!$E$20:$E$100,BA$2)=0),VISUM_Arterial_OD!BA69*Control!$B$3,0)</f>
        <v>0</v>
      </c>
      <c r="BB69">
        <f>IF(AND(COUNTIF(Control!$E$20:$E$100,$B69)=0,COUNTIF(Control!$E$20:$E$100,BB$2)=0),VISUM_Arterial_OD!BB69*Control!$B$3,0)</f>
        <v>0</v>
      </c>
      <c r="BC69">
        <f>IF(AND(COUNTIF(Control!$E$20:$E$100,$B69)=0,COUNTIF(Control!$E$20:$E$100,BC$2)=0),VISUM_Arterial_OD!BC69*Control!$B$3,0)</f>
        <v>0</v>
      </c>
      <c r="BD69">
        <f>IF(AND(COUNTIF(Control!$E$20:$E$100,$B69)=0,COUNTIF(Control!$E$20:$E$100,BD$2)=0),VISUM_Arterial_OD!BD69*Control!$B$3,0)</f>
        <v>0</v>
      </c>
      <c r="BE69">
        <f>IF(AND(COUNTIF(Control!$E$20:$E$100,$B69)=0,COUNTIF(Control!$E$20:$E$100,BE$2)=0),VISUM_Arterial_OD!BE69*Control!$B$3,0)</f>
        <v>0</v>
      </c>
      <c r="BF69">
        <f>IF(AND(COUNTIF(Control!$E$20:$E$100,$B69)=0,COUNTIF(Control!$E$20:$E$100,BF$2)=0),VISUM_Arterial_OD!BF69*Control!$B$3,0)</f>
        <v>0</v>
      </c>
      <c r="BG69">
        <f>IF(AND(COUNTIF(Control!$E$20:$E$100,$B69)=0,COUNTIF(Control!$E$20:$E$100,BG$2)=0),VISUM_Arterial_OD!BG69*Control!$B$3,0)</f>
        <v>0</v>
      </c>
      <c r="BH69">
        <f>IF(AND(COUNTIF(Control!$E$20:$E$100,$B69)=0,COUNTIF(Control!$E$20:$E$100,BH$2)=0),VISUM_Arterial_OD!BH69*Control!$B$3,0)</f>
        <v>0</v>
      </c>
      <c r="BI69">
        <f>IF(AND(COUNTIF(Control!$E$20:$E$100,$B69)=0,COUNTIF(Control!$E$20:$E$100,BI$2)=0),VISUM_Arterial_OD!BI69*Control!$B$3,0)</f>
        <v>0</v>
      </c>
      <c r="BJ69">
        <f>IF(AND(COUNTIF(Control!$E$20:$E$100,$B69)=0,COUNTIF(Control!$E$20:$E$100,BJ$2)=0),VISUM_Arterial_OD!BJ69*Control!$B$3,0)</f>
        <v>0</v>
      </c>
      <c r="BK69">
        <f>IF(AND(COUNTIF(Control!$E$20:$E$100,$B69)=0,COUNTIF(Control!$E$20:$E$100,BK$2)=0),VISUM_Arterial_OD!BK69*Control!$B$3,0)</f>
        <v>0</v>
      </c>
      <c r="BL69">
        <f>IF(AND(COUNTIF(Control!$E$20:$E$100,$B69)=0,COUNTIF(Control!$E$20:$E$100,BL$2)=0),VISUM_Arterial_OD!BL69*Control!$B$3,0)</f>
        <v>0</v>
      </c>
      <c r="BM69">
        <f>IF(AND(COUNTIF(Control!$E$20:$E$100,$B69)=0,COUNTIF(Control!$E$20:$E$100,BM$2)=0),VISUM_Arterial_OD!BM69*Control!$B$3,0)</f>
        <v>0</v>
      </c>
      <c r="BN69">
        <f>IF(AND(COUNTIF(Control!$E$20:$E$100,$B69)=0,COUNTIF(Control!$E$20:$E$100,BN$2)=0),VISUM_Arterial_OD!BN69*Control!$B$3,0)</f>
        <v>0</v>
      </c>
      <c r="BO69">
        <f>IF(AND(COUNTIF(Control!$E$20:$E$100,$B69)=0,COUNTIF(Control!$E$20:$E$100,BO$2)=0),VISUM_Arterial_OD!BO69*Control!$B$3,0)</f>
        <v>0</v>
      </c>
      <c r="BP69">
        <f>IF(AND(COUNTIF(Control!$E$20:$E$100,$B69)=0,COUNTIF(Control!$E$20:$E$100,BP$2)=0),VISUM_Arterial_OD!BP69*Control!$B$3,0)</f>
        <v>0</v>
      </c>
      <c r="BQ69">
        <f>IF(AND(COUNTIF(Control!$E$20:$E$100,$B69)=0,COUNTIF(Control!$E$20:$E$100,BQ$2)=0),VISUM_Arterial_OD!BQ69*Control!$B$3,0)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00B050"/>
  </sheetPr>
  <dimension ref="A1:BQ6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O3" sqref="BO3:BQ69"/>
    </sheetView>
  </sheetViews>
  <sheetFormatPr defaultRowHeight="15" x14ac:dyDescent="0.25"/>
  <cols>
    <col min="1" max="2" width="8.7109375" style="6"/>
  </cols>
  <sheetData>
    <row r="1" spans="1:69" x14ac:dyDescent="0.25">
      <c r="A1" s="5">
        <v>2</v>
      </c>
      <c r="B1" s="5"/>
      <c r="C1" s="5">
        <f>IF(VLOOKUP(C2,Arterial_Zone_Link_Mapping!$A:$C,3,FALSE)&lt;&gt;"",VLOOKUP(C2,Arterial_Zone_Link_Mapping!$A:$C,3,FALSE),"")</f>
        <v>236</v>
      </c>
      <c r="D1" s="5">
        <f>IF(VLOOKUP(D2,Arterial_Zone_Link_Mapping!$A:$C,3,FALSE)&lt;&gt;"",VLOOKUP(D2,Arterial_Zone_Link_Mapping!$A:$C,3,FALSE),"")</f>
        <v>168</v>
      </c>
      <c r="E1" s="5">
        <f>IF(VLOOKUP(E2,Arterial_Zone_Link_Mapping!$A:$C,3,FALSE)&lt;&gt;"",VLOOKUP(E2,Arterial_Zone_Link_Mapping!$A:$C,3,FALSE),"")</f>
        <v>492</v>
      </c>
      <c r="F1" s="5">
        <f>IF(VLOOKUP(F2,Arterial_Zone_Link_Mapping!$A:$C,3,FALSE)&lt;&gt;"",VLOOKUP(F2,Arterial_Zone_Link_Mapping!$A:$C,3,FALSE),"")</f>
        <v>85</v>
      </c>
      <c r="G1" s="5">
        <f>IF(VLOOKUP(G2,Arterial_Zone_Link_Mapping!$A:$C,3,FALSE)&lt;&gt;"",VLOOKUP(G2,Arterial_Zone_Link_Mapping!$A:$C,3,FALSE),"")</f>
        <v>287</v>
      </c>
      <c r="H1" s="5">
        <f>IF(VLOOKUP(H2,Arterial_Zone_Link_Mapping!$A:$C,3,FALSE)&lt;&gt;"",VLOOKUP(H2,Arterial_Zone_Link_Mapping!$A:$C,3,FALSE),"")</f>
        <v>28280129</v>
      </c>
      <c r="I1" s="5">
        <f>IF(VLOOKUP(I2,Arterial_Zone_Link_Mapping!$A:$C,3,FALSE)&lt;&gt;"",VLOOKUP(I2,Arterial_Zone_Link_Mapping!$A:$C,3,FALSE),"")</f>
        <v>28280096</v>
      </c>
      <c r="J1" s="5">
        <f>IF(VLOOKUP(J2,Arterial_Zone_Link_Mapping!$A:$C,3,FALSE)&lt;&gt;"",VLOOKUP(J2,Arterial_Zone_Link_Mapping!$A:$C,3,FALSE),"")</f>
        <v>145</v>
      </c>
      <c r="K1" s="5">
        <f>IF(VLOOKUP(K2,Arterial_Zone_Link_Mapping!$A:$C,3,FALSE)&lt;&gt;"",VLOOKUP(K2,Arterial_Zone_Link_Mapping!$A:$C,3,FALSE),"")</f>
        <v>1</v>
      </c>
      <c r="L1" s="5">
        <f>IF(VLOOKUP(L2,Arterial_Zone_Link_Mapping!$A:$C,3,FALSE)&lt;&gt;"",VLOOKUP(L2,Arterial_Zone_Link_Mapping!$A:$C,3,FALSE),"")</f>
        <v>7</v>
      </c>
      <c r="M1" s="5">
        <f>IF(VLOOKUP(M2,Arterial_Zone_Link_Mapping!$A:$C,3,FALSE)&lt;&gt;"",VLOOKUP(M2,Arterial_Zone_Link_Mapping!$A:$C,3,FALSE),"")</f>
        <v>87</v>
      </c>
      <c r="N1" s="5">
        <f>IF(VLOOKUP(N2,Arterial_Zone_Link_Mapping!$A:$C,3,FALSE)&lt;&gt;"",VLOOKUP(N2,Arterial_Zone_Link_Mapping!$A:$C,3,FALSE),"")</f>
        <v>478</v>
      </c>
      <c r="O1" s="5">
        <f>IF(VLOOKUP(O2,Arterial_Zone_Link_Mapping!$A:$C,3,FALSE)&lt;&gt;"",VLOOKUP(O2,Arterial_Zone_Link_Mapping!$A:$C,3,FALSE),"")</f>
        <v>162</v>
      </c>
      <c r="P1" s="5">
        <f>IF(VLOOKUP(P2,Arterial_Zone_Link_Mapping!$A:$C,3,FALSE)&lt;&gt;"",VLOOKUP(P2,Arterial_Zone_Link_Mapping!$A:$C,3,FALSE),"")</f>
        <v>27</v>
      </c>
      <c r="Q1" s="5">
        <f>IF(VLOOKUP(Q2,Arterial_Zone_Link_Mapping!$A:$C,3,FALSE)&lt;&gt;"",VLOOKUP(Q2,Arterial_Zone_Link_Mapping!$A:$C,3,FALSE),"")</f>
        <v>262</v>
      </c>
      <c r="R1" s="5">
        <f>IF(VLOOKUP(R2,Arterial_Zone_Link_Mapping!$A:$C,3,FALSE)&lt;&gt;"",VLOOKUP(R2,Arterial_Zone_Link_Mapping!$A:$C,3,FALSE),"")</f>
        <v>206</v>
      </c>
      <c r="S1" s="5">
        <f>IF(VLOOKUP(S2,Arterial_Zone_Link_Mapping!$A:$C,3,FALSE)&lt;&gt;"",VLOOKUP(S2,Arterial_Zone_Link_Mapping!$A:$C,3,FALSE),"")</f>
        <v>21070001</v>
      </c>
      <c r="T1" s="5">
        <f>IF(VLOOKUP(T2,Arterial_Zone_Link_Mapping!$A:$C,3,FALSE)&lt;&gt;"",VLOOKUP(T2,Arterial_Zone_Link_Mapping!$A:$C,3,FALSE),"")</f>
        <v>207</v>
      </c>
      <c r="U1" s="5">
        <f>IF(VLOOKUP(U2,Arterial_Zone_Link_Mapping!$A:$C,3,FALSE)&lt;&gt;"",VLOOKUP(U2,Arterial_Zone_Link_Mapping!$A:$C,3,FALSE),"")</f>
        <v>290</v>
      </c>
      <c r="V1" s="5">
        <f>IF(VLOOKUP(V2,Arterial_Zone_Link_Mapping!$A:$C,3,FALSE)&lt;&gt;"",VLOOKUP(V2,Arterial_Zone_Link_Mapping!$A:$C,3,FALSE),"")</f>
        <v>20015</v>
      </c>
      <c r="W1" s="5">
        <f>IF(VLOOKUP(W2,Arterial_Zone_Link_Mapping!$A:$C,3,FALSE)&lt;&gt;"",VLOOKUP(W2,Arterial_Zone_Link_Mapping!$A:$C,3,FALSE),"")</f>
        <v>513</v>
      </c>
      <c r="X1" s="5">
        <f>IF(VLOOKUP(X2,Arterial_Zone_Link_Mapping!$A:$C,3,FALSE)&lt;&gt;"",VLOOKUP(X2,Arterial_Zone_Link_Mapping!$A:$C,3,FALSE),"")</f>
        <v>20019</v>
      </c>
      <c r="Y1" s="5">
        <f>IF(VLOOKUP(Y2,Arterial_Zone_Link_Mapping!$A:$C,3,FALSE)&lt;&gt;"",VLOOKUP(Y2,Arterial_Zone_Link_Mapping!$A:$C,3,FALSE),"")</f>
        <v>487</v>
      </c>
      <c r="Z1" s="5">
        <f>IF(VLOOKUP(Z2,Arterial_Zone_Link_Mapping!$A:$C,3,FALSE)&lt;&gt;"",VLOOKUP(Z2,Arterial_Zone_Link_Mapping!$A:$C,3,FALSE),"")</f>
        <v>221</v>
      </c>
      <c r="AA1" s="5">
        <f>IF(VLOOKUP(AA2,Arterial_Zone_Link_Mapping!$A:$C,3,FALSE)&lt;&gt;"",VLOOKUP(AA2,Arterial_Zone_Link_Mapping!$A:$C,3,FALSE),"")</f>
        <v>295</v>
      </c>
      <c r="AB1" s="5">
        <f>IF(VLOOKUP(AB2,Arterial_Zone_Link_Mapping!$A:$C,3,FALSE)&lt;&gt;"",VLOOKUP(AB2,Arterial_Zone_Link_Mapping!$A:$C,3,FALSE),"")</f>
        <v>226</v>
      </c>
      <c r="AC1" s="5">
        <f>IF(VLOOKUP(AC2,Arterial_Zone_Link_Mapping!$A:$C,3,FALSE)&lt;&gt;"",VLOOKUP(AC2,Arterial_Zone_Link_Mapping!$A:$C,3,FALSE),"")</f>
        <v>83</v>
      </c>
      <c r="AD1" s="5">
        <f>IF(VLOOKUP(AD2,Arterial_Zone_Link_Mapping!$A:$C,3,FALSE)&lt;&gt;"",VLOOKUP(AD2,Arterial_Zone_Link_Mapping!$A:$C,3,FALSE),"")</f>
        <v>475</v>
      </c>
      <c r="AE1" s="5">
        <f>IF(VLOOKUP(AE2,Arterial_Zone_Link_Mapping!$A:$C,3,FALSE)&lt;&gt;"",VLOOKUP(AE2,Arterial_Zone_Link_Mapping!$A:$C,3,FALSE),"")</f>
        <v>105920472</v>
      </c>
      <c r="AF1" s="5">
        <f>IF(VLOOKUP(AF2,Arterial_Zone_Link_Mapping!$A:$C,3,FALSE)&lt;&gt;"",VLOOKUP(AF2,Arterial_Zone_Link_Mapping!$A:$C,3,FALSE),"")</f>
        <v>183</v>
      </c>
      <c r="AG1" s="5">
        <f>IF(VLOOKUP(AG2,Arterial_Zone_Link_Mapping!$A:$C,3,FALSE)&lt;&gt;"",VLOOKUP(AG2,Arterial_Zone_Link_Mapping!$A:$C,3,FALSE),"")</f>
        <v>191</v>
      </c>
      <c r="AH1" s="5" t="str">
        <f>IF(VLOOKUP(AH2,Arterial_Zone_Link_Mapping!$A:$C,3,FALSE)&lt;&gt;"",VLOOKUP(AH2,Arterial_Zone_Link_Mapping!$A:$C,3,FALSE),"")</f>
        <v/>
      </c>
      <c r="AI1" s="5" t="str">
        <f>IF(VLOOKUP(AI2,Arterial_Zone_Link_Mapping!$A:$C,3,FALSE)&lt;&gt;"",VLOOKUP(AI2,Arterial_Zone_Link_Mapping!$A:$C,3,FALSE),"")</f>
        <v/>
      </c>
      <c r="AJ1" s="5">
        <f>IF(VLOOKUP(AJ2,Arterial_Zone_Link_Mapping!$A:$C,3,FALSE)&lt;&gt;"",VLOOKUP(AJ2,Arterial_Zone_Link_Mapping!$A:$C,3,FALSE),"")</f>
        <v>214</v>
      </c>
      <c r="AK1" s="5" t="str">
        <f>IF(VLOOKUP(AK2,Arterial_Zone_Link_Mapping!$A:$C,3,FALSE)&lt;&gt;"",VLOOKUP(AK2,Arterial_Zone_Link_Mapping!$A:$C,3,FALSE),"")</f>
        <v/>
      </c>
      <c r="AL1" s="5">
        <f>IF(VLOOKUP(AL2,Arterial_Zone_Link_Mapping!$A:$C,3,FALSE)&lt;&gt;"",VLOOKUP(AL2,Arterial_Zone_Link_Mapping!$A:$C,3,FALSE),"")</f>
        <v>179</v>
      </c>
      <c r="AM1" s="5" t="str">
        <f>IF(VLOOKUP(AM2,Arterial_Zone_Link_Mapping!$A:$C,3,FALSE)&lt;&gt;"",VLOOKUP(AM2,Arterial_Zone_Link_Mapping!$A:$C,3,FALSE),"")</f>
        <v/>
      </c>
      <c r="AN1" s="5">
        <f>IF(VLOOKUP(AN2,Arterial_Zone_Link_Mapping!$A:$C,3,FALSE)&lt;&gt;"",VLOOKUP(AN2,Arterial_Zone_Link_Mapping!$A:$C,3,FALSE),"")</f>
        <v>105920110</v>
      </c>
      <c r="AO1" s="5">
        <f>IF(VLOOKUP(AO2,Arterial_Zone_Link_Mapping!$A:$C,3,FALSE)&lt;&gt;"",VLOOKUP(AO2,Arterial_Zone_Link_Mapping!$A:$C,3,FALSE),"")</f>
        <v>196</v>
      </c>
      <c r="AP1" s="5" t="str">
        <f>IF(VLOOKUP(AP2,Arterial_Zone_Link_Mapping!$A:$C,3,FALSE)&lt;&gt;"",VLOOKUP(AP2,Arterial_Zone_Link_Mapping!$A:$C,3,FALSE),"")</f>
        <v/>
      </c>
      <c r="AQ1" s="5" t="str">
        <f>IF(VLOOKUP(AQ2,Arterial_Zone_Link_Mapping!$A:$C,3,FALSE)&lt;&gt;"",VLOOKUP(AQ2,Arterial_Zone_Link_Mapping!$A:$C,3,FALSE),"")</f>
        <v/>
      </c>
      <c r="AR1" s="5" t="str">
        <f>IF(VLOOKUP(AR2,Arterial_Zone_Link_Mapping!$A:$C,3,FALSE)&lt;&gt;"",VLOOKUP(AR2,Arterial_Zone_Link_Mapping!$A:$C,3,FALSE),"")</f>
        <v/>
      </c>
      <c r="AS1" s="5">
        <f>IF(VLOOKUP(AS2,Arterial_Zone_Link_Mapping!$A:$C,3,FALSE)&lt;&gt;"",VLOOKUP(AS2,Arterial_Zone_Link_Mapping!$A:$C,3,FALSE),"")</f>
        <v>500</v>
      </c>
      <c r="AT1" s="5" t="str">
        <f>IF(VLOOKUP(AT2,Arterial_Zone_Link_Mapping!$A:$C,3,FALSE)&lt;&gt;"",VLOOKUP(AT2,Arterial_Zone_Link_Mapping!$A:$C,3,FALSE),"")</f>
        <v/>
      </c>
      <c r="AU1" s="5">
        <f>IF(VLOOKUP(AU2,Arterial_Zone_Link_Mapping!$A:$C,3,FALSE)&lt;&gt;"",VLOOKUP(AU2,Arterial_Zone_Link_Mapping!$A:$C,3,FALSE),"")</f>
        <v>398</v>
      </c>
      <c r="AV1" s="5" t="str">
        <f>IF(VLOOKUP(AV2,Arterial_Zone_Link_Mapping!$A:$C,3,FALSE)&lt;&gt;"",VLOOKUP(AV2,Arterial_Zone_Link_Mapping!$A:$C,3,FALSE),"")</f>
        <v/>
      </c>
      <c r="AW1" s="5" t="str">
        <f>IF(VLOOKUP(AW2,Arterial_Zone_Link_Mapping!$A:$C,3,FALSE)&lt;&gt;"",VLOOKUP(AW2,Arterial_Zone_Link_Mapping!$A:$C,3,FALSE),"")</f>
        <v/>
      </c>
      <c r="AX1" s="5">
        <f>IF(VLOOKUP(AX2,Arterial_Zone_Link_Mapping!$A:$C,3,FALSE)&lt;&gt;"",VLOOKUP(AX2,Arterial_Zone_Link_Mapping!$A:$C,3,FALSE),"")</f>
        <v>384</v>
      </c>
      <c r="AY1" s="5" t="str">
        <f>IF(VLOOKUP(AY2,Arterial_Zone_Link_Mapping!$A:$C,3,FALSE)&lt;&gt;"",VLOOKUP(AY2,Arterial_Zone_Link_Mapping!$A:$C,3,FALSE),"")</f>
        <v/>
      </c>
      <c r="AZ1" s="5">
        <f>IF(VLOOKUP(AZ2,Arterial_Zone_Link_Mapping!$A:$C,3,FALSE)&lt;&gt;"",VLOOKUP(AZ2,Arterial_Zone_Link_Mapping!$A:$C,3,FALSE),"")</f>
        <v>105920001</v>
      </c>
      <c r="BA1" s="5" t="str">
        <f>IF(VLOOKUP(BA2,Arterial_Zone_Link_Mapping!$A:$C,3,FALSE)&lt;&gt;"",VLOOKUP(BA2,Arterial_Zone_Link_Mapping!$A:$C,3,FALSE),"")</f>
        <v/>
      </c>
      <c r="BB1" s="5">
        <f>IF(VLOOKUP(BB2,Arterial_Zone_Link_Mapping!$A:$C,3,FALSE)&lt;&gt;"",VLOOKUP(BB2,Arterial_Zone_Link_Mapping!$A:$C,3,FALSE),"")</f>
        <v>28280066</v>
      </c>
      <c r="BC1" s="5" t="str">
        <f>IF(VLOOKUP(BC2,Arterial_Zone_Link_Mapping!$A:$C,3,FALSE)&lt;&gt;"",VLOOKUP(BC2,Arterial_Zone_Link_Mapping!$A:$C,3,FALSE),"")</f>
        <v/>
      </c>
      <c r="BD1" s="5" t="str">
        <f>IF(VLOOKUP(BD2,Arterial_Zone_Link_Mapping!$A:$C,3,FALSE)&lt;&gt;"",VLOOKUP(BD2,Arterial_Zone_Link_Mapping!$A:$C,3,FALSE),"")</f>
        <v/>
      </c>
      <c r="BE1" s="5">
        <f>IF(VLOOKUP(BE2,Arterial_Zone_Link_Mapping!$A:$C,3,FALSE)&lt;&gt;"",VLOOKUP(BE2,Arterial_Zone_Link_Mapping!$A:$C,3,FALSE),"")</f>
        <v>304</v>
      </c>
      <c r="BF1" s="5" t="str">
        <f>IF(VLOOKUP(BF2,Arterial_Zone_Link_Mapping!$A:$C,3,FALSE)&lt;&gt;"",VLOOKUP(BF2,Arterial_Zone_Link_Mapping!$A:$C,3,FALSE),"")</f>
        <v/>
      </c>
      <c r="BG1" s="5">
        <f>IF(VLOOKUP(BG2,Arterial_Zone_Link_Mapping!$A:$C,3,FALSE)&lt;&gt;"",VLOOKUP(BG2,Arterial_Zone_Link_Mapping!$A:$C,3,FALSE),"")</f>
        <v>28240364</v>
      </c>
      <c r="BH1" s="5">
        <f>IF(VLOOKUP(BH2,Arterial_Zone_Link_Mapping!$A:$C,3,FALSE)&lt;&gt;"",VLOOKUP(BH2,Arterial_Zone_Link_Mapping!$A:$C,3,FALSE),"")</f>
        <v>459</v>
      </c>
      <c r="BI1" s="5" t="str">
        <f>IF(VLOOKUP(BI2,Arterial_Zone_Link_Mapping!$A:$C,3,FALSE)&lt;&gt;"",VLOOKUP(BI2,Arterial_Zone_Link_Mapping!$A:$C,3,FALSE),"")</f>
        <v/>
      </c>
      <c r="BJ1" s="5">
        <f>IF(VLOOKUP(BJ2,Arterial_Zone_Link_Mapping!$A:$C,3,FALSE)&lt;&gt;"",VLOOKUP(BJ2,Arterial_Zone_Link_Mapping!$A:$C,3,FALSE),"")</f>
        <v>313</v>
      </c>
      <c r="BK1" s="5">
        <f>IF(VLOOKUP(BK2,Arterial_Zone_Link_Mapping!$A:$C,3,FALSE)&lt;&gt;"",VLOOKUP(BK2,Arterial_Zone_Link_Mapping!$A:$C,3,FALSE),"")</f>
        <v>131</v>
      </c>
      <c r="BL1" s="5">
        <f>IF(VLOOKUP(BL2,Arterial_Zone_Link_Mapping!$A:$C,3,FALSE)&lt;&gt;"",VLOOKUP(BL2,Arterial_Zone_Link_Mapping!$A:$C,3,FALSE),"")</f>
        <v>46</v>
      </c>
      <c r="BM1" s="5">
        <f>IF(VLOOKUP(BM2,Arterial_Zone_Link_Mapping!$A:$C,3,FALSE)&lt;&gt;"",VLOOKUP(BM2,Arterial_Zone_Link_Mapping!$A:$C,3,FALSE),"")</f>
        <v>311</v>
      </c>
      <c r="BN1" s="5">
        <f>IF(VLOOKUP(BN2,Arterial_Zone_Link_Mapping!$A:$C,3,FALSE)&lt;&gt;"",VLOOKUP(BN2,Arterial_Zone_Link_Mapping!$A:$C,3,FALSE),"")</f>
        <v>355</v>
      </c>
      <c r="BO1" s="5">
        <f>IF(VLOOKUP(BO2,Arterial_Zone_Link_Mapping!$A:$C,3,FALSE)&lt;&gt;"",VLOOKUP(BO2,Arterial_Zone_Link_Mapping!$A:$C,3,FALSE),"")</f>
        <v>235</v>
      </c>
      <c r="BP1" s="5">
        <f>IF(VLOOKUP(BP2,Arterial_Zone_Link_Mapping!$A:$C,3,FALSE)&lt;&gt;"",VLOOKUP(BP2,Arterial_Zone_Link_Mapping!$A:$C,3,FALSE),"")</f>
        <v>432</v>
      </c>
      <c r="BQ1" s="5">
        <f>IF(VLOOKUP(BQ2,Arterial_Zone_Link_Mapping!$A:$C,3,FALSE)&lt;&gt;"",VLOOKUP(BQ2,Arterial_Zone_Link_Mapping!$A:$C,3,FALSE),"")</f>
        <v>430</v>
      </c>
    </row>
    <row r="2" spans="1:69" x14ac:dyDescent="0.25">
      <c r="A2" s="5"/>
      <c r="B2" s="5"/>
      <c r="C2" s="5">
        <v>2</v>
      </c>
      <c r="D2" s="5">
        <v>8</v>
      </c>
      <c r="E2" s="5">
        <v>10</v>
      </c>
      <c r="F2" s="5">
        <v>11</v>
      </c>
      <c r="G2" s="5">
        <v>16</v>
      </c>
      <c r="H2" s="5">
        <v>17</v>
      </c>
      <c r="I2" s="5">
        <v>18</v>
      </c>
      <c r="J2" s="5">
        <v>20</v>
      </c>
      <c r="K2" s="5">
        <v>21</v>
      </c>
      <c r="L2" s="5">
        <v>22</v>
      </c>
      <c r="M2" s="5">
        <v>23</v>
      </c>
      <c r="N2" s="5">
        <v>25</v>
      </c>
      <c r="O2" s="5">
        <v>26</v>
      </c>
      <c r="P2" s="5">
        <v>27</v>
      </c>
      <c r="Q2" s="5">
        <v>34</v>
      </c>
      <c r="R2" s="5">
        <v>38</v>
      </c>
      <c r="S2" s="5">
        <v>39</v>
      </c>
      <c r="T2" s="5">
        <v>40</v>
      </c>
      <c r="U2" s="5">
        <v>41</v>
      </c>
      <c r="V2" s="5">
        <v>42</v>
      </c>
      <c r="W2" s="5">
        <v>43</v>
      </c>
      <c r="X2" s="5">
        <v>44</v>
      </c>
      <c r="Y2" s="5">
        <v>46</v>
      </c>
      <c r="Z2" s="5">
        <v>47</v>
      </c>
      <c r="AA2" s="5">
        <v>49</v>
      </c>
      <c r="AB2" s="5">
        <v>50</v>
      </c>
      <c r="AC2" s="5">
        <v>51</v>
      </c>
      <c r="AD2" s="5">
        <v>52</v>
      </c>
      <c r="AE2" s="5">
        <v>53</v>
      </c>
      <c r="AF2" s="5">
        <v>54</v>
      </c>
      <c r="AG2" s="5">
        <v>55</v>
      </c>
      <c r="AH2" s="5">
        <v>56</v>
      </c>
      <c r="AI2" s="5">
        <v>57</v>
      </c>
      <c r="AJ2" s="5">
        <v>58</v>
      </c>
      <c r="AK2" s="5">
        <v>59</v>
      </c>
      <c r="AL2" s="5">
        <v>60</v>
      </c>
      <c r="AM2" s="5">
        <v>61</v>
      </c>
      <c r="AN2" s="5">
        <v>62</v>
      </c>
      <c r="AO2" s="5">
        <v>63</v>
      </c>
      <c r="AP2" s="5">
        <v>64</v>
      </c>
      <c r="AQ2" s="5">
        <v>65</v>
      </c>
      <c r="AR2" s="5">
        <v>66</v>
      </c>
      <c r="AS2" s="5">
        <v>67</v>
      </c>
      <c r="AT2" s="5">
        <v>68</v>
      </c>
      <c r="AU2" s="5">
        <v>69</v>
      </c>
      <c r="AV2" s="5">
        <v>70</v>
      </c>
      <c r="AW2" s="5">
        <v>71</v>
      </c>
      <c r="AX2" s="5">
        <v>72</v>
      </c>
      <c r="AY2" s="5">
        <v>73</v>
      </c>
      <c r="AZ2" s="5">
        <v>74</v>
      </c>
      <c r="BA2" s="5">
        <v>75</v>
      </c>
      <c r="BB2" s="5">
        <v>76</v>
      </c>
      <c r="BC2" s="5">
        <v>77</v>
      </c>
      <c r="BD2" s="5">
        <v>78</v>
      </c>
      <c r="BE2" s="5">
        <v>79</v>
      </c>
      <c r="BF2" s="5">
        <v>80</v>
      </c>
      <c r="BG2" s="5">
        <v>81</v>
      </c>
      <c r="BH2" s="5">
        <v>82</v>
      </c>
      <c r="BI2" s="5">
        <v>83</v>
      </c>
      <c r="BJ2" s="5">
        <v>84</v>
      </c>
      <c r="BK2" s="5">
        <v>85</v>
      </c>
      <c r="BL2" s="5">
        <v>86</v>
      </c>
      <c r="BM2" s="5">
        <v>87</v>
      </c>
      <c r="BN2" s="5">
        <v>88</v>
      </c>
      <c r="BO2" s="5">
        <v>89</v>
      </c>
      <c r="BP2" s="5">
        <v>90</v>
      </c>
      <c r="BQ2" s="5">
        <v>91</v>
      </c>
    </row>
    <row r="3" spans="1:69" x14ac:dyDescent="0.25">
      <c r="A3" s="5">
        <f>IF(VLOOKUP(B3,Arterial_Zone_Link_Mapping!$A:$C,2,FALSE)&lt;&gt;"",VLOOKUP(B3,Arterial_Zone_Link_Mapping!$A:$C,2,FALSE),"")</f>
        <v>129</v>
      </c>
      <c r="B3" s="5">
        <v>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</row>
    <row r="4" spans="1:69" x14ac:dyDescent="0.25">
      <c r="A4" s="5">
        <f>IF(VLOOKUP(B4,Arterial_Zone_Link_Mapping!$A:$C,2,FALSE)&lt;&gt;"",VLOOKUP(B4,Arterial_Zone_Link_Mapping!$A:$C,2,FALSE),"")</f>
        <v>169</v>
      </c>
      <c r="B4" s="5">
        <v>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</row>
    <row r="5" spans="1:69" x14ac:dyDescent="0.25">
      <c r="A5" s="5">
        <f>IF(VLOOKUP(B5,Arterial_Zone_Link_Mapping!$A:$C,2,FALSE)&lt;&gt;"",VLOOKUP(B5,Arterial_Zone_Link_Mapping!$A:$C,2,FALSE),"")</f>
        <v>485</v>
      </c>
      <c r="B5" s="5">
        <v>10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</row>
    <row r="6" spans="1:69" x14ac:dyDescent="0.25">
      <c r="A6" s="5">
        <f>IF(VLOOKUP(B6,Arterial_Zone_Link_Mapping!$A:$C,2,FALSE)&lt;&gt;"",VLOOKUP(B6,Arterial_Zone_Link_Mapping!$A:$C,2,FALSE),"")</f>
        <v>84</v>
      </c>
      <c r="B6" s="5">
        <v>11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</row>
    <row r="7" spans="1:69" x14ac:dyDescent="0.25">
      <c r="A7" s="5">
        <f>IF(VLOOKUP(B7,Arterial_Zone_Link_Mapping!$A:$C,2,FALSE)&lt;&gt;"",VLOOKUP(B7,Arterial_Zone_Link_Mapping!$A:$C,2,FALSE),"")</f>
        <v>48</v>
      </c>
      <c r="B7" s="5">
        <v>16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</row>
    <row r="8" spans="1:69" x14ac:dyDescent="0.25">
      <c r="A8" s="5">
        <f>IF(VLOOKUP(B8,Arterial_Zone_Link_Mapping!$A:$C,2,FALSE)&lt;&gt;"",VLOOKUP(B8,Arterial_Zone_Link_Mapping!$A:$C,2,FALSE),"")</f>
        <v>133</v>
      </c>
      <c r="B8" s="5">
        <v>17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</row>
    <row r="9" spans="1:69" x14ac:dyDescent="0.25">
      <c r="A9" s="5">
        <f>IF(VLOOKUP(B9,Arterial_Zone_Link_Mapping!$A:$C,2,FALSE)&lt;&gt;"",VLOOKUP(B9,Arterial_Zone_Link_Mapping!$A:$C,2,FALSE),"")</f>
        <v>78</v>
      </c>
      <c r="B9" s="5">
        <v>18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</row>
    <row r="10" spans="1:69" x14ac:dyDescent="0.25">
      <c r="A10" s="5">
        <f>IF(VLOOKUP(B10,Arterial_Zone_Link_Mapping!$A:$C,2,FALSE)&lt;&gt;"",VLOOKUP(B10,Arterial_Zone_Link_Mapping!$A:$C,2,FALSE),"")</f>
        <v>136</v>
      </c>
      <c r="B10" s="5">
        <v>20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</row>
    <row r="11" spans="1:69" x14ac:dyDescent="0.25">
      <c r="A11" s="5">
        <f>IF(VLOOKUP(B11,Arterial_Zone_Link_Mapping!$A:$C,2,FALSE)&lt;&gt;"",VLOOKUP(B11,Arterial_Zone_Link_Mapping!$A:$C,2,FALSE),"")</f>
        <v>92</v>
      </c>
      <c r="B11" s="5">
        <v>21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</row>
    <row r="12" spans="1:69" x14ac:dyDescent="0.25">
      <c r="A12" s="5">
        <f>IF(VLOOKUP(B12,Arterial_Zone_Link_Mapping!$A:$C,2,FALSE)&lt;&gt;"",VLOOKUP(B12,Arterial_Zone_Link_Mapping!$A:$C,2,FALSE),"")</f>
        <v>29</v>
      </c>
      <c r="B12" s="5">
        <v>22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</row>
    <row r="13" spans="1:69" x14ac:dyDescent="0.25">
      <c r="A13" s="5">
        <f>IF(VLOOKUP(B13,Arterial_Zone_Link_Mapping!$A:$C,2,FALSE)&lt;&gt;"",VLOOKUP(B13,Arterial_Zone_Link_Mapping!$A:$C,2,FALSE),"")</f>
        <v>81</v>
      </c>
      <c r="B13" s="5">
        <v>23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</row>
    <row r="14" spans="1:69" x14ac:dyDescent="0.25">
      <c r="A14" s="5">
        <f>IF(VLOOKUP(B14,Arterial_Zone_Link_Mapping!$A:$C,2,FALSE)&lt;&gt;"",VLOOKUP(B14,Arterial_Zone_Link_Mapping!$A:$C,2,FALSE),"")</f>
        <v>480</v>
      </c>
      <c r="B14" s="5">
        <v>25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</row>
    <row r="15" spans="1:69" x14ac:dyDescent="0.25">
      <c r="A15" s="5">
        <f>IF(VLOOKUP(B15,Arterial_Zone_Link_Mapping!$A:$C,2,FALSE)&lt;&gt;"",VLOOKUP(B15,Arterial_Zone_Link_Mapping!$A:$C,2,FALSE),"")</f>
        <v>147</v>
      </c>
      <c r="B15" s="5">
        <v>26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</row>
    <row r="16" spans="1:69" x14ac:dyDescent="0.25">
      <c r="A16" s="5">
        <f>IF(VLOOKUP(B16,Arterial_Zone_Link_Mapping!$A:$C,2,FALSE)&lt;&gt;"",VLOOKUP(B16,Arterial_Zone_Link_Mapping!$A:$C,2,FALSE),"")</f>
        <v>91</v>
      </c>
      <c r="B16" s="5">
        <v>27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</row>
    <row r="17" spans="1:69" x14ac:dyDescent="0.25">
      <c r="A17" s="5" t="str">
        <f>IF(VLOOKUP(B17,Arterial_Zone_Link_Mapping!$A:$C,2,FALSE)&lt;&gt;"",VLOOKUP(B17,Arterial_Zone_Link_Mapping!$A:$C,2,FALSE),"")</f>
        <v/>
      </c>
      <c r="B17" s="5">
        <v>34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</row>
    <row r="18" spans="1:69" x14ac:dyDescent="0.25">
      <c r="A18" s="5">
        <f>IF(VLOOKUP(B18,Arterial_Zone_Link_Mapping!$A:$C,2,FALSE)&lt;&gt;"",VLOOKUP(B18,Arterial_Zone_Link_Mapping!$A:$C,2,FALSE),"")</f>
        <v>205</v>
      </c>
      <c r="B18" s="5">
        <v>38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</row>
    <row r="19" spans="1:69" x14ac:dyDescent="0.25">
      <c r="A19" s="5">
        <f>IF(VLOOKUP(B19,Arterial_Zone_Link_Mapping!$A:$C,2,FALSE)&lt;&gt;"",VLOOKUP(B19,Arterial_Zone_Link_Mapping!$A:$C,2,FALSE),"")</f>
        <v>26</v>
      </c>
      <c r="B19" s="5">
        <v>39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</row>
    <row r="20" spans="1:69" x14ac:dyDescent="0.25">
      <c r="A20" s="5">
        <f>IF(VLOOKUP(B20,Arterial_Zone_Link_Mapping!$A:$C,2,FALSE)&lt;&gt;"",VLOOKUP(B20,Arterial_Zone_Link_Mapping!$A:$C,2,FALSE),"")</f>
        <v>204</v>
      </c>
      <c r="B20" s="5">
        <v>40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</row>
    <row r="21" spans="1:69" x14ac:dyDescent="0.25">
      <c r="A21" s="5">
        <f>IF(VLOOKUP(B21,Arterial_Zone_Link_Mapping!$A:$C,2,FALSE)&lt;&gt;"",VLOOKUP(B21,Arterial_Zone_Link_Mapping!$A:$C,2,FALSE),"")</f>
        <v>288</v>
      </c>
      <c r="B21" s="5">
        <v>41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</row>
    <row r="22" spans="1:69" x14ac:dyDescent="0.25">
      <c r="A22" s="5">
        <f>IF(VLOOKUP(B22,Arterial_Zone_Link_Mapping!$A:$C,2,FALSE)&lt;&gt;"",VLOOKUP(B22,Arterial_Zone_Link_Mapping!$A:$C,2,FALSE),"")</f>
        <v>20057</v>
      </c>
      <c r="B22" s="5">
        <v>42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</row>
    <row r="23" spans="1:69" x14ac:dyDescent="0.25">
      <c r="A23" s="5">
        <f>IF(VLOOKUP(B23,Arterial_Zone_Link_Mapping!$A:$C,2,FALSE)&lt;&gt;"",VLOOKUP(B23,Arterial_Zone_Link_Mapping!$A:$C,2,FALSE),"")</f>
        <v>56</v>
      </c>
      <c r="B23" s="5">
        <v>43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</row>
    <row r="24" spans="1:69" x14ac:dyDescent="0.25">
      <c r="A24" s="5">
        <f>IF(VLOOKUP(B24,Arterial_Zone_Link_Mapping!$A:$C,2,FALSE)&lt;&gt;"",VLOOKUP(B24,Arterial_Zone_Link_Mapping!$A:$C,2,FALSE),"")</f>
        <v>20017</v>
      </c>
      <c r="B24" s="5">
        <v>44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</row>
    <row r="25" spans="1:69" x14ac:dyDescent="0.25">
      <c r="A25" s="5">
        <f>IF(VLOOKUP(B25,Arterial_Zone_Link_Mapping!$A:$C,2,FALSE)&lt;&gt;"",VLOOKUP(B25,Arterial_Zone_Link_Mapping!$A:$C,2,FALSE),"")</f>
        <v>488</v>
      </c>
      <c r="B25" s="5">
        <v>46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</row>
    <row r="26" spans="1:69" x14ac:dyDescent="0.25">
      <c r="A26" s="5">
        <f>IF(VLOOKUP(B26,Arterial_Zone_Link_Mapping!$A:$C,2,FALSE)&lt;&gt;"",VLOOKUP(B26,Arterial_Zone_Link_Mapping!$A:$C,2,FALSE),"")</f>
        <v>128</v>
      </c>
      <c r="B26" s="5">
        <v>47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</row>
    <row r="27" spans="1:69" x14ac:dyDescent="0.25">
      <c r="A27" s="5">
        <f>IF(VLOOKUP(B27,Arterial_Zone_Link_Mapping!$A:$C,2,FALSE)&lt;&gt;"",VLOOKUP(B27,Arterial_Zone_Link_Mapping!$A:$C,2,FALSE),"")</f>
        <v>135</v>
      </c>
      <c r="B27" s="5">
        <v>49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</row>
    <row r="28" spans="1:69" x14ac:dyDescent="0.25">
      <c r="A28" s="5">
        <f>IF(VLOOKUP(B28,Arterial_Zone_Link_Mapping!$A:$C,2,FALSE)&lt;&gt;"",VLOOKUP(B28,Arterial_Zone_Link_Mapping!$A:$C,2,FALSE),"")</f>
        <v>95</v>
      </c>
      <c r="B28" s="5">
        <v>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</row>
    <row r="29" spans="1:69" x14ac:dyDescent="0.25">
      <c r="A29" s="5">
        <f>IF(VLOOKUP(B29,Arterial_Zone_Link_Mapping!$A:$C,2,FALSE)&lt;&gt;"",VLOOKUP(B29,Arterial_Zone_Link_Mapping!$A:$C,2,FALSE),"")</f>
        <v>23</v>
      </c>
      <c r="B29" s="5">
        <v>51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</row>
    <row r="30" spans="1:69" x14ac:dyDescent="0.25">
      <c r="A30" s="5">
        <f>IF(VLOOKUP(B30,Arterial_Zone_Link_Mapping!$A:$C,2,FALSE)&lt;&gt;"",VLOOKUP(B30,Arterial_Zone_Link_Mapping!$A:$C,2,FALSE),"")</f>
        <v>474</v>
      </c>
      <c r="B30" s="5">
        <v>52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</row>
    <row r="31" spans="1:69" x14ac:dyDescent="0.25">
      <c r="A31" s="5">
        <f>IF(VLOOKUP(B31,Arterial_Zone_Link_Mapping!$A:$C,2,FALSE)&lt;&gt;"",VLOOKUP(B31,Arterial_Zone_Link_Mapping!$A:$C,2,FALSE),"")</f>
        <v>473</v>
      </c>
      <c r="B31" s="5">
        <v>53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</row>
    <row r="32" spans="1:69" x14ac:dyDescent="0.25">
      <c r="A32" s="5" t="str">
        <f>IF(VLOOKUP(B32,Arterial_Zone_Link_Mapping!$A:$C,2,FALSE)&lt;&gt;"",VLOOKUP(B32,Arterial_Zone_Link_Mapping!$A:$C,2,FALSE),"")</f>
        <v/>
      </c>
      <c r="B32" s="5">
        <v>54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</row>
    <row r="33" spans="1:69" x14ac:dyDescent="0.25">
      <c r="A33" s="5" t="str">
        <f>IF(VLOOKUP(B33,Arterial_Zone_Link_Mapping!$A:$C,2,FALSE)&lt;&gt;"",VLOOKUP(B33,Arterial_Zone_Link_Mapping!$A:$C,2,FALSE),"")</f>
        <v/>
      </c>
      <c r="B33" s="5">
        <v>55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</row>
    <row r="34" spans="1:69" x14ac:dyDescent="0.25">
      <c r="A34" s="5">
        <f>IF(VLOOKUP(B34,Arterial_Zone_Link_Mapping!$A:$C,2,FALSE)&lt;&gt;"",VLOOKUP(B34,Arterial_Zone_Link_Mapping!$A:$C,2,FALSE),"")</f>
        <v>193</v>
      </c>
      <c r="B34" s="5">
        <v>56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</row>
    <row r="35" spans="1:69" x14ac:dyDescent="0.25">
      <c r="A35" s="5">
        <f>IF(VLOOKUP(B35,Arterial_Zone_Link_Mapping!$A:$C,2,FALSE)&lt;&gt;"",VLOOKUP(B35,Arterial_Zone_Link_Mapping!$A:$C,2,FALSE),"")</f>
        <v>10290</v>
      </c>
      <c r="B35" s="5">
        <v>57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</row>
    <row r="36" spans="1:69" x14ac:dyDescent="0.25">
      <c r="A36" s="5" t="str">
        <f>IF(VLOOKUP(B36,Arterial_Zone_Link_Mapping!$A:$C,2,FALSE)&lt;&gt;"",VLOOKUP(B36,Arterial_Zone_Link_Mapping!$A:$C,2,FALSE),"")</f>
        <v/>
      </c>
      <c r="B36" s="5">
        <v>58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</row>
    <row r="37" spans="1:69" x14ac:dyDescent="0.25">
      <c r="A37" s="5">
        <f>IF(VLOOKUP(B37,Arterial_Zone_Link_Mapping!$A:$C,2,FALSE)&lt;&gt;"",VLOOKUP(B37,Arterial_Zone_Link_Mapping!$A:$C,2,FALSE),"")</f>
        <v>10619</v>
      </c>
      <c r="B37" s="5">
        <v>59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</row>
    <row r="38" spans="1:69" x14ac:dyDescent="0.25">
      <c r="A38" s="5" t="str">
        <f>IF(VLOOKUP(B38,Arterial_Zone_Link_Mapping!$A:$C,2,FALSE)&lt;&gt;"",VLOOKUP(B38,Arterial_Zone_Link_Mapping!$A:$C,2,FALSE),"")</f>
        <v/>
      </c>
      <c r="B38" s="5">
        <v>60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</row>
    <row r="39" spans="1:69" x14ac:dyDescent="0.25">
      <c r="A39" s="5">
        <f>IF(VLOOKUP(B39,Arterial_Zone_Link_Mapping!$A:$C,2,FALSE)&lt;&gt;"",VLOOKUP(B39,Arterial_Zone_Link_Mapping!$A:$C,2,FALSE),"")</f>
        <v>10664</v>
      </c>
      <c r="B39" s="5">
        <v>61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</row>
    <row r="40" spans="1:69" x14ac:dyDescent="0.25">
      <c r="A40" s="5" t="str">
        <f>IF(VLOOKUP(B40,Arterial_Zone_Link_Mapping!$A:$C,2,FALSE)&lt;&gt;"",VLOOKUP(B40,Arterial_Zone_Link_Mapping!$A:$C,2,FALSE),"")</f>
        <v/>
      </c>
      <c r="B40" s="5">
        <v>62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</row>
    <row r="41" spans="1:69" x14ac:dyDescent="0.25">
      <c r="A41" s="5" t="str">
        <f>IF(VLOOKUP(B41,Arterial_Zone_Link_Mapping!$A:$C,2,FALSE)&lt;&gt;"",VLOOKUP(B41,Arterial_Zone_Link_Mapping!$A:$C,2,FALSE),"")</f>
        <v/>
      </c>
      <c r="B41" s="5">
        <v>63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</row>
    <row r="42" spans="1:69" x14ac:dyDescent="0.25">
      <c r="A42" s="5">
        <f>IF(VLOOKUP(B42,Arterial_Zone_Link_Mapping!$A:$C,2,FALSE)&lt;&gt;"",VLOOKUP(B42,Arterial_Zone_Link_Mapping!$A:$C,2,FALSE),"")</f>
        <v>201</v>
      </c>
      <c r="B42" s="5">
        <v>64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</row>
    <row r="43" spans="1:69" x14ac:dyDescent="0.25">
      <c r="A43" s="5">
        <f>IF(VLOOKUP(B43,Arterial_Zone_Link_Mapping!$A:$C,2,FALSE)&lt;&gt;"",VLOOKUP(B43,Arterial_Zone_Link_Mapping!$A:$C,2,FALSE),"")</f>
        <v>10228</v>
      </c>
      <c r="B43" s="5">
        <v>65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</row>
    <row r="44" spans="1:69" x14ac:dyDescent="0.25">
      <c r="A44" s="5">
        <f>IF(VLOOKUP(B44,Arterial_Zone_Link_Mapping!$A:$C,2,FALSE)&lt;&gt;"",VLOOKUP(B44,Arterial_Zone_Link_Mapping!$A:$C,2,FALSE),"")</f>
        <v>369</v>
      </c>
      <c r="B44" s="5">
        <v>66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</row>
    <row r="45" spans="1:69" x14ac:dyDescent="0.25">
      <c r="A45" s="5" t="str">
        <f>IF(VLOOKUP(B45,Arterial_Zone_Link_Mapping!$A:$C,2,FALSE)&lt;&gt;"",VLOOKUP(B45,Arterial_Zone_Link_Mapping!$A:$C,2,FALSE),"")</f>
        <v/>
      </c>
      <c r="B45" s="5">
        <v>67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</row>
    <row r="46" spans="1:69" x14ac:dyDescent="0.25">
      <c r="A46" s="5">
        <f>IF(VLOOKUP(B46,Arterial_Zone_Link_Mapping!$A:$C,2,FALSE)&lt;&gt;"",VLOOKUP(B46,Arterial_Zone_Link_Mapping!$A:$C,2,FALSE),"")</f>
        <v>401</v>
      </c>
      <c r="B46" s="5">
        <v>68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</row>
    <row r="47" spans="1:69" x14ac:dyDescent="0.25">
      <c r="A47" s="5" t="str">
        <f>IF(VLOOKUP(B47,Arterial_Zone_Link_Mapping!$A:$C,2,FALSE)&lt;&gt;"",VLOOKUP(B47,Arterial_Zone_Link_Mapping!$A:$C,2,FALSE),"")</f>
        <v/>
      </c>
      <c r="B47" s="5">
        <v>69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</row>
    <row r="48" spans="1:69" x14ac:dyDescent="0.25">
      <c r="A48" s="5">
        <f>IF(VLOOKUP(B48,Arterial_Zone_Link_Mapping!$A:$C,2,FALSE)&lt;&gt;"",VLOOKUP(B48,Arterial_Zone_Link_Mapping!$A:$C,2,FALSE),"")</f>
        <v>380</v>
      </c>
      <c r="B48" s="5">
        <v>70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</row>
    <row r="49" spans="1:69" x14ac:dyDescent="0.25">
      <c r="A49" s="5">
        <f>IF(VLOOKUP(B49,Arterial_Zone_Link_Mapping!$A:$C,2,FALSE)&lt;&gt;"",VLOOKUP(B49,Arterial_Zone_Link_Mapping!$A:$C,2,FALSE),"")</f>
        <v>392</v>
      </c>
      <c r="B49" s="5">
        <v>71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</row>
    <row r="50" spans="1:69" x14ac:dyDescent="0.25">
      <c r="A50" s="5" t="str">
        <f>IF(VLOOKUP(B50,Arterial_Zone_Link_Mapping!$A:$C,2,FALSE)&lt;&gt;"",VLOOKUP(B50,Arterial_Zone_Link_Mapping!$A:$C,2,FALSE),"")</f>
        <v/>
      </c>
      <c r="B50" s="5">
        <v>72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</row>
    <row r="51" spans="1:69" x14ac:dyDescent="0.25">
      <c r="A51" s="5">
        <f>IF(VLOOKUP(B51,Arterial_Zone_Link_Mapping!$A:$C,2,FALSE)&lt;&gt;"",VLOOKUP(B51,Arterial_Zone_Link_Mapping!$A:$C,2,FALSE),"")</f>
        <v>28280063</v>
      </c>
      <c r="B51" s="5">
        <v>73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</row>
    <row r="52" spans="1:69" x14ac:dyDescent="0.25">
      <c r="A52" s="5" t="str">
        <f>IF(VLOOKUP(B52,Arterial_Zone_Link_Mapping!$A:$C,2,FALSE)&lt;&gt;"",VLOOKUP(B52,Arterial_Zone_Link_Mapping!$A:$C,2,FALSE),"")</f>
        <v/>
      </c>
      <c r="B52" s="5">
        <v>74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</row>
    <row r="53" spans="1:69" x14ac:dyDescent="0.25">
      <c r="A53" s="5">
        <f>IF(VLOOKUP(B53,Arterial_Zone_Link_Mapping!$A:$C,2,FALSE)&lt;&gt;"",VLOOKUP(B53,Arterial_Zone_Link_Mapping!$A:$C,2,FALSE),"")</f>
        <v>28280070</v>
      </c>
      <c r="B53" s="5">
        <v>75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</row>
    <row r="54" spans="1:69" x14ac:dyDescent="0.25">
      <c r="A54" s="5" t="str">
        <f>IF(VLOOKUP(B54,Arterial_Zone_Link_Mapping!$A:$C,2,FALSE)&lt;&gt;"",VLOOKUP(B54,Arterial_Zone_Link_Mapping!$A:$C,2,FALSE),"")</f>
        <v/>
      </c>
      <c r="B54" s="5">
        <v>76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</row>
    <row r="55" spans="1:69" x14ac:dyDescent="0.25">
      <c r="A55" s="5">
        <f>IF(VLOOKUP(B55,Arterial_Zone_Link_Mapping!$A:$C,2,FALSE)&lt;&gt;"",VLOOKUP(B55,Arterial_Zone_Link_Mapping!$A:$C,2,FALSE),"")</f>
        <v>61</v>
      </c>
      <c r="B55" s="5">
        <v>77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</row>
    <row r="56" spans="1:69" x14ac:dyDescent="0.25">
      <c r="A56" s="5">
        <f>IF(VLOOKUP(B56,Arterial_Zone_Link_Mapping!$A:$C,2,FALSE)&lt;&gt;"",VLOOKUP(B56,Arterial_Zone_Link_Mapping!$A:$C,2,FALSE),"")</f>
        <v>20040</v>
      </c>
      <c r="B56" s="5">
        <v>78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</row>
    <row r="57" spans="1:69" x14ac:dyDescent="0.25">
      <c r="A57" s="5" t="str">
        <f>IF(VLOOKUP(B57,Arterial_Zone_Link_Mapping!$A:$C,2,FALSE)&lt;&gt;"",VLOOKUP(B57,Arterial_Zone_Link_Mapping!$A:$C,2,FALSE),"")</f>
        <v/>
      </c>
      <c r="B57" s="5">
        <v>79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</row>
    <row r="58" spans="1:69" x14ac:dyDescent="0.25">
      <c r="A58" s="5">
        <f>IF(VLOOKUP(B58,Arterial_Zone_Link_Mapping!$A:$C,2,FALSE)&lt;&gt;"",VLOOKUP(B58,Arterial_Zone_Link_Mapping!$A:$C,2,FALSE),"")</f>
        <v>466</v>
      </c>
      <c r="B58" s="5">
        <v>80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</row>
    <row r="59" spans="1:69" x14ac:dyDescent="0.25">
      <c r="A59" s="5" t="str">
        <f>IF(VLOOKUP(B59,Arterial_Zone_Link_Mapping!$A:$C,2,FALSE)&lt;&gt;"",VLOOKUP(B59,Arterial_Zone_Link_Mapping!$A:$C,2,FALSE),"")</f>
        <v/>
      </c>
      <c r="B59" s="5">
        <v>81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</row>
    <row r="60" spans="1:69" x14ac:dyDescent="0.25">
      <c r="A60" s="5" t="str">
        <f>IF(VLOOKUP(B60,Arterial_Zone_Link_Mapping!$A:$C,2,FALSE)&lt;&gt;"",VLOOKUP(B60,Arterial_Zone_Link_Mapping!$A:$C,2,FALSE),"")</f>
        <v/>
      </c>
      <c r="B60" s="5">
        <v>82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</row>
    <row r="61" spans="1:69" x14ac:dyDescent="0.25">
      <c r="A61" s="5">
        <f>IF(VLOOKUP(B61,Arterial_Zone_Link_Mapping!$A:$C,2,FALSE)&lt;&gt;"",VLOOKUP(B61,Arterial_Zone_Link_Mapping!$A:$C,2,FALSE),"")</f>
        <v>453</v>
      </c>
      <c r="B61" s="5">
        <v>83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</row>
    <row r="62" spans="1:69" x14ac:dyDescent="0.25">
      <c r="A62" s="5">
        <f>IF(VLOOKUP(B62,Arterial_Zone_Link_Mapping!$A:$C,2,FALSE)&lt;&gt;"",VLOOKUP(B62,Arterial_Zone_Link_Mapping!$A:$C,2,FALSE),"")</f>
        <v>348</v>
      </c>
      <c r="B62" s="5">
        <v>84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</row>
    <row r="63" spans="1:69" x14ac:dyDescent="0.25">
      <c r="A63" s="5">
        <f>IF(VLOOKUP(B63,Arterial_Zone_Link_Mapping!$A:$C,2,FALSE)&lt;&gt;"",VLOOKUP(B63,Arterial_Zone_Link_Mapping!$A:$C,2,FALSE),"")</f>
        <v>125</v>
      </c>
      <c r="B63" s="5">
        <v>85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</row>
    <row r="64" spans="1:69" x14ac:dyDescent="0.25">
      <c r="A64" s="5">
        <f>IF(VLOOKUP(B64,Arterial_Zone_Link_Mapping!$A:$C,2,FALSE)&lt;&gt;"",VLOOKUP(B64,Arterial_Zone_Link_Mapping!$A:$C,2,FALSE),"")</f>
        <v>349</v>
      </c>
      <c r="B64" s="5">
        <v>86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</row>
    <row r="65" spans="1:69" x14ac:dyDescent="0.25">
      <c r="A65" s="5">
        <f>IF(VLOOKUP(B65,Arterial_Zone_Link_Mapping!$A:$C,2,FALSE)&lt;&gt;"",VLOOKUP(B65,Arterial_Zone_Link_Mapping!$A:$C,2,FALSE),"")</f>
        <v>256</v>
      </c>
      <c r="B65" s="5">
        <v>87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</row>
    <row r="66" spans="1:69" x14ac:dyDescent="0.25">
      <c r="A66" s="5">
        <f>IF(VLOOKUP(B66,Arterial_Zone_Link_Mapping!$A:$C,2,FALSE)&lt;&gt;"",VLOOKUP(B66,Arterial_Zone_Link_Mapping!$A:$C,2,FALSE),"")</f>
        <v>235</v>
      </c>
      <c r="B66" s="5">
        <v>88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</row>
    <row r="67" spans="1:69" x14ac:dyDescent="0.25">
      <c r="A67" s="5">
        <f>IF(VLOOKUP(B67,Arterial_Zone_Link_Mapping!$A:$C,2,FALSE)&lt;&gt;"",VLOOKUP(B67,Arterial_Zone_Link_Mapping!$A:$C,2,FALSE),"")</f>
        <v>355</v>
      </c>
      <c r="B67" s="5">
        <v>89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</row>
    <row r="68" spans="1:69" x14ac:dyDescent="0.25">
      <c r="A68" s="5">
        <f>IF(VLOOKUP(B68,Arterial_Zone_Link_Mapping!$A:$C,2,FALSE)&lt;&gt;"",VLOOKUP(B68,Arterial_Zone_Link_Mapping!$A:$C,2,FALSE),"")</f>
        <v>431</v>
      </c>
      <c r="B68" s="5">
        <v>90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</row>
    <row r="69" spans="1:69" x14ac:dyDescent="0.25">
      <c r="A69" s="5">
        <f>IF(VLOOKUP(B69,Arterial_Zone_Link_Mapping!$A:$C,2,FALSE)&lt;&gt;"",VLOOKUP(B69,Arterial_Zone_Link_Mapping!$A:$C,2,FALSE),"")</f>
        <v>257</v>
      </c>
      <c r="B69" s="5">
        <v>91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rgb="FF00B050"/>
  </sheetPr>
  <dimension ref="A1:BQ6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O3" sqref="BO3:BQ69"/>
    </sheetView>
  </sheetViews>
  <sheetFormatPr defaultRowHeight="15" x14ac:dyDescent="0.25"/>
  <cols>
    <col min="1" max="2" width="8.7109375" style="6"/>
  </cols>
  <sheetData>
    <row r="1" spans="1:69" x14ac:dyDescent="0.25">
      <c r="A1" s="5">
        <v>1</v>
      </c>
      <c r="B1" s="5"/>
      <c r="C1" s="5">
        <f>IF(VLOOKUP(C2,Arterial_Zone_Link_Mapping!$A:$C,3,FALSE)&lt;&gt;"",VLOOKUP(C2,Arterial_Zone_Link_Mapping!$A:$C,3,FALSE),"")</f>
        <v>236</v>
      </c>
      <c r="D1" s="5">
        <f>IF(VLOOKUP(D2,Arterial_Zone_Link_Mapping!$A:$C,3,FALSE)&lt;&gt;"",VLOOKUP(D2,Arterial_Zone_Link_Mapping!$A:$C,3,FALSE),"")</f>
        <v>168</v>
      </c>
      <c r="E1" s="5">
        <f>IF(VLOOKUP(E2,Arterial_Zone_Link_Mapping!$A:$C,3,FALSE)&lt;&gt;"",VLOOKUP(E2,Arterial_Zone_Link_Mapping!$A:$C,3,FALSE),"")</f>
        <v>492</v>
      </c>
      <c r="F1" s="5">
        <f>IF(VLOOKUP(F2,Arterial_Zone_Link_Mapping!$A:$C,3,FALSE)&lt;&gt;"",VLOOKUP(F2,Arterial_Zone_Link_Mapping!$A:$C,3,FALSE),"")</f>
        <v>85</v>
      </c>
      <c r="G1" s="5">
        <f>IF(VLOOKUP(G2,Arterial_Zone_Link_Mapping!$A:$C,3,FALSE)&lt;&gt;"",VLOOKUP(G2,Arterial_Zone_Link_Mapping!$A:$C,3,FALSE),"")</f>
        <v>287</v>
      </c>
      <c r="H1" s="5">
        <f>IF(VLOOKUP(H2,Arterial_Zone_Link_Mapping!$A:$C,3,FALSE)&lt;&gt;"",VLOOKUP(H2,Arterial_Zone_Link_Mapping!$A:$C,3,FALSE),"")</f>
        <v>28280129</v>
      </c>
      <c r="I1" s="5">
        <f>IF(VLOOKUP(I2,Arterial_Zone_Link_Mapping!$A:$C,3,FALSE)&lt;&gt;"",VLOOKUP(I2,Arterial_Zone_Link_Mapping!$A:$C,3,FALSE),"")</f>
        <v>28280096</v>
      </c>
      <c r="J1" s="5">
        <f>IF(VLOOKUP(J2,Arterial_Zone_Link_Mapping!$A:$C,3,FALSE)&lt;&gt;"",VLOOKUP(J2,Arterial_Zone_Link_Mapping!$A:$C,3,FALSE),"")</f>
        <v>145</v>
      </c>
      <c r="K1" s="5">
        <f>IF(VLOOKUP(K2,Arterial_Zone_Link_Mapping!$A:$C,3,FALSE)&lt;&gt;"",VLOOKUP(K2,Arterial_Zone_Link_Mapping!$A:$C,3,FALSE),"")</f>
        <v>1</v>
      </c>
      <c r="L1" s="5">
        <f>IF(VLOOKUP(L2,Arterial_Zone_Link_Mapping!$A:$C,3,FALSE)&lt;&gt;"",VLOOKUP(L2,Arterial_Zone_Link_Mapping!$A:$C,3,FALSE),"")</f>
        <v>7</v>
      </c>
      <c r="M1" s="5">
        <f>IF(VLOOKUP(M2,Arterial_Zone_Link_Mapping!$A:$C,3,FALSE)&lt;&gt;"",VLOOKUP(M2,Arterial_Zone_Link_Mapping!$A:$C,3,FALSE),"")</f>
        <v>87</v>
      </c>
      <c r="N1" s="5">
        <f>IF(VLOOKUP(N2,Arterial_Zone_Link_Mapping!$A:$C,3,FALSE)&lt;&gt;"",VLOOKUP(N2,Arterial_Zone_Link_Mapping!$A:$C,3,FALSE),"")</f>
        <v>478</v>
      </c>
      <c r="O1" s="5">
        <f>IF(VLOOKUP(O2,Arterial_Zone_Link_Mapping!$A:$C,3,FALSE)&lt;&gt;"",VLOOKUP(O2,Arterial_Zone_Link_Mapping!$A:$C,3,FALSE),"")</f>
        <v>162</v>
      </c>
      <c r="P1" s="5">
        <f>IF(VLOOKUP(P2,Arterial_Zone_Link_Mapping!$A:$C,3,FALSE)&lt;&gt;"",VLOOKUP(P2,Arterial_Zone_Link_Mapping!$A:$C,3,FALSE),"")</f>
        <v>27</v>
      </c>
      <c r="Q1" s="5">
        <f>IF(VLOOKUP(Q2,Arterial_Zone_Link_Mapping!$A:$C,3,FALSE)&lt;&gt;"",VLOOKUP(Q2,Arterial_Zone_Link_Mapping!$A:$C,3,FALSE),"")</f>
        <v>262</v>
      </c>
      <c r="R1" s="5">
        <f>IF(VLOOKUP(R2,Arterial_Zone_Link_Mapping!$A:$C,3,FALSE)&lt;&gt;"",VLOOKUP(R2,Arterial_Zone_Link_Mapping!$A:$C,3,FALSE),"")</f>
        <v>206</v>
      </c>
      <c r="S1" s="5">
        <f>IF(VLOOKUP(S2,Arterial_Zone_Link_Mapping!$A:$C,3,FALSE)&lt;&gt;"",VLOOKUP(S2,Arterial_Zone_Link_Mapping!$A:$C,3,FALSE),"")</f>
        <v>21070001</v>
      </c>
      <c r="T1" s="5">
        <f>IF(VLOOKUP(T2,Arterial_Zone_Link_Mapping!$A:$C,3,FALSE)&lt;&gt;"",VLOOKUP(T2,Arterial_Zone_Link_Mapping!$A:$C,3,FALSE),"")</f>
        <v>207</v>
      </c>
      <c r="U1" s="5">
        <f>IF(VLOOKUP(U2,Arterial_Zone_Link_Mapping!$A:$C,3,FALSE)&lt;&gt;"",VLOOKUP(U2,Arterial_Zone_Link_Mapping!$A:$C,3,FALSE),"")</f>
        <v>290</v>
      </c>
      <c r="V1" s="5">
        <f>IF(VLOOKUP(V2,Arterial_Zone_Link_Mapping!$A:$C,3,FALSE)&lt;&gt;"",VLOOKUP(V2,Arterial_Zone_Link_Mapping!$A:$C,3,FALSE),"")</f>
        <v>20015</v>
      </c>
      <c r="W1" s="5">
        <f>IF(VLOOKUP(W2,Arterial_Zone_Link_Mapping!$A:$C,3,FALSE)&lt;&gt;"",VLOOKUP(W2,Arterial_Zone_Link_Mapping!$A:$C,3,FALSE),"")</f>
        <v>513</v>
      </c>
      <c r="X1" s="5">
        <f>IF(VLOOKUP(X2,Arterial_Zone_Link_Mapping!$A:$C,3,FALSE)&lt;&gt;"",VLOOKUP(X2,Arterial_Zone_Link_Mapping!$A:$C,3,FALSE),"")</f>
        <v>20019</v>
      </c>
      <c r="Y1" s="5">
        <f>IF(VLOOKUP(Y2,Arterial_Zone_Link_Mapping!$A:$C,3,FALSE)&lt;&gt;"",VLOOKUP(Y2,Arterial_Zone_Link_Mapping!$A:$C,3,FALSE),"")</f>
        <v>487</v>
      </c>
      <c r="Z1" s="5">
        <f>IF(VLOOKUP(Z2,Arterial_Zone_Link_Mapping!$A:$C,3,FALSE)&lt;&gt;"",VLOOKUP(Z2,Arterial_Zone_Link_Mapping!$A:$C,3,FALSE),"")</f>
        <v>221</v>
      </c>
      <c r="AA1" s="5">
        <f>IF(VLOOKUP(AA2,Arterial_Zone_Link_Mapping!$A:$C,3,FALSE)&lt;&gt;"",VLOOKUP(AA2,Arterial_Zone_Link_Mapping!$A:$C,3,FALSE),"")</f>
        <v>295</v>
      </c>
      <c r="AB1" s="5">
        <f>IF(VLOOKUP(AB2,Arterial_Zone_Link_Mapping!$A:$C,3,FALSE)&lt;&gt;"",VLOOKUP(AB2,Arterial_Zone_Link_Mapping!$A:$C,3,FALSE),"")</f>
        <v>226</v>
      </c>
      <c r="AC1" s="5">
        <f>IF(VLOOKUP(AC2,Arterial_Zone_Link_Mapping!$A:$C,3,FALSE)&lt;&gt;"",VLOOKUP(AC2,Arterial_Zone_Link_Mapping!$A:$C,3,FALSE),"")</f>
        <v>83</v>
      </c>
      <c r="AD1" s="5">
        <f>IF(VLOOKUP(AD2,Arterial_Zone_Link_Mapping!$A:$C,3,FALSE)&lt;&gt;"",VLOOKUP(AD2,Arterial_Zone_Link_Mapping!$A:$C,3,FALSE),"")</f>
        <v>475</v>
      </c>
      <c r="AE1" s="5">
        <f>IF(VLOOKUP(AE2,Arterial_Zone_Link_Mapping!$A:$C,3,FALSE)&lt;&gt;"",VLOOKUP(AE2,Arterial_Zone_Link_Mapping!$A:$C,3,FALSE),"")</f>
        <v>105920472</v>
      </c>
      <c r="AF1" s="5">
        <f>IF(VLOOKUP(AF2,Arterial_Zone_Link_Mapping!$A:$C,3,FALSE)&lt;&gt;"",VLOOKUP(AF2,Arterial_Zone_Link_Mapping!$A:$C,3,FALSE),"")</f>
        <v>183</v>
      </c>
      <c r="AG1" s="5">
        <f>IF(VLOOKUP(AG2,Arterial_Zone_Link_Mapping!$A:$C,3,FALSE)&lt;&gt;"",VLOOKUP(AG2,Arterial_Zone_Link_Mapping!$A:$C,3,FALSE),"")</f>
        <v>191</v>
      </c>
      <c r="AH1" s="5" t="str">
        <f>IF(VLOOKUP(AH2,Arterial_Zone_Link_Mapping!$A:$C,3,FALSE)&lt;&gt;"",VLOOKUP(AH2,Arterial_Zone_Link_Mapping!$A:$C,3,FALSE),"")</f>
        <v/>
      </c>
      <c r="AI1" s="5" t="str">
        <f>IF(VLOOKUP(AI2,Arterial_Zone_Link_Mapping!$A:$C,3,FALSE)&lt;&gt;"",VLOOKUP(AI2,Arterial_Zone_Link_Mapping!$A:$C,3,FALSE),"")</f>
        <v/>
      </c>
      <c r="AJ1" s="5">
        <f>IF(VLOOKUP(AJ2,Arterial_Zone_Link_Mapping!$A:$C,3,FALSE)&lt;&gt;"",VLOOKUP(AJ2,Arterial_Zone_Link_Mapping!$A:$C,3,FALSE),"")</f>
        <v>214</v>
      </c>
      <c r="AK1" s="5" t="str">
        <f>IF(VLOOKUP(AK2,Arterial_Zone_Link_Mapping!$A:$C,3,FALSE)&lt;&gt;"",VLOOKUP(AK2,Arterial_Zone_Link_Mapping!$A:$C,3,FALSE),"")</f>
        <v/>
      </c>
      <c r="AL1" s="5">
        <f>IF(VLOOKUP(AL2,Arterial_Zone_Link_Mapping!$A:$C,3,FALSE)&lt;&gt;"",VLOOKUP(AL2,Arterial_Zone_Link_Mapping!$A:$C,3,FALSE),"")</f>
        <v>179</v>
      </c>
      <c r="AM1" s="5" t="str">
        <f>IF(VLOOKUP(AM2,Arterial_Zone_Link_Mapping!$A:$C,3,FALSE)&lt;&gt;"",VLOOKUP(AM2,Arterial_Zone_Link_Mapping!$A:$C,3,FALSE),"")</f>
        <v/>
      </c>
      <c r="AN1" s="5">
        <f>IF(VLOOKUP(AN2,Arterial_Zone_Link_Mapping!$A:$C,3,FALSE)&lt;&gt;"",VLOOKUP(AN2,Arterial_Zone_Link_Mapping!$A:$C,3,FALSE),"")</f>
        <v>105920110</v>
      </c>
      <c r="AO1" s="5">
        <f>IF(VLOOKUP(AO2,Arterial_Zone_Link_Mapping!$A:$C,3,FALSE)&lt;&gt;"",VLOOKUP(AO2,Arterial_Zone_Link_Mapping!$A:$C,3,FALSE),"")</f>
        <v>196</v>
      </c>
      <c r="AP1" s="5" t="str">
        <f>IF(VLOOKUP(AP2,Arterial_Zone_Link_Mapping!$A:$C,3,FALSE)&lt;&gt;"",VLOOKUP(AP2,Arterial_Zone_Link_Mapping!$A:$C,3,FALSE),"")</f>
        <v/>
      </c>
      <c r="AQ1" s="5" t="str">
        <f>IF(VLOOKUP(AQ2,Arterial_Zone_Link_Mapping!$A:$C,3,FALSE)&lt;&gt;"",VLOOKUP(AQ2,Arterial_Zone_Link_Mapping!$A:$C,3,FALSE),"")</f>
        <v/>
      </c>
      <c r="AR1" s="5" t="str">
        <f>IF(VLOOKUP(AR2,Arterial_Zone_Link_Mapping!$A:$C,3,FALSE)&lt;&gt;"",VLOOKUP(AR2,Arterial_Zone_Link_Mapping!$A:$C,3,FALSE),"")</f>
        <v/>
      </c>
      <c r="AS1" s="5">
        <f>IF(VLOOKUP(AS2,Arterial_Zone_Link_Mapping!$A:$C,3,FALSE)&lt;&gt;"",VLOOKUP(AS2,Arterial_Zone_Link_Mapping!$A:$C,3,FALSE),"")</f>
        <v>500</v>
      </c>
      <c r="AT1" s="5" t="str">
        <f>IF(VLOOKUP(AT2,Arterial_Zone_Link_Mapping!$A:$C,3,FALSE)&lt;&gt;"",VLOOKUP(AT2,Arterial_Zone_Link_Mapping!$A:$C,3,FALSE),"")</f>
        <v/>
      </c>
      <c r="AU1" s="5">
        <f>IF(VLOOKUP(AU2,Arterial_Zone_Link_Mapping!$A:$C,3,FALSE)&lt;&gt;"",VLOOKUP(AU2,Arterial_Zone_Link_Mapping!$A:$C,3,FALSE),"")</f>
        <v>398</v>
      </c>
      <c r="AV1" s="5" t="str">
        <f>IF(VLOOKUP(AV2,Arterial_Zone_Link_Mapping!$A:$C,3,FALSE)&lt;&gt;"",VLOOKUP(AV2,Arterial_Zone_Link_Mapping!$A:$C,3,FALSE),"")</f>
        <v/>
      </c>
      <c r="AW1" s="5" t="str">
        <f>IF(VLOOKUP(AW2,Arterial_Zone_Link_Mapping!$A:$C,3,FALSE)&lt;&gt;"",VLOOKUP(AW2,Arterial_Zone_Link_Mapping!$A:$C,3,FALSE),"")</f>
        <v/>
      </c>
      <c r="AX1" s="5">
        <f>IF(VLOOKUP(AX2,Arterial_Zone_Link_Mapping!$A:$C,3,FALSE)&lt;&gt;"",VLOOKUP(AX2,Arterial_Zone_Link_Mapping!$A:$C,3,FALSE),"")</f>
        <v>384</v>
      </c>
      <c r="AY1" s="5" t="str">
        <f>IF(VLOOKUP(AY2,Arterial_Zone_Link_Mapping!$A:$C,3,FALSE)&lt;&gt;"",VLOOKUP(AY2,Arterial_Zone_Link_Mapping!$A:$C,3,FALSE),"")</f>
        <v/>
      </c>
      <c r="AZ1" s="5">
        <f>IF(VLOOKUP(AZ2,Arterial_Zone_Link_Mapping!$A:$C,3,FALSE)&lt;&gt;"",VLOOKUP(AZ2,Arterial_Zone_Link_Mapping!$A:$C,3,FALSE),"")</f>
        <v>105920001</v>
      </c>
      <c r="BA1" s="5" t="str">
        <f>IF(VLOOKUP(BA2,Arterial_Zone_Link_Mapping!$A:$C,3,FALSE)&lt;&gt;"",VLOOKUP(BA2,Arterial_Zone_Link_Mapping!$A:$C,3,FALSE),"")</f>
        <v/>
      </c>
      <c r="BB1" s="5">
        <f>IF(VLOOKUP(BB2,Arterial_Zone_Link_Mapping!$A:$C,3,FALSE)&lt;&gt;"",VLOOKUP(BB2,Arterial_Zone_Link_Mapping!$A:$C,3,FALSE),"")</f>
        <v>28280066</v>
      </c>
      <c r="BC1" s="5" t="str">
        <f>IF(VLOOKUP(BC2,Arterial_Zone_Link_Mapping!$A:$C,3,FALSE)&lt;&gt;"",VLOOKUP(BC2,Arterial_Zone_Link_Mapping!$A:$C,3,FALSE),"")</f>
        <v/>
      </c>
      <c r="BD1" s="5" t="str">
        <f>IF(VLOOKUP(BD2,Arterial_Zone_Link_Mapping!$A:$C,3,FALSE)&lt;&gt;"",VLOOKUP(BD2,Arterial_Zone_Link_Mapping!$A:$C,3,FALSE),"")</f>
        <v/>
      </c>
      <c r="BE1" s="5">
        <f>IF(VLOOKUP(BE2,Arterial_Zone_Link_Mapping!$A:$C,3,FALSE)&lt;&gt;"",VLOOKUP(BE2,Arterial_Zone_Link_Mapping!$A:$C,3,FALSE),"")</f>
        <v>304</v>
      </c>
      <c r="BF1" s="5" t="str">
        <f>IF(VLOOKUP(BF2,Arterial_Zone_Link_Mapping!$A:$C,3,FALSE)&lt;&gt;"",VLOOKUP(BF2,Arterial_Zone_Link_Mapping!$A:$C,3,FALSE),"")</f>
        <v/>
      </c>
      <c r="BG1" s="5">
        <f>IF(VLOOKUP(BG2,Arterial_Zone_Link_Mapping!$A:$C,3,FALSE)&lt;&gt;"",VLOOKUP(BG2,Arterial_Zone_Link_Mapping!$A:$C,3,FALSE),"")</f>
        <v>28240364</v>
      </c>
      <c r="BH1" s="5">
        <f>IF(VLOOKUP(BH2,Arterial_Zone_Link_Mapping!$A:$C,3,FALSE)&lt;&gt;"",VLOOKUP(BH2,Arterial_Zone_Link_Mapping!$A:$C,3,FALSE),"")</f>
        <v>459</v>
      </c>
      <c r="BI1" s="5" t="str">
        <f>IF(VLOOKUP(BI2,Arterial_Zone_Link_Mapping!$A:$C,3,FALSE)&lt;&gt;"",VLOOKUP(BI2,Arterial_Zone_Link_Mapping!$A:$C,3,FALSE),"")</f>
        <v/>
      </c>
      <c r="BJ1" s="5">
        <f>IF(VLOOKUP(BJ2,Arterial_Zone_Link_Mapping!$A:$C,3,FALSE)&lt;&gt;"",VLOOKUP(BJ2,Arterial_Zone_Link_Mapping!$A:$C,3,FALSE),"")</f>
        <v>313</v>
      </c>
      <c r="BK1" s="5">
        <f>IF(VLOOKUP(BK2,Arterial_Zone_Link_Mapping!$A:$C,3,FALSE)&lt;&gt;"",VLOOKUP(BK2,Arterial_Zone_Link_Mapping!$A:$C,3,FALSE),"")</f>
        <v>131</v>
      </c>
      <c r="BL1" s="5">
        <f>IF(VLOOKUP(BL2,Arterial_Zone_Link_Mapping!$A:$C,3,FALSE)&lt;&gt;"",VLOOKUP(BL2,Arterial_Zone_Link_Mapping!$A:$C,3,FALSE),"")</f>
        <v>46</v>
      </c>
      <c r="BM1" s="5">
        <f>IF(VLOOKUP(BM2,Arterial_Zone_Link_Mapping!$A:$C,3,FALSE)&lt;&gt;"",VLOOKUP(BM2,Arterial_Zone_Link_Mapping!$A:$C,3,FALSE),"")</f>
        <v>311</v>
      </c>
      <c r="BN1" s="5">
        <f>IF(VLOOKUP(BN2,Arterial_Zone_Link_Mapping!$A:$C,3,FALSE)&lt;&gt;"",VLOOKUP(BN2,Arterial_Zone_Link_Mapping!$A:$C,3,FALSE),"")</f>
        <v>355</v>
      </c>
      <c r="BO1" s="5">
        <f>IF(VLOOKUP(BO2,Arterial_Zone_Link_Mapping!$A:$C,3,FALSE)&lt;&gt;"",VLOOKUP(BO2,Arterial_Zone_Link_Mapping!$A:$C,3,FALSE),"")</f>
        <v>235</v>
      </c>
      <c r="BP1" s="5">
        <f>IF(VLOOKUP(BP2,Arterial_Zone_Link_Mapping!$A:$C,3,FALSE)&lt;&gt;"",VLOOKUP(BP2,Arterial_Zone_Link_Mapping!$A:$C,3,FALSE),"")</f>
        <v>432</v>
      </c>
      <c r="BQ1" s="5">
        <f>IF(VLOOKUP(BQ2,Arterial_Zone_Link_Mapping!$A:$C,3,FALSE)&lt;&gt;"",VLOOKUP(BQ2,Arterial_Zone_Link_Mapping!$A:$C,3,FALSE),"")</f>
        <v>430</v>
      </c>
    </row>
    <row r="2" spans="1:69" x14ac:dyDescent="0.25">
      <c r="A2" s="5"/>
      <c r="B2" s="5"/>
      <c r="C2" s="5">
        <v>2</v>
      </c>
      <c r="D2" s="5">
        <v>8</v>
      </c>
      <c r="E2" s="5">
        <v>10</v>
      </c>
      <c r="F2" s="5">
        <v>11</v>
      </c>
      <c r="G2" s="5">
        <v>16</v>
      </c>
      <c r="H2" s="5">
        <v>17</v>
      </c>
      <c r="I2" s="5">
        <v>18</v>
      </c>
      <c r="J2" s="5">
        <v>20</v>
      </c>
      <c r="K2" s="5">
        <v>21</v>
      </c>
      <c r="L2" s="5">
        <v>22</v>
      </c>
      <c r="M2" s="5">
        <v>23</v>
      </c>
      <c r="N2" s="5">
        <v>25</v>
      </c>
      <c r="O2" s="5">
        <v>26</v>
      </c>
      <c r="P2" s="5">
        <v>27</v>
      </c>
      <c r="Q2" s="5">
        <v>34</v>
      </c>
      <c r="R2" s="5">
        <v>38</v>
      </c>
      <c r="S2" s="5">
        <v>39</v>
      </c>
      <c r="T2" s="5">
        <v>40</v>
      </c>
      <c r="U2" s="5">
        <v>41</v>
      </c>
      <c r="V2" s="5">
        <v>42</v>
      </c>
      <c r="W2" s="5">
        <v>43</v>
      </c>
      <c r="X2" s="5">
        <v>44</v>
      </c>
      <c r="Y2" s="5">
        <v>46</v>
      </c>
      <c r="Z2" s="5">
        <v>47</v>
      </c>
      <c r="AA2" s="5">
        <v>49</v>
      </c>
      <c r="AB2" s="5">
        <v>50</v>
      </c>
      <c r="AC2" s="5">
        <v>51</v>
      </c>
      <c r="AD2" s="5">
        <v>52</v>
      </c>
      <c r="AE2" s="5">
        <v>53</v>
      </c>
      <c r="AF2" s="5">
        <v>54</v>
      </c>
      <c r="AG2" s="5">
        <v>55</v>
      </c>
      <c r="AH2" s="5">
        <v>56</v>
      </c>
      <c r="AI2" s="5">
        <v>57</v>
      </c>
      <c r="AJ2" s="5">
        <v>58</v>
      </c>
      <c r="AK2" s="5">
        <v>59</v>
      </c>
      <c r="AL2" s="5">
        <v>60</v>
      </c>
      <c r="AM2" s="5">
        <v>61</v>
      </c>
      <c r="AN2" s="5">
        <v>62</v>
      </c>
      <c r="AO2" s="5">
        <v>63</v>
      </c>
      <c r="AP2" s="5">
        <v>64</v>
      </c>
      <c r="AQ2" s="5">
        <v>65</v>
      </c>
      <c r="AR2" s="5">
        <v>66</v>
      </c>
      <c r="AS2" s="5">
        <v>67</v>
      </c>
      <c r="AT2" s="5">
        <v>68</v>
      </c>
      <c r="AU2" s="5">
        <v>69</v>
      </c>
      <c r="AV2" s="5">
        <v>70</v>
      </c>
      <c r="AW2" s="5">
        <v>71</v>
      </c>
      <c r="AX2" s="5">
        <v>72</v>
      </c>
      <c r="AY2" s="5">
        <v>73</v>
      </c>
      <c r="AZ2" s="5">
        <v>74</v>
      </c>
      <c r="BA2" s="5">
        <v>75</v>
      </c>
      <c r="BB2" s="5">
        <v>76</v>
      </c>
      <c r="BC2" s="5">
        <v>77</v>
      </c>
      <c r="BD2" s="5">
        <v>78</v>
      </c>
      <c r="BE2" s="5">
        <v>79</v>
      </c>
      <c r="BF2" s="5">
        <v>80</v>
      </c>
      <c r="BG2" s="5">
        <v>81</v>
      </c>
      <c r="BH2" s="5">
        <v>82</v>
      </c>
      <c r="BI2" s="5">
        <v>83</v>
      </c>
      <c r="BJ2" s="5">
        <v>84</v>
      </c>
      <c r="BK2" s="5">
        <v>85</v>
      </c>
      <c r="BL2" s="5">
        <v>86</v>
      </c>
      <c r="BM2" s="5">
        <v>87</v>
      </c>
      <c r="BN2" s="5">
        <v>88</v>
      </c>
      <c r="BO2" s="5">
        <v>89</v>
      </c>
      <c r="BP2" s="5">
        <v>90</v>
      </c>
      <c r="BQ2" s="5">
        <v>91</v>
      </c>
    </row>
    <row r="3" spans="1:69" x14ac:dyDescent="0.25">
      <c r="A3" s="5">
        <f>IF(VLOOKUP(B3,Arterial_Zone_Link_Mapping!$A:$C,2,FALSE)&lt;&gt;"",VLOOKUP(B3,Arterial_Zone_Link_Mapping!$A:$C,2,FALSE),"")</f>
        <v>129</v>
      </c>
      <c r="B3" s="5">
        <v>2</v>
      </c>
      <c r="C3" s="12">
        <f>VISUM_Arterial_OD!C3-Arterial_Truck!C3-Arterial_HOT!C3</f>
        <v>0</v>
      </c>
      <c r="D3" s="12">
        <f>VISUM_Arterial_OD!D3-Arterial_Truck!D3-Arterial_HOT!D3</f>
        <v>8.5776294899999996</v>
      </c>
      <c r="E3" s="12">
        <f>VISUM_Arterial_OD!E3-Arterial_Truck!E3-Arterial_HOT!E3</f>
        <v>0</v>
      </c>
      <c r="F3" s="12">
        <f>VISUM_Arterial_OD!F3-Arterial_Truck!F3-Arterial_HOT!F3</f>
        <v>0</v>
      </c>
      <c r="G3" s="12">
        <f>VISUM_Arterial_OD!G3-Arterial_Truck!G3-Arterial_HOT!G3</f>
        <v>0</v>
      </c>
      <c r="H3" s="12">
        <f>VISUM_Arterial_OD!H3-Arterial_Truck!H3-Arterial_HOT!H3</f>
        <v>0</v>
      </c>
      <c r="I3" s="12">
        <f>VISUM_Arterial_OD!I3-Arterial_Truck!I3-Arterial_HOT!I3</f>
        <v>0</v>
      </c>
      <c r="J3" s="12">
        <f>VISUM_Arterial_OD!J3-Arterial_Truck!J3-Arterial_HOT!J3</f>
        <v>45.95469284</v>
      </c>
      <c r="K3" s="12">
        <f>VISUM_Arterial_OD!K3-Arterial_Truck!K3-Arterial_HOT!K3</f>
        <v>7.0915225599999996</v>
      </c>
      <c r="L3" s="12">
        <f>VISUM_Arterial_OD!L3-Arterial_Truck!L3-Arterial_HOT!L3</f>
        <v>37.859639319999999</v>
      </c>
      <c r="M3" s="12">
        <f>VISUM_Arterial_OD!M3-Arterial_Truck!M3-Arterial_HOT!M3</f>
        <v>0</v>
      </c>
      <c r="N3" s="12">
        <f>VISUM_Arterial_OD!N3-Arterial_Truck!N3-Arterial_HOT!N3</f>
        <v>0</v>
      </c>
      <c r="O3" s="12">
        <f>VISUM_Arterial_OD!O3-Arterial_Truck!O3-Arterial_HOT!O3</f>
        <v>93.732839210000009</v>
      </c>
      <c r="P3" s="12">
        <f>VISUM_Arterial_OD!P3-Arterial_Truck!P3-Arterial_HOT!P3</f>
        <v>8.7569407800000008</v>
      </c>
      <c r="Q3" s="12">
        <f>VISUM_Arterial_OD!Q3-Arterial_Truck!Q3-Arterial_HOT!Q3</f>
        <v>0</v>
      </c>
      <c r="R3" s="12">
        <f>VISUM_Arterial_OD!R3-Arterial_Truck!R3-Arterial_HOT!R3</f>
        <v>0</v>
      </c>
      <c r="S3" s="12">
        <f>VISUM_Arterial_OD!S3-Arterial_Truck!S3-Arterial_HOT!S3</f>
        <v>18.023610739999999</v>
      </c>
      <c r="T3" s="12">
        <f>VISUM_Arterial_OD!T3-Arterial_Truck!T3-Arterial_HOT!T3</f>
        <v>0</v>
      </c>
      <c r="U3" s="12">
        <f>VISUM_Arterial_OD!U3-Arterial_Truck!U3-Arterial_HOT!U3</f>
        <v>0</v>
      </c>
      <c r="V3" s="12">
        <f>VISUM_Arterial_OD!V3-Arterial_Truck!V3-Arterial_HOT!V3</f>
        <v>0</v>
      </c>
      <c r="W3" s="12">
        <f>VISUM_Arterial_OD!W3-Arterial_Truck!W3-Arterial_HOT!W3</f>
        <v>0</v>
      </c>
      <c r="X3" s="12">
        <f>VISUM_Arterial_OD!X3-Arterial_Truck!X3-Arterial_HOT!X3</f>
        <v>0</v>
      </c>
      <c r="Y3" s="12">
        <f>VISUM_Arterial_OD!Y3-Arterial_Truck!Y3-Arterial_HOT!Y3</f>
        <v>0</v>
      </c>
      <c r="Z3" s="12">
        <f>VISUM_Arterial_OD!Z3-Arterial_Truck!Z3-Arterial_HOT!Z3</f>
        <v>9.0875662500000001</v>
      </c>
      <c r="AA3" s="12">
        <f>VISUM_Arterial_OD!AA3-Arterial_Truck!AA3-Arterial_HOT!AA3</f>
        <v>0</v>
      </c>
      <c r="AB3" s="12">
        <f>VISUM_Arterial_OD!AB3-Arterial_Truck!AB3-Arterial_HOT!AB3</f>
        <v>53.101349230000004</v>
      </c>
      <c r="AC3" s="12">
        <f>VISUM_Arterial_OD!AC3-Arterial_Truck!AC3-Arterial_HOT!AC3</f>
        <v>0</v>
      </c>
      <c r="AD3" s="12">
        <f>VISUM_Arterial_OD!AD3-Arterial_Truck!AD3-Arterial_HOT!AD3</f>
        <v>0</v>
      </c>
      <c r="AE3" s="12">
        <f>VISUM_Arterial_OD!AE3-Arterial_Truck!AE3-Arterial_HOT!AE3</f>
        <v>0</v>
      </c>
      <c r="AF3" s="12">
        <f>VISUM_Arterial_OD!AF3-Arterial_Truck!AF3-Arterial_HOT!AF3</f>
        <v>0</v>
      </c>
      <c r="AG3" s="12">
        <f>VISUM_Arterial_OD!AG3-Arterial_Truck!AG3-Arterial_HOT!AG3</f>
        <v>0</v>
      </c>
      <c r="AH3" s="12">
        <f>VISUM_Arterial_OD!AH3-Arterial_Truck!AH3-Arterial_HOT!AH3</f>
        <v>0</v>
      </c>
      <c r="AI3" s="12">
        <f>VISUM_Arterial_OD!AI3-Arterial_Truck!AI3-Arterial_HOT!AI3</f>
        <v>0</v>
      </c>
      <c r="AJ3" s="12">
        <f>VISUM_Arterial_OD!AJ3-Arterial_Truck!AJ3-Arterial_HOT!AJ3</f>
        <v>0</v>
      </c>
      <c r="AK3" s="12">
        <f>VISUM_Arterial_OD!AK3-Arterial_Truck!AK3-Arterial_HOT!AK3</f>
        <v>0</v>
      </c>
      <c r="AL3" s="12">
        <f>VISUM_Arterial_OD!AL3-Arterial_Truck!AL3-Arterial_HOT!AL3</f>
        <v>60.420594810000004</v>
      </c>
      <c r="AM3" s="12">
        <f>VISUM_Arterial_OD!AM3-Arterial_Truck!AM3-Arterial_HOT!AM3</f>
        <v>0</v>
      </c>
      <c r="AN3" s="12">
        <f>VISUM_Arterial_OD!AN3-Arterial_Truck!AN3-Arterial_HOT!AN3</f>
        <v>122.07287137</v>
      </c>
      <c r="AO3" s="12">
        <f>VISUM_Arterial_OD!AO3-Arterial_Truck!AO3-Arterial_HOT!AO3</f>
        <v>0</v>
      </c>
      <c r="AP3" s="12">
        <f>VISUM_Arterial_OD!AP3-Arterial_Truck!AP3-Arterial_HOT!AP3</f>
        <v>0</v>
      </c>
      <c r="AQ3" s="12">
        <f>VISUM_Arterial_OD!AQ3-Arterial_Truck!AQ3-Arterial_HOT!AQ3</f>
        <v>0</v>
      </c>
      <c r="AR3" s="12">
        <f>VISUM_Arterial_OD!AR3-Arterial_Truck!AR3-Arterial_HOT!AR3</f>
        <v>0</v>
      </c>
      <c r="AS3" s="12">
        <f>VISUM_Arterial_OD!AS3-Arterial_Truck!AS3-Arterial_HOT!AS3</f>
        <v>0</v>
      </c>
      <c r="AT3" s="12">
        <f>VISUM_Arterial_OD!AT3-Arterial_Truck!AT3-Arterial_HOT!AT3</f>
        <v>0</v>
      </c>
      <c r="AU3" s="12">
        <f>VISUM_Arterial_OD!AU3-Arterial_Truck!AU3-Arterial_HOT!AU3</f>
        <v>0</v>
      </c>
      <c r="AV3" s="12">
        <f>VISUM_Arterial_OD!AV3-Arterial_Truck!AV3-Arterial_HOT!AV3</f>
        <v>0</v>
      </c>
      <c r="AW3" s="12">
        <f>VISUM_Arterial_OD!AW3-Arterial_Truck!AW3-Arterial_HOT!AW3</f>
        <v>0</v>
      </c>
      <c r="AX3" s="12">
        <f>VISUM_Arterial_OD!AX3-Arterial_Truck!AX3-Arterial_HOT!AX3</f>
        <v>25.266882039999999</v>
      </c>
      <c r="AY3" s="12">
        <f>VISUM_Arterial_OD!AY3-Arterial_Truck!AY3-Arterial_HOT!AY3</f>
        <v>0</v>
      </c>
      <c r="AZ3" s="12">
        <f>VISUM_Arterial_OD!AZ3-Arterial_Truck!AZ3-Arterial_HOT!AZ3</f>
        <v>0</v>
      </c>
      <c r="BA3" s="12">
        <f>VISUM_Arterial_OD!BA3-Arterial_Truck!BA3-Arterial_HOT!BA3</f>
        <v>0</v>
      </c>
      <c r="BB3" s="12">
        <f>VISUM_Arterial_OD!BB3-Arterial_Truck!BB3-Arterial_HOT!BB3</f>
        <v>0</v>
      </c>
      <c r="BC3" s="12">
        <f>VISUM_Arterial_OD!BC3-Arterial_Truck!BC3-Arterial_HOT!BC3</f>
        <v>0</v>
      </c>
      <c r="BD3" s="12">
        <f>VISUM_Arterial_OD!BD3-Arterial_Truck!BD3-Arterial_HOT!BD3</f>
        <v>0</v>
      </c>
      <c r="BE3" s="12">
        <f>VISUM_Arterial_OD!BE3-Arterial_Truck!BE3-Arterial_HOT!BE3</f>
        <v>0</v>
      </c>
      <c r="BF3" s="12">
        <f>VISUM_Arterial_OD!BF3-Arterial_Truck!BF3-Arterial_HOT!BF3</f>
        <v>0</v>
      </c>
      <c r="BG3" s="12">
        <f>VISUM_Arterial_OD!BG3-Arterial_Truck!BG3-Arterial_HOT!BG3</f>
        <v>0</v>
      </c>
      <c r="BH3" s="12">
        <f>VISUM_Arterial_OD!BH3-Arterial_Truck!BH3-Arterial_HOT!BH3</f>
        <v>0</v>
      </c>
      <c r="BI3" s="12">
        <f>VISUM_Arterial_OD!BI3-Arterial_Truck!BI3-Arterial_HOT!BI3</f>
        <v>0</v>
      </c>
      <c r="BJ3" s="12">
        <f>VISUM_Arterial_OD!BJ3-Arterial_Truck!BJ3-Arterial_HOT!BJ3</f>
        <v>0</v>
      </c>
      <c r="BK3" s="12">
        <f>VISUM_Arterial_OD!BK3-Arterial_Truck!BK3-Arterial_HOT!BK3</f>
        <v>0</v>
      </c>
      <c r="BL3" s="12">
        <f>VISUM_Arterial_OD!BL3-Arterial_Truck!BL3-Arterial_HOT!BL3</f>
        <v>0</v>
      </c>
      <c r="BM3" s="12">
        <f>VISUM_Arterial_OD!BM3-Arterial_Truck!BM3-Arterial_HOT!BM3</f>
        <v>0</v>
      </c>
      <c r="BN3" s="12">
        <f>VISUM_Arterial_OD!BN3-Arterial_Truck!BN3-Arterial_HOT!BN3</f>
        <v>0</v>
      </c>
      <c r="BO3" s="12">
        <f>VISUM_Arterial_OD!BO3-Arterial_Truck!BO3-Arterial_HOT!BO3</f>
        <v>135.79198489000001</v>
      </c>
      <c r="BP3" s="12">
        <f>VISUM_Arterial_OD!BP3-Arterial_Truck!BP3-Arterial_HOT!BP3</f>
        <v>0</v>
      </c>
      <c r="BQ3" s="12">
        <f>VISUM_Arterial_OD!BQ3-Arterial_Truck!BQ3-Arterial_HOT!BQ3</f>
        <v>0</v>
      </c>
    </row>
    <row r="4" spans="1:69" x14ac:dyDescent="0.25">
      <c r="A4" s="5">
        <f>IF(VLOOKUP(B4,Arterial_Zone_Link_Mapping!$A:$C,2,FALSE)&lt;&gt;"",VLOOKUP(B4,Arterial_Zone_Link_Mapping!$A:$C,2,FALSE),"")</f>
        <v>169</v>
      </c>
      <c r="B4" s="5">
        <v>8</v>
      </c>
      <c r="C4" s="12">
        <f>VISUM_Arterial_OD!C4-Arterial_Truck!C4-Arterial_HOT!C4</f>
        <v>19.36177812</v>
      </c>
      <c r="D4" s="12">
        <f>VISUM_Arterial_OD!D4-Arterial_Truck!D4-Arterial_HOT!D4</f>
        <v>0</v>
      </c>
      <c r="E4" s="12">
        <f>VISUM_Arterial_OD!E4-Arterial_Truck!E4-Arterial_HOT!E4</f>
        <v>0</v>
      </c>
      <c r="F4" s="12">
        <f>VISUM_Arterial_OD!F4-Arterial_Truck!F4-Arterial_HOT!F4</f>
        <v>0</v>
      </c>
      <c r="G4" s="12">
        <f>VISUM_Arterial_OD!G4-Arterial_Truck!G4-Arterial_HOT!G4</f>
        <v>0</v>
      </c>
      <c r="H4" s="12">
        <f>VISUM_Arterial_OD!H4-Arterial_Truck!H4-Arterial_HOT!H4</f>
        <v>0</v>
      </c>
      <c r="I4" s="12">
        <f>VISUM_Arterial_OD!I4-Arterial_Truck!I4-Arterial_HOT!I4</f>
        <v>0</v>
      </c>
      <c r="J4" s="12">
        <f>VISUM_Arterial_OD!J4-Arterial_Truck!J4-Arterial_HOT!J4</f>
        <v>0</v>
      </c>
      <c r="K4" s="12">
        <f>VISUM_Arterial_OD!K4-Arterial_Truck!K4-Arterial_HOT!K4</f>
        <v>7.7559599499999994</v>
      </c>
      <c r="L4" s="12">
        <f>VISUM_Arterial_OD!L4-Arterial_Truck!L4-Arterial_HOT!L4</f>
        <v>31.263184389999999</v>
      </c>
      <c r="M4" s="12">
        <f>VISUM_Arterial_OD!M4-Arterial_Truck!M4-Arterial_HOT!M4</f>
        <v>0</v>
      </c>
      <c r="N4" s="12">
        <f>VISUM_Arterial_OD!N4-Arterial_Truck!N4-Arterial_HOT!N4</f>
        <v>0</v>
      </c>
      <c r="O4" s="12">
        <f>VISUM_Arterial_OD!O4-Arterial_Truck!O4-Arterial_HOT!O4</f>
        <v>111.54902612000001</v>
      </c>
      <c r="P4" s="12">
        <f>VISUM_Arterial_OD!P4-Arterial_Truck!P4-Arterial_HOT!P4</f>
        <v>8.0132398400000007</v>
      </c>
      <c r="Q4" s="12">
        <f>VISUM_Arterial_OD!Q4-Arterial_Truck!Q4-Arterial_HOT!Q4</f>
        <v>0</v>
      </c>
      <c r="R4" s="12">
        <f>VISUM_Arterial_OD!R4-Arterial_Truck!R4-Arterial_HOT!R4</f>
        <v>0</v>
      </c>
      <c r="S4" s="12">
        <f>VISUM_Arterial_OD!S4-Arterial_Truck!S4-Arterial_HOT!S4</f>
        <v>13.822403</v>
      </c>
      <c r="T4" s="12">
        <f>VISUM_Arterial_OD!T4-Arterial_Truck!T4-Arterial_HOT!T4</f>
        <v>0</v>
      </c>
      <c r="U4" s="12">
        <f>VISUM_Arterial_OD!U4-Arterial_Truck!U4-Arterial_HOT!U4</f>
        <v>0</v>
      </c>
      <c r="V4" s="12">
        <f>VISUM_Arterial_OD!V4-Arterial_Truck!V4-Arterial_HOT!V4</f>
        <v>0</v>
      </c>
      <c r="W4" s="12">
        <f>VISUM_Arterial_OD!W4-Arterial_Truck!W4-Arterial_HOT!W4</f>
        <v>0</v>
      </c>
      <c r="X4" s="12">
        <f>VISUM_Arterial_OD!X4-Arterial_Truck!X4-Arterial_HOT!X4</f>
        <v>0</v>
      </c>
      <c r="Y4" s="12">
        <f>VISUM_Arterial_OD!Y4-Arterial_Truck!Y4-Arterial_HOT!Y4</f>
        <v>0</v>
      </c>
      <c r="Z4" s="12">
        <f>VISUM_Arterial_OD!Z4-Arterial_Truck!Z4-Arterial_HOT!Z4</f>
        <v>27.582643549999997</v>
      </c>
      <c r="AA4" s="12">
        <f>VISUM_Arterial_OD!AA4-Arterial_Truck!AA4-Arterial_HOT!AA4</f>
        <v>0</v>
      </c>
      <c r="AB4" s="12">
        <f>VISUM_Arterial_OD!AB4-Arterial_Truck!AB4-Arterial_HOT!AB4</f>
        <v>71.347977520000001</v>
      </c>
      <c r="AC4" s="12">
        <f>VISUM_Arterial_OD!AC4-Arterial_Truck!AC4-Arterial_HOT!AC4</f>
        <v>5.1829961500000001</v>
      </c>
      <c r="AD4" s="12">
        <f>VISUM_Arterial_OD!AD4-Arterial_Truck!AD4-Arterial_HOT!AD4</f>
        <v>0</v>
      </c>
      <c r="AE4" s="12">
        <f>VISUM_Arterial_OD!AE4-Arterial_Truck!AE4-Arterial_HOT!AE4</f>
        <v>0</v>
      </c>
      <c r="AF4" s="12">
        <f>VISUM_Arterial_OD!AF4-Arterial_Truck!AF4-Arterial_HOT!AF4</f>
        <v>42.489172870000004</v>
      </c>
      <c r="AG4" s="12">
        <f>VISUM_Arterial_OD!AG4-Arterial_Truck!AG4-Arterial_HOT!AG4</f>
        <v>0</v>
      </c>
      <c r="AH4" s="12">
        <f>VISUM_Arterial_OD!AH4-Arterial_Truck!AH4-Arterial_HOT!AH4</f>
        <v>0</v>
      </c>
      <c r="AI4" s="12">
        <f>VISUM_Arterial_OD!AI4-Arterial_Truck!AI4-Arterial_HOT!AI4</f>
        <v>0</v>
      </c>
      <c r="AJ4" s="12">
        <f>VISUM_Arterial_OD!AJ4-Arterial_Truck!AJ4-Arterial_HOT!AJ4</f>
        <v>64.50802834000001</v>
      </c>
      <c r="AK4" s="12">
        <f>VISUM_Arterial_OD!AK4-Arterial_Truck!AK4-Arterial_HOT!AK4</f>
        <v>0</v>
      </c>
      <c r="AL4" s="12">
        <f>VISUM_Arterial_OD!AL4-Arterial_Truck!AL4-Arterial_HOT!AL4</f>
        <v>0</v>
      </c>
      <c r="AM4" s="12">
        <f>VISUM_Arterial_OD!AM4-Arterial_Truck!AM4-Arterial_HOT!AM4</f>
        <v>0</v>
      </c>
      <c r="AN4" s="12">
        <f>VISUM_Arterial_OD!AN4-Arterial_Truck!AN4-Arterial_HOT!AN4</f>
        <v>0</v>
      </c>
      <c r="AO4" s="12">
        <f>VISUM_Arterial_OD!AO4-Arterial_Truck!AO4-Arterial_HOT!AO4</f>
        <v>0</v>
      </c>
      <c r="AP4" s="12">
        <f>VISUM_Arterial_OD!AP4-Arterial_Truck!AP4-Arterial_HOT!AP4</f>
        <v>0</v>
      </c>
      <c r="AQ4" s="12">
        <f>VISUM_Arterial_OD!AQ4-Arterial_Truck!AQ4-Arterial_HOT!AQ4</f>
        <v>0</v>
      </c>
      <c r="AR4" s="12">
        <f>VISUM_Arterial_OD!AR4-Arterial_Truck!AR4-Arterial_HOT!AR4</f>
        <v>0</v>
      </c>
      <c r="AS4" s="12">
        <f>VISUM_Arterial_OD!AS4-Arterial_Truck!AS4-Arterial_HOT!AS4</f>
        <v>0</v>
      </c>
      <c r="AT4" s="12">
        <f>VISUM_Arterial_OD!AT4-Arterial_Truck!AT4-Arterial_HOT!AT4</f>
        <v>0</v>
      </c>
      <c r="AU4" s="12">
        <f>VISUM_Arterial_OD!AU4-Arterial_Truck!AU4-Arterial_HOT!AU4</f>
        <v>0</v>
      </c>
      <c r="AV4" s="12">
        <f>VISUM_Arterial_OD!AV4-Arterial_Truck!AV4-Arterial_HOT!AV4</f>
        <v>0</v>
      </c>
      <c r="AW4" s="12">
        <f>VISUM_Arterial_OD!AW4-Arterial_Truck!AW4-Arterial_HOT!AW4</f>
        <v>0</v>
      </c>
      <c r="AX4" s="12">
        <f>VISUM_Arterial_OD!AX4-Arterial_Truck!AX4-Arterial_HOT!AX4</f>
        <v>25.911513000000003</v>
      </c>
      <c r="AY4" s="12">
        <f>VISUM_Arterial_OD!AY4-Arterial_Truck!AY4-Arterial_HOT!AY4</f>
        <v>0</v>
      </c>
      <c r="AZ4" s="12">
        <f>VISUM_Arterial_OD!AZ4-Arterial_Truck!AZ4-Arterial_HOT!AZ4</f>
        <v>0</v>
      </c>
      <c r="BA4" s="12">
        <f>VISUM_Arterial_OD!BA4-Arterial_Truck!BA4-Arterial_HOT!BA4</f>
        <v>0</v>
      </c>
      <c r="BB4" s="12">
        <f>VISUM_Arterial_OD!BB4-Arterial_Truck!BB4-Arterial_HOT!BB4</f>
        <v>0</v>
      </c>
      <c r="BC4" s="12">
        <f>VISUM_Arterial_OD!BC4-Arterial_Truck!BC4-Arterial_HOT!BC4</f>
        <v>0</v>
      </c>
      <c r="BD4" s="12">
        <f>VISUM_Arterial_OD!BD4-Arterial_Truck!BD4-Arterial_HOT!BD4</f>
        <v>0</v>
      </c>
      <c r="BE4" s="12">
        <f>VISUM_Arterial_OD!BE4-Arterial_Truck!BE4-Arterial_HOT!BE4</f>
        <v>0</v>
      </c>
      <c r="BF4" s="12">
        <f>VISUM_Arterial_OD!BF4-Arterial_Truck!BF4-Arterial_HOT!BF4</f>
        <v>0</v>
      </c>
      <c r="BG4" s="12">
        <f>VISUM_Arterial_OD!BG4-Arterial_Truck!BG4-Arterial_HOT!BG4</f>
        <v>0</v>
      </c>
      <c r="BH4" s="12">
        <f>VISUM_Arterial_OD!BH4-Arterial_Truck!BH4-Arterial_HOT!BH4</f>
        <v>0</v>
      </c>
      <c r="BI4" s="12">
        <f>VISUM_Arterial_OD!BI4-Arterial_Truck!BI4-Arterial_HOT!BI4</f>
        <v>0</v>
      </c>
      <c r="BJ4" s="12">
        <f>VISUM_Arterial_OD!BJ4-Arterial_Truck!BJ4-Arterial_HOT!BJ4</f>
        <v>0</v>
      </c>
      <c r="BK4" s="12">
        <f>VISUM_Arterial_OD!BK4-Arterial_Truck!BK4-Arterial_HOT!BK4</f>
        <v>0</v>
      </c>
      <c r="BL4" s="12">
        <f>VISUM_Arterial_OD!BL4-Arterial_Truck!BL4-Arterial_HOT!BL4</f>
        <v>0</v>
      </c>
      <c r="BM4" s="12">
        <f>VISUM_Arterial_OD!BM4-Arterial_Truck!BM4-Arterial_HOT!BM4</f>
        <v>0</v>
      </c>
      <c r="BN4" s="12">
        <f>VISUM_Arterial_OD!BN4-Arterial_Truck!BN4-Arterial_HOT!BN4</f>
        <v>0</v>
      </c>
      <c r="BO4" s="12">
        <f>VISUM_Arterial_OD!BO4-Arterial_Truck!BO4-Arterial_HOT!BO4</f>
        <v>12.414921359999999</v>
      </c>
      <c r="BP4" s="12">
        <f>VISUM_Arterial_OD!BP4-Arterial_Truck!BP4-Arterial_HOT!BP4</f>
        <v>9.8455261899999993</v>
      </c>
      <c r="BQ4" s="12">
        <f>VISUM_Arterial_OD!BQ4-Arterial_Truck!BQ4-Arterial_HOT!BQ4</f>
        <v>0</v>
      </c>
    </row>
    <row r="5" spans="1:69" x14ac:dyDescent="0.25">
      <c r="A5" s="5">
        <f>IF(VLOOKUP(B5,Arterial_Zone_Link_Mapping!$A:$C,2,FALSE)&lt;&gt;"",VLOOKUP(B5,Arterial_Zone_Link_Mapping!$A:$C,2,FALSE),"")</f>
        <v>485</v>
      </c>
      <c r="B5" s="5">
        <v>10</v>
      </c>
      <c r="C5" s="12">
        <f>VISUM_Arterial_OD!C5-Arterial_Truck!C5-Arterial_HOT!C5</f>
        <v>0</v>
      </c>
      <c r="D5" s="12">
        <f>VISUM_Arterial_OD!D5-Arterial_Truck!D5-Arterial_HOT!D5</f>
        <v>0</v>
      </c>
      <c r="E5" s="12">
        <f>VISUM_Arterial_OD!E5-Arterial_Truck!E5-Arterial_HOT!E5</f>
        <v>0</v>
      </c>
      <c r="F5" s="12">
        <f>VISUM_Arterial_OD!F5-Arterial_Truck!F5-Arterial_HOT!F5</f>
        <v>0</v>
      </c>
      <c r="G5" s="12">
        <f>VISUM_Arterial_OD!G5-Arterial_Truck!G5-Arterial_HOT!G5</f>
        <v>0</v>
      </c>
      <c r="H5" s="12">
        <f>VISUM_Arterial_OD!H5-Arterial_Truck!H5-Arterial_HOT!H5</f>
        <v>0</v>
      </c>
      <c r="I5" s="12">
        <f>VISUM_Arterial_OD!I5-Arterial_Truck!I5-Arterial_HOT!I5</f>
        <v>0</v>
      </c>
      <c r="J5" s="12">
        <f>VISUM_Arterial_OD!J5-Arterial_Truck!J5-Arterial_HOT!J5</f>
        <v>0</v>
      </c>
      <c r="K5" s="12">
        <f>VISUM_Arterial_OD!K5-Arterial_Truck!K5-Arterial_HOT!K5</f>
        <v>0</v>
      </c>
      <c r="L5" s="12">
        <f>VISUM_Arterial_OD!L5-Arterial_Truck!L5-Arterial_HOT!L5</f>
        <v>0</v>
      </c>
      <c r="M5" s="12">
        <f>VISUM_Arterial_OD!M5-Arterial_Truck!M5-Arterial_HOT!M5</f>
        <v>19.402201899999998</v>
      </c>
      <c r="N5" s="12">
        <f>VISUM_Arterial_OD!N5-Arterial_Truck!N5-Arterial_HOT!N5</f>
        <v>15.44550885</v>
      </c>
      <c r="O5" s="12">
        <f>VISUM_Arterial_OD!O5-Arterial_Truck!O5-Arterial_HOT!O5</f>
        <v>0</v>
      </c>
      <c r="P5" s="12">
        <f>VISUM_Arterial_OD!P5-Arterial_Truck!P5-Arterial_HOT!P5</f>
        <v>0</v>
      </c>
      <c r="Q5" s="12">
        <f>VISUM_Arterial_OD!Q5-Arterial_Truck!Q5-Arterial_HOT!Q5</f>
        <v>0</v>
      </c>
      <c r="R5" s="12">
        <f>VISUM_Arterial_OD!R5-Arterial_Truck!R5-Arterial_HOT!R5</f>
        <v>0</v>
      </c>
      <c r="S5" s="12">
        <f>VISUM_Arterial_OD!S5-Arterial_Truck!S5-Arterial_HOT!S5</f>
        <v>0</v>
      </c>
      <c r="T5" s="12">
        <f>VISUM_Arterial_OD!T5-Arterial_Truck!T5-Arterial_HOT!T5</f>
        <v>0</v>
      </c>
      <c r="U5" s="12">
        <f>VISUM_Arterial_OD!U5-Arterial_Truck!U5-Arterial_HOT!U5</f>
        <v>0</v>
      </c>
      <c r="V5" s="12">
        <f>VISUM_Arterial_OD!V5-Arterial_Truck!V5-Arterial_HOT!V5</f>
        <v>0</v>
      </c>
      <c r="W5" s="12">
        <f>VISUM_Arterial_OD!W5-Arterial_Truck!W5-Arterial_HOT!W5</f>
        <v>0</v>
      </c>
      <c r="X5" s="12">
        <f>VISUM_Arterial_OD!X5-Arterial_Truck!X5-Arterial_HOT!X5</f>
        <v>0</v>
      </c>
      <c r="Y5" s="12">
        <f>VISUM_Arterial_OD!Y5-Arterial_Truck!Y5-Arterial_HOT!Y5</f>
        <v>19.399830250000001</v>
      </c>
      <c r="Z5" s="12">
        <f>VISUM_Arterial_OD!Z5-Arterial_Truck!Z5-Arterial_HOT!Z5</f>
        <v>0</v>
      </c>
      <c r="AA5" s="12">
        <f>VISUM_Arterial_OD!AA5-Arterial_Truck!AA5-Arterial_HOT!AA5</f>
        <v>0</v>
      </c>
      <c r="AB5" s="12">
        <f>VISUM_Arterial_OD!AB5-Arterial_Truck!AB5-Arterial_HOT!AB5</f>
        <v>0</v>
      </c>
      <c r="AC5" s="12">
        <f>VISUM_Arterial_OD!AC5-Arterial_Truck!AC5-Arterial_HOT!AC5</f>
        <v>0</v>
      </c>
      <c r="AD5" s="12">
        <f>VISUM_Arterial_OD!AD5-Arterial_Truck!AD5-Arterial_HOT!AD5</f>
        <v>0.14376661000000002</v>
      </c>
      <c r="AE5" s="12">
        <f>VISUM_Arterial_OD!AE5-Arterial_Truck!AE5-Arterial_HOT!AE5</f>
        <v>0</v>
      </c>
      <c r="AF5" s="12">
        <f>VISUM_Arterial_OD!AF5-Arterial_Truck!AF5-Arterial_HOT!AF5</f>
        <v>0</v>
      </c>
      <c r="AG5" s="12">
        <f>VISUM_Arterial_OD!AG5-Arterial_Truck!AG5-Arterial_HOT!AG5</f>
        <v>0</v>
      </c>
      <c r="AH5" s="12">
        <f>VISUM_Arterial_OD!AH5-Arterial_Truck!AH5-Arterial_HOT!AH5</f>
        <v>0</v>
      </c>
      <c r="AI5" s="12">
        <f>VISUM_Arterial_OD!AI5-Arterial_Truck!AI5-Arterial_HOT!AI5</f>
        <v>0</v>
      </c>
      <c r="AJ5" s="12">
        <f>VISUM_Arterial_OD!AJ5-Arterial_Truck!AJ5-Arterial_HOT!AJ5</f>
        <v>0</v>
      </c>
      <c r="AK5" s="12">
        <f>VISUM_Arterial_OD!AK5-Arterial_Truck!AK5-Arterial_HOT!AK5</f>
        <v>0</v>
      </c>
      <c r="AL5" s="12">
        <f>VISUM_Arterial_OD!AL5-Arterial_Truck!AL5-Arterial_HOT!AL5</f>
        <v>0</v>
      </c>
      <c r="AM5" s="12">
        <f>VISUM_Arterial_OD!AM5-Arterial_Truck!AM5-Arterial_HOT!AM5</f>
        <v>0</v>
      </c>
      <c r="AN5" s="12">
        <f>VISUM_Arterial_OD!AN5-Arterial_Truck!AN5-Arterial_HOT!AN5</f>
        <v>0</v>
      </c>
      <c r="AO5" s="12">
        <f>VISUM_Arterial_OD!AO5-Arterial_Truck!AO5-Arterial_HOT!AO5</f>
        <v>0</v>
      </c>
      <c r="AP5" s="12">
        <f>VISUM_Arterial_OD!AP5-Arterial_Truck!AP5-Arterial_HOT!AP5</f>
        <v>0</v>
      </c>
      <c r="AQ5" s="12">
        <f>VISUM_Arterial_OD!AQ5-Arterial_Truck!AQ5-Arterial_HOT!AQ5</f>
        <v>0</v>
      </c>
      <c r="AR5" s="12">
        <f>VISUM_Arterial_OD!AR5-Arterial_Truck!AR5-Arterial_HOT!AR5</f>
        <v>0</v>
      </c>
      <c r="AS5" s="12">
        <f>VISUM_Arterial_OD!AS5-Arterial_Truck!AS5-Arterial_HOT!AS5</f>
        <v>0</v>
      </c>
      <c r="AT5" s="12">
        <f>VISUM_Arterial_OD!AT5-Arterial_Truck!AT5-Arterial_HOT!AT5</f>
        <v>0</v>
      </c>
      <c r="AU5" s="12">
        <f>VISUM_Arterial_OD!AU5-Arterial_Truck!AU5-Arterial_HOT!AU5</f>
        <v>0</v>
      </c>
      <c r="AV5" s="12">
        <f>VISUM_Arterial_OD!AV5-Arterial_Truck!AV5-Arterial_HOT!AV5</f>
        <v>0</v>
      </c>
      <c r="AW5" s="12">
        <f>VISUM_Arterial_OD!AW5-Arterial_Truck!AW5-Arterial_HOT!AW5</f>
        <v>0</v>
      </c>
      <c r="AX5" s="12">
        <f>VISUM_Arterial_OD!AX5-Arterial_Truck!AX5-Arterial_HOT!AX5</f>
        <v>0</v>
      </c>
      <c r="AY5" s="12">
        <f>VISUM_Arterial_OD!AY5-Arterial_Truck!AY5-Arterial_HOT!AY5</f>
        <v>0</v>
      </c>
      <c r="AZ5" s="12">
        <f>VISUM_Arterial_OD!AZ5-Arterial_Truck!AZ5-Arterial_HOT!AZ5</f>
        <v>0</v>
      </c>
      <c r="BA5" s="12">
        <f>VISUM_Arterial_OD!BA5-Arterial_Truck!BA5-Arterial_HOT!BA5</f>
        <v>0</v>
      </c>
      <c r="BB5" s="12">
        <f>VISUM_Arterial_OD!BB5-Arterial_Truck!BB5-Arterial_HOT!BB5</f>
        <v>0</v>
      </c>
      <c r="BC5" s="12">
        <f>VISUM_Arterial_OD!BC5-Arterial_Truck!BC5-Arterial_HOT!BC5</f>
        <v>0</v>
      </c>
      <c r="BD5" s="12">
        <f>VISUM_Arterial_OD!BD5-Arterial_Truck!BD5-Arterial_HOT!BD5</f>
        <v>0</v>
      </c>
      <c r="BE5" s="12">
        <f>VISUM_Arterial_OD!BE5-Arterial_Truck!BE5-Arterial_HOT!BE5</f>
        <v>0</v>
      </c>
      <c r="BF5" s="12">
        <f>VISUM_Arterial_OD!BF5-Arterial_Truck!BF5-Arterial_HOT!BF5</f>
        <v>0</v>
      </c>
      <c r="BG5" s="12">
        <f>VISUM_Arterial_OD!BG5-Arterial_Truck!BG5-Arterial_HOT!BG5</f>
        <v>28.13788319</v>
      </c>
      <c r="BH5" s="12">
        <f>VISUM_Arterial_OD!BH5-Arterial_Truck!BH5-Arterial_HOT!BH5</f>
        <v>19.311623300000001</v>
      </c>
      <c r="BI5" s="12">
        <f>VISUM_Arterial_OD!BI5-Arterial_Truck!BI5-Arterial_HOT!BI5</f>
        <v>0</v>
      </c>
      <c r="BJ5" s="12">
        <f>VISUM_Arterial_OD!BJ5-Arterial_Truck!BJ5-Arterial_HOT!BJ5</f>
        <v>0</v>
      </c>
      <c r="BK5" s="12">
        <f>VISUM_Arterial_OD!BK5-Arterial_Truck!BK5-Arterial_HOT!BK5</f>
        <v>0</v>
      </c>
      <c r="BL5" s="12">
        <f>VISUM_Arterial_OD!BL5-Arterial_Truck!BL5-Arterial_HOT!BL5</f>
        <v>0</v>
      </c>
      <c r="BM5" s="12">
        <f>VISUM_Arterial_OD!BM5-Arterial_Truck!BM5-Arterial_HOT!BM5</f>
        <v>0</v>
      </c>
      <c r="BN5" s="12">
        <f>VISUM_Arterial_OD!BN5-Arterial_Truck!BN5-Arterial_HOT!BN5</f>
        <v>0</v>
      </c>
      <c r="BO5" s="12">
        <f>VISUM_Arterial_OD!BO5-Arterial_Truck!BO5-Arterial_HOT!BO5</f>
        <v>0</v>
      </c>
      <c r="BP5" s="12">
        <f>VISUM_Arterial_OD!BP5-Arterial_Truck!BP5-Arterial_HOT!BP5</f>
        <v>0</v>
      </c>
      <c r="BQ5" s="12">
        <f>VISUM_Arterial_OD!BQ5-Arterial_Truck!BQ5-Arterial_HOT!BQ5</f>
        <v>0</v>
      </c>
    </row>
    <row r="6" spans="1:69" x14ac:dyDescent="0.25">
      <c r="A6" s="5">
        <f>IF(VLOOKUP(B6,Arterial_Zone_Link_Mapping!$A:$C,2,FALSE)&lt;&gt;"",VLOOKUP(B6,Arterial_Zone_Link_Mapping!$A:$C,2,FALSE),"")</f>
        <v>84</v>
      </c>
      <c r="B6" s="5">
        <v>11</v>
      </c>
      <c r="C6" s="12">
        <f>VISUM_Arterial_OD!C6-Arterial_Truck!C6-Arterial_HOT!C6</f>
        <v>0</v>
      </c>
      <c r="D6" s="12">
        <f>VISUM_Arterial_OD!D6-Arterial_Truck!D6-Arterial_HOT!D6</f>
        <v>0</v>
      </c>
      <c r="E6" s="12">
        <f>VISUM_Arterial_OD!E6-Arterial_Truck!E6-Arterial_HOT!E6</f>
        <v>9.0827870599999994</v>
      </c>
      <c r="F6" s="12">
        <f>VISUM_Arterial_OD!F6-Arterial_Truck!F6-Arterial_HOT!F6</f>
        <v>0</v>
      </c>
      <c r="G6" s="12">
        <f>VISUM_Arterial_OD!G6-Arterial_Truck!G6-Arterial_HOT!G6</f>
        <v>0</v>
      </c>
      <c r="H6" s="12">
        <f>VISUM_Arterial_OD!H6-Arterial_Truck!H6-Arterial_HOT!H6</f>
        <v>0</v>
      </c>
      <c r="I6" s="12">
        <f>VISUM_Arterial_OD!I6-Arterial_Truck!I6-Arterial_HOT!I6</f>
        <v>0</v>
      </c>
      <c r="J6" s="12">
        <f>VISUM_Arterial_OD!J6-Arterial_Truck!J6-Arterial_HOT!J6</f>
        <v>0</v>
      </c>
      <c r="K6" s="12">
        <f>VISUM_Arterial_OD!K6-Arterial_Truck!K6-Arterial_HOT!K6</f>
        <v>0</v>
      </c>
      <c r="L6" s="12">
        <f>VISUM_Arterial_OD!L6-Arterial_Truck!L6-Arterial_HOT!L6</f>
        <v>0</v>
      </c>
      <c r="M6" s="12">
        <f>VISUM_Arterial_OD!M6-Arterial_Truck!M6-Arterial_HOT!M6</f>
        <v>24.249788540000001</v>
      </c>
      <c r="N6" s="12">
        <f>VISUM_Arterial_OD!N6-Arterial_Truck!N6-Arterial_HOT!N6</f>
        <v>5.1784099900000005</v>
      </c>
      <c r="O6" s="12">
        <f>VISUM_Arterial_OD!O6-Arterial_Truck!O6-Arterial_HOT!O6</f>
        <v>0</v>
      </c>
      <c r="P6" s="12">
        <f>VISUM_Arterial_OD!P6-Arterial_Truck!P6-Arterial_HOT!P6</f>
        <v>0</v>
      </c>
      <c r="Q6" s="12">
        <f>VISUM_Arterial_OD!Q6-Arterial_Truck!Q6-Arterial_HOT!Q6</f>
        <v>0</v>
      </c>
      <c r="R6" s="12">
        <f>VISUM_Arterial_OD!R6-Arterial_Truck!R6-Arterial_HOT!R6</f>
        <v>0</v>
      </c>
      <c r="S6" s="12">
        <f>VISUM_Arterial_OD!S6-Arterial_Truck!S6-Arterial_HOT!S6</f>
        <v>0</v>
      </c>
      <c r="T6" s="12">
        <f>VISUM_Arterial_OD!T6-Arterial_Truck!T6-Arterial_HOT!T6</f>
        <v>0</v>
      </c>
      <c r="U6" s="12">
        <f>VISUM_Arterial_OD!U6-Arterial_Truck!U6-Arterial_HOT!U6</f>
        <v>0</v>
      </c>
      <c r="V6" s="12">
        <f>VISUM_Arterial_OD!V6-Arterial_Truck!V6-Arterial_HOT!V6</f>
        <v>0</v>
      </c>
      <c r="W6" s="12">
        <f>VISUM_Arterial_OD!W6-Arterial_Truck!W6-Arterial_HOT!W6</f>
        <v>0</v>
      </c>
      <c r="X6" s="12">
        <f>VISUM_Arterial_OD!X6-Arterial_Truck!X6-Arterial_HOT!X6</f>
        <v>0</v>
      </c>
      <c r="Y6" s="12">
        <f>VISUM_Arterial_OD!Y6-Arterial_Truck!Y6-Arterial_HOT!Y6</f>
        <v>2.2026565999999996</v>
      </c>
      <c r="Z6" s="12">
        <f>VISUM_Arterial_OD!Z6-Arterial_Truck!Z6-Arterial_HOT!Z6</f>
        <v>0</v>
      </c>
      <c r="AA6" s="12">
        <f>VISUM_Arterial_OD!AA6-Arterial_Truck!AA6-Arterial_HOT!AA6</f>
        <v>0</v>
      </c>
      <c r="AB6" s="12">
        <f>VISUM_Arterial_OD!AB6-Arterial_Truck!AB6-Arterial_HOT!AB6</f>
        <v>0</v>
      </c>
      <c r="AC6" s="12">
        <f>VISUM_Arterial_OD!AC6-Arterial_Truck!AC6-Arterial_HOT!AC6</f>
        <v>0</v>
      </c>
      <c r="AD6" s="12">
        <f>VISUM_Arterial_OD!AD6-Arterial_Truck!AD6-Arterial_HOT!AD6</f>
        <v>0</v>
      </c>
      <c r="AE6" s="12">
        <f>VISUM_Arterial_OD!AE6-Arterial_Truck!AE6-Arterial_HOT!AE6</f>
        <v>0.44680915999999998</v>
      </c>
      <c r="AF6" s="12">
        <f>VISUM_Arterial_OD!AF6-Arterial_Truck!AF6-Arterial_HOT!AF6</f>
        <v>0</v>
      </c>
      <c r="AG6" s="12">
        <f>VISUM_Arterial_OD!AG6-Arterial_Truck!AG6-Arterial_HOT!AG6</f>
        <v>0</v>
      </c>
      <c r="AH6" s="12">
        <f>VISUM_Arterial_OD!AH6-Arterial_Truck!AH6-Arterial_HOT!AH6</f>
        <v>0</v>
      </c>
      <c r="AI6" s="12">
        <f>VISUM_Arterial_OD!AI6-Arterial_Truck!AI6-Arterial_HOT!AI6</f>
        <v>0</v>
      </c>
      <c r="AJ6" s="12">
        <f>VISUM_Arterial_OD!AJ6-Arterial_Truck!AJ6-Arterial_HOT!AJ6</f>
        <v>0</v>
      </c>
      <c r="AK6" s="12">
        <f>VISUM_Arterial_OD!AK6-Arterial_Truck!AK6-Arterial_HOT!AK6</f>
        <v>0</v>
      </c>
      <c r="AL6" s="12">
        <f>VISUM_Arterial_OD!AL6-Arterial_Truck!AL6-Arterial_HOT!AL6</f>
        <v>0</v>
      </c>
      <c r="AM6" s="12">
        <f>VISUM_Arterial_OD!AM6-Arterial_Truck!AM6-Arterial_HOT!AM6</f>
        <v>0</v>
      </c>
      <c r="AN6" s="12">
        <f>VISUM_Arterial_OD!AN6-Arterial_Truck!AN6-Arterial_HOT!AN6</f>
        <v>0</v>
      </c>
      <c r="AO6" s="12">
        <f>VISUM_Arterial_OD!AO6-Arterial_Truck!AO6-Arterial_HOT!AO6</f>
        <v>0</v>
      </c>
      <c r="AP6" s="12">
        <f>VISUM_Arterial_OD!AP6-Arterial_Truck!AP6-Arterial_HOT!AP6</f>
        <v>0</v>
      </c>
      <c r="AQ6" s="12">
        <f>VISUM_Arterial_OD!AQ6-Arterial_Truck!AQ6-Arterial_HOT!AQ6</f>
        <v>0</v>
      </c>
      <c r="AR6" s="12">
        <f>VISUM_Arterial_OD!AR6-Arterial_Truck!AR6-Arterial_HOT!AR6</f>
        <v>0</v>
      </c>
      <c r="AS6" s="12">
        <f>VISUM_Arterial_OD!AS6-Arterial_Truck!AS6-Arterial_HOT!AS6</f>
        <v>0</v>
      </c>
      <c r="AT6" s="12">
        <f>VISUM_Arterial_OD!AT6-Arterial_Truck!AT6-Arterial_HOT!AT6</f>
        <v>0</v>
      </c>
      <c r="AU6" s="12">
        <f>VISUM_Arterial_OD!AU6-Arterial_Truck!AU6-Arterial_HOT!AU6</f>
        <v>0</v>
      </c>
      <c r="AV6" s="12">
        <f>VISUM_Arterial_OD!AV6-Arterial_Truck!AV6-Arterial_HOT!AV6</f>
        <v>0</v>
      </c>
      <c r="AW6" s="12">
        <f>VISUM_Arterial_OD!AW6-Arterial_Truck!AW6-Arterial_HOT!AW6</f>
        <v>0</v>
      </c>
      <c r="AX6" s="12">
        <f>VISUM_Arterial_OD!AX6-Arterial_Truck!AX6-Arterial_HOT!AX6</f>
        <v>0</v>
      </c>
      <c r="AY6" s="12">
        <f>VISUM_Arterial_OD!AY6-Arterial_Truck!AY6-Arterial_HOT!AY6</f>
        <v>0</v>
      </c>
      <c r="AZ6" s="12">
        <f>VISUM_Arterial_OD!AZ6-Arterial_Truck!AZ6-Arterial_HOT!AZ6</f>
        <v>0</v>
      </c>
      <c r="BA6" s="12">
        <f>VISUM_Arterial_OD!BA6-Arterial_Truck!BA6-Arterial_HOT!BA6</f>
        <v>0</v>
      </c>
      <c r="BB6" s="12">
        <f>VISUM_Arterial_OD!BB6-Arterial_Truck!BB6-Arterial_HOT!BB6</f>
        <v>0</v>
      </c>
      <c r="BC6" s="12">
        <f>VISUM_Arterial_OD!BC6-Arterial_Truck!BC6-Arterial_HOT!BC6</f>
        <v>0</v>
      </c>
      <c r="BD6" s="12">
        <f>VISUM_Arterial_OD!BD6-Arterial_Truck!BD6-Arterial_HOT!BD6</f>
        <v>0</v>
      </c>
      <c r="BE6" s="12">
        <f>VISUM_Arterial_OD!BE6-Arterial_Truck!BE6-Arterial_HOT!BE6</f>
        <v>0</v>
      </c>
      <c r="BF6" s="12">
        <f>VISUM_Arterial_OD!BF6-Arterial_Truck!BF6-Arterial_HOT!BF6</f>
        <v>0</v>
      </c>
      <c r="BG6" s="12">
        <f>VISUM_Arterial_OD!BG6-Arterial_Truck!BG6-Arterial_HOT!BG6</f>
        <v>30.043607270000003</v>
      </c>
      <c r="BH6" s="12">
        <f>VISUM_Arterial_OD!BH6-Arterial_Truck!BH6-Arterial_HOT!BH6</f>
        <v>40.286405689999995</v>
      </c>
      <c r="BI6" s="12">
        <f>VISUM_Arterial_OD!BI6-Arterial_Truck!BI6-Arterial_HOT!BI6</f>
        <v>0</v>
      </c>
      <c r="BJ6" s="12">
        <f>VISUM_Arterial_OD!BJ6-Arterial_Truck!BJ6-Arterial_HOT!BJ6</f>
        <v>0</v>
      </c>
      <c r="BK6" s="12">
        <f>VISUM_Arterial_OD!BK6-Arterial_Truck!BK6-Arterial_HOT!BK6</f>
        <v>0</v>
      </c>
      <c r="BL6" s="12">
        <f>VISUM_Arterial_OD!BL6-Arterial_Truck!BL6-Arterial_HOT!BL6</f>
        <v>0</v>
      </c>
      <c r="BM6" s="12">
        <f>VISUM_Arterial_OD!BM6-Arterial_Truck!BM6-Arterial_HOT!BM6</f>
        <v>0</v>
      </c>
      <c r="BN6" s="12">
        <f>VISUM_Arterial_OD!BN6-Arterial_Truck!BN6-Arterial_HOT!BN6</f>
        <v>0</v>
      </c>
      <c r="BO6" s="12">
        <f>VISUM_Arterial_OD!BO6-Arterial_Truck!BO6-Arterial_HOT!BO6</f>
        <v>0</v>
      </c>
      <c r="BP6" s="12">
        <f>VISUM_Arterial_OD!BP6-Arterial_Truck!BP6-Arterial_HOT!BP6</f>
        <v>0</v>
      </c>
      <c r="BQ6" s="12">
        <f>VISUM_Arterial_OD!BQ6-Arterial_Truck!BQ6-Arterial_HOT!BQ6</f>
        <v>0</v>
      </c>
    </row>
    <row r="7" spans="1:69" x14ac:dyDescent="0.25">
      <c r="A7" s="5">
        <f>IF(VLOOKUP(B7,Arterial_Zone_Link_Mapping!$A:$C,2,FALSE)&lt;&gt;"",VLOOKUP(B7,Arterial_Zone_Link_Mapping!$A:$C,2,FALSE),"")</f>
        <v>48</v>
      </c>
      <c r="B7" s="5">
        <v>16</v>
      </c>
      <c r="C7" s="12">
        <f>VISUM_Arterial_OD!C7-Arterial_Truck!C7-Arterial_HOT!C7</f>
        <v>0</v>
      </c>
      <c r="D7" s="12">
        <f>VISUM_Arterial_OD!D7-Arterial_Truck!D7-Arterial_HOT!D7</f>
        <v>0</v>
      </c>
      <c r="E7" s="12">
        <f>VISUM_Arterial_OD!E7-Arterial_Truck!E7-Arterial_HOT!E7</f>
        <v>0</v>
      </c>
      <c r="F7" s="12">
        <f>VISUM_Arterial_OD!F7-Arterial_Truck!F7-Arterial_HOT!F7</f>
        <v>0</v>
      </c>
      <c r="G7" s="12">
        <f>VISUM_Arterial_OD!G7-Arterial_Truck!G7-Arterial_HOT!G7</f>
        <v>0</v>
      </c>
      <c r="H7" s="12">
        <f>VISUM_Arterial_OD!H7-Arterial_Truck!H7-Arterial_HOT!H7</f>
        <v>0</v>
      </c>
      <c r="I7" s="12">
        <f>VISUM_Arterial_OD!I7-Arterial_Truck!I7-Arterial_HOT!I7</f>
        <v>0</v>
      </c>
      <c r="J7" s="12">
        <f>VISUM_Arterial_OD!J7-Arterial_Truck!J7-Arterial_HOT!J7</f>
        <v>0</v>
      </c>
      <c r="K7" s="12">
        <f>VISUM_Arterial_OD!K7-Arterial_Truck!K7-Arterial_HOT!K7</f>
        <v>0</v>
      </c>
      <c r="L7" s="12">
        <f>VISUM_Arterial_OD!L7-Arterial_Truck!L7-Arterial_HOT!L7</f>
        <v>0</v>
      </c>
      <c r="M7" s="12">
        <f>VISUM_Arterial_OD!M7-Arterial_Truck!M7-Arterial_HOT!M7</f>
        <v>0</v>
      </c>
      <c r="N7" s="12">
        <f>VISUM_Arterial_OD!N7-Arterial_Truck!N7-Arterial_HOT!N7</f>
        <v>0</v>
      </c>
      <c r="O7" s="12">
        <f>VISUM_Arterial_OD!O7-Arterial_Truck!O7-Arterial_HOT!O7</f>
        <v>0</v>
      </c>
      <c r="P7" s="12">
        <f>VISUM_Arterial_OD!P7-Arterial_Truck!P7-Arterial_HOT!P7</f>
        <v>0</v>
      </c>
      <c r="Q7" s="12">
        <f>VISUM_Arterial_OD!Q7-Arterial_Truck!Q7-Arterial_HOT!Q7</f>
        <v>16.0275137</v>
      </c>
      <c r="R7" s="12">
        <f>VISUM_Arterial_OD!R7-Arterial_Truck!R7-Arterial_HOT!R7</f>
        <v>0</v>
      </c>
      <c r="S7" s="12">
        <f>VISUM_Arterial_OD!S7-Arterial_Truck!S7-Arterial_HOT!S7</f>
        <v>0</v>
      </c>
      <c r="T7" s="12">
        <f>VISUM_Arterial_OD!T7-Arterial_Truck!T7-Arterial_HOT!T7</f>
        <v>0</v>
      </c>
      <c r="U7" s="12">
        <f>VISUM_Arterial_OD!U7-Arterial_Truck!U7-Arterial_HOT!U7</f>
        <v>63.049450009999994</v>
      </c>
      <c r="V7" s="12">
        <f>VISUM_Arterial_OD!V7-Arterial_Truck!V7-Arterial_HOT!V7</f>
        <v>88.843319469999997</v>
      </c>
      <c r="W7" s="12">
        <f>VISUM_Arterial_OD!W7-Arterial_Truck!W7-Arterial_HOT!W7</f>
        <v>52.02441546</v>
      </c>
      <c r="X7" s="12">
        <f>VISUM_Arterial_OD!X7-Arterial_Truck!X7-Arterial_HOT!X7</f>
        <v>94.027876350000014</v>
      </c>
      <c r="Y7" s="12">
        <f>VISUM_Arterial_OD!Y7-Arterial_Truck!Y7-Arterial_HOT!Y7</f>
        <v>0</v>
      </c>
      <c r="Z7" s="12">
        <f>VISUM_Arterial_OD!Z7-Arterial_Truck!Z7-Arterial_HOT!Z7</f>
        <v>0</v>
      </c>
      <c r="AA7" s="12">
        <f>VISUM_Arterial_OD!AA7-Arterial_Truck!AA7-Arterial_HOT!AA7</f>
        <v>189.14834906000002</v>
      </c>
      <c r="AB7" s="12">
        <f>VISUM_Arterial_OD!AB7-Arterial_Truck!AB7-Arterial_HOT!AB7</f>
        <v>0</v>
      </c>
      <c r="AC7" s="12">
        <f>VISUM_Arterial_OD!AC7-Arterial_Truck!AC7-Arterial_HOT!AC7</f>
        <v>0</v>
      </c>
      <c r="AD7" s="12">
        <f>VISUM_Arterial_OD!AD7-Arterial_Truck!AD7-Arterial_HOT!AD7</f>
        <v>0</v>
      </c>
      <c r="AE7" s="12">
        <f>VISUM_Arterial_OD!AE7-Arterial_Truck!AE7-Arterial_HOT!AE7</f>
        <v>0</v>
      </c>
      <c r="AF7" s="12">
        <f>VISUM_Arterial_OD!AF7-Arterial_Truck!AF7-Arterial_HOT!AF7</f>
        <v>0</v>
      </c>
      <c r="AG7" s="12">
        <f>VISUM_Arterial_OD!AG7-Arterial_Truck!AG7-Arterial_HOT!AG7</f>
        <v>0</v>
      </c>
      <c r="AH7" s="12">
        <f>VISUM_Arterial_OD!AH7-Arterial_Truck!AH7-Arterial_HOT!AH7</f>
        <v>0</v>
      </c>
      <c r="AI7" s="12">
        <f>VISUM_Arterial_OD!AI7-Arterial_Truck!AI7-Arterial_HOT!AI7</f>
        <v>0</v>
      </c>
      <c r="AJ7" s="12">
        <f>VISUM_Arterial_OD!AJ7-Arterial_Truck!AJ7-Arterial_HOT!AJ7</f>
        <v>0</v>
      </c>
      <c r="AK7" s="12">
        <f>VISUM_Arterial_OD!AK7-Arterial_Truck!AK7-Arterial_HOT!AK7</f>
        <v>0</v>
      </c>
      <c r="AL7" s="12">
        <f>VISUM_Arterial_OD!AL7-Arterial_Truck!AL7-Arterial_HOT!AL7</f>
        <v>0</v>
      </c>
      <c r="AM7" s="12">
        <f>VISUM_Arterial_OD!AM7-Arterial_Truck!AM7-Arterial_HOT!AM7</f>
        <v>0</v>
      </c>
      <c r="AN7" s="12">
        <f>VISUM_Arterial_OD!AN7-Arterial_Truck!AN7-Arterial_HOT!AN7</f>
        <v>0</v>
      </c>
      <c r="AO7" s="12">
        <f>VISUM_Arterial_OD!AO7-Arterial_Truck!AO7-Arterial_HOT!AO7</f>
        <v>0</v>
      </c>
      <c r="AP7" s="12">
        <f>VISUM_Arterial_OD!AP7-Arterial_Truck!AP7-Arterial_HOT!AP7</f>
        <v>0</v>
      </c>
      <c r="AQ7" s="12">
        <f>VISUM_Arterial_OD!AQ7-Arterial_Truck!AQ7-Arterial_HOT!AQ7</f>
        <v>0</v>
      </c>
      <c r="AR7" s="12">
        <f>VISUM_Arterial_OD!AR7-Arterial_Truck!AR7-Arterial_HOT!AR7</f>
        <v>0</v>
      </c>
      <c r="AS7" s="12">
        <f>VISUM_Arterial_OD!AS7-Arterial_Truck!AS7-Arterial_HOT!AS7</f>
        <v>0</v>
      </c>
      <c r="AT7" s="12">
        <f>VISUM_Arterial_OD!AT7-Arterial_Truck!AT7-Arterial_HOT!AT7</f>
        <v>0</v>
      </c>
      <c r="AU7" s="12">
        <f>VISUM_Arterial_OD!AU7-Arterial_Truck!AU7-Arterial_HOT!AU7</f>
        <v>0</v>
      </c>
      <c r="AV7" s="12">
        <f>VISUM_Arterial_OD!AV7-Arterial_Truck!AV7-Arterial_HOT!AV7</f>
        <v>0</v>
      </c>
      <c r="AW7" s="12">
        <f>VISUM_Arterial_OD!AW7-Arterial_Truck!AW7-Arterial_HOT!AW7</f>
        <v>0</v>
      </c>
      <c r="AX7" s="12">
        <f>VISUM_Arterial_OD!AX7-Arterial_Truck!AX7-Arterial_HOT!AX7</f>
        <v>0</v>
      </c>
      <c r="AY7" s="12">
        <f>VISUM_Arterial_OD!AY7-Arterial_Truck!AY7-Arterial_HOT!AY7</f>
        <v>0</v>
      </c>
      <c r="AZ7" s="12">
        <f>VISUM_Arterial_OD!AZ7-Arterial_Truck!AZ7-Arterial_HOT!AZ7</f>
        <v>0</v>
      </c>
      <c r="BA7" s="12">
        <f>VISUM_Arterial_OD!BA7-Arterial_Truck!BA7-Arterial_HOT!BA7</f>
        <v>0</v>
      </c>
      <c r="BB7" s="12">
        <f>VISUM_Arterial_OD!BB7-Arterial_Truck!BB7-Arterial_HOT!BB7</f>
        <v>0</v>
      </c>
      <c r="BC7" s="12">
        <f>VISUM_Arterial_OD!BC7-Arterial_Truck!BC7-Arterial_HOT!BC7</f>
        <v>0</v>
      </c>
      <c r="BD7" s="12">
        <f>VISUM_Arterial_OD!BD7-Arterial_Truck!BD7-Arterial_HOT!BD7</f>
        <v>0</v>
      </c>
      <c r="BE7" s="12">
        <f>VISUM_Arterial_OD!BE7-Arterial_Truck!BE7-Arterial_HOT!BE7</f>
        <v>44.902082790000001</v>
      </c>
      <c r="BF7" s="12">
        <f>VISUM_Arterial_OD!BF7-Arterial_Truck!BF7-Arterial_HOT!BF7</f>
        <v>0</v>
      </c>
      <c r="BG7" s="12">
        <f>VISUM_Arterial_OD!BG7-Arterial_Truck!BG7-Arterial_HOT!BG7</f>
        <v>0</v>
      </c>
      <c r="BH7" s="12">
        <f>VISUM_Arterial_OD!BH7-Arterial_Truck!BH7-Arterial_HOT!BH7</f>
        <v>0</v>
      </c>
      <c r="BI7" s="12">
        <f>VISUM_Arterial_OD!BI7-Arterial_Truck!BI7-Arterial_HOT!BI7</f>
        <v>0</v>
      </c>
      <c r="BJ7" s="12">
        <f>VISUM_Arterial_OD!BJ7-Arterial_Truck!BJ7-Arterial_HOT!BJ7</f>
        <v>0</v>
      </c>
      <c r="BK7" s="12">
        <f>VISUM_Arterial_OD!BK7-Arterial_Truck!BK7-Arterial_HOT!BK7</f>
        <v>0</v>
      </c>
      <c r="BL7" s="12">
        <f>VISUM_Arterial_OD!BL7-Arterial_Truck!BL7-Arterial_HOT!BL7</f>
        <v>0</v>
      </c>
      <c r="BM7" s="12">
        <f>VISUM_Arterial_OD!BM7-Arterial_Truck!BM7-Arterial_HOT!BM7</f>
        <v>0</v>
      </c>
      <c r="BN7" s="12">
        <f>VISUM_Arterial_OD!BN7-Arterial_Truck!BN7-Arterial_HOT!BN7</f>
        <v>0</v>
      </c>
      <c r="BO7" s="12">
        <f>VISUM_Arterial_OD!BO7-Arterial_Truck!BO7-Arterial_HOT!BO7</f>
        <v>0</v>
      </c>
      <c r="BP7" s="12">
        <f>VISUM_Arterial_OD!BP7-Arterial_Truck!BP7-Arterial_HOT!BP7</f>
        <v>0</v>
      </c>
      <c r="BQ7" s="12">
        <f>VISUM_Arterial_OD!BQ7-Arterial_Truck!BQ7-Arterial_HOT!BQ7</f>
        <v>0</v>
      </c>
    </row>
    <row r="8" spans="1:69" x14ac:dyDescent="0.25">
      <c r="A8" s="5">
        <f>IF(VLOOKUP(B8,Arterial_Zone_Link_Mapping!$A:$C,2,FALSE)&lt;&gt;"",VLOOKUP(B8,Arterial_Zone_Link_Mapping!$A:$C,2,FALSE),"")</f>
        <v>133</v>
      </c>
      <c r="B8" s="5">
        <v>17</v>
      </c>
      <c r="C8" s="12">
        <f>VISUM_Arterial_OD!C8-Arterial_Truck!C8-Arterial_HOT!C8</f>
        <v>0</v>
      </c>
      <c r="D8" s="12">
        <f>VISUM_Arterial_OD!D8-Arterial_Truck!D8-Arterial_HOT!D8</f>
        <v>0</v>
      </c>
      <c r="E8" s="12">
        <f>VISUM_Arterial_OD!E8-Arterial_Truck!E8-Arterial_HOT!E8</f>
        <v>0</v>
      </c>
      <c r="F8" s="12">
        <f>VISUM_Arterial_OD!F8-Arterial_Truck!F8-Arterial_HOT!F8</f>
        <v>0</v>
      </c>
      <c r="G8" s="12">
        <f>VISUM_Arterial_OD!G8-Arterial_Truck!G8-Arterial_HOT!G8</f>
        <v>0</v>
      </c>
      <c r="H8" s="12">
        <f>VISUM_Arterial_OD!H8-Arterial_Truck!H8-Arterial_HOT!H8</f>
        <v>0</v>
      </c>
      <c r="I8" s="12">
        <f>VISUM_Arterial_OD!I8-Arterial_Truck!I8-Arterial_HOT!I8</f>
        <v>315.24724908000002</v>
      </c>
      <c r="J8" s="12">
        <f>VISUM_Arterial_OD!J8-Arterial_Truck!J8-Arterial_HOT!J8</f>
        <v>0</v>
      </c>
      <c r="K8" s="12">
        <f>VISUM_Arterial_OD!K8-Arterial_Truck!K8-Arterial_HOT!K8</f>
        <v>0</v>
      </c>
      <c r="L8" s="12">
        <f>VISUM_Arterial_OD!L8-Arterial_Truck!L8-Arterial_HOT!L8</f>
        <v>0</v>
      </c>
      <c r="M8" s="12">
        <f>VISUM_Arterial_OD!M8-Arterial_Truck!M8-Arterial_HOT!M8</f>
        <v>0</v>
      </c>
      <c r="N8" s="12">
        <f>VISUM_Arterial_OD!N8-Arterial_Truck!N8-Arterial_HOT!N8</f>
        <v>0</v>
      </c>
      <c r="O8" s="12">
        <f>VISUM_Arterial_OD!O8-Arterial_Truck!O8-Arterial_HOT!O8</f>
        <v>0</v>
      </c>
      <c r="P8" s="12">
        <f>VISUM_Arterial_OD!P8-Arterial_Truck!P8-Arterial_HOT!P8</f>
        <v>0</v>
      </c>
      <c r="Q8" s="12">
        <f>VISUM_Arterial_OD!Q8-Arterial_Truck!Q8-Arterial_HOT!Q8</f>
        <v>0</v>
      </c>
      <c r="R8" s="12">
        <f>VISUM_Arterial_OD!R8-Arterial_Truck!R8-Arterial_HOT!R8</f>
        <v>0</v>
      </c>
      <c r="S8" s="12">
        <f>VISUM_Arterial_OD!S8-Arterial_Truck!S8-Arterial_HOT!S8</f>
        <v>0</v>
      </c>
      <c r="T8" s="12">
        <f>VISUM_Arterial_OD!T8-Arterial_Truck!T8-Arterial_HOT!T8</f>
        <v>0</v>
      </c>
      <c r="U8" s="12">
        <f>VISUM_Arterial_OD!U8-Arterial_Truck!U8-Arterial_HOT!U8</f>
        <v>0</v>
      </c>
      <c r="V8" s="12">
        <f>VISUM_Arterial_OD!V8-Arterial_Truck!V8-Arterial_HOT!V8</f>
        <v>0</v>
      </c>
      <c r="W8" s="12">
        <f>VISUM_Arterial_OD!W8-Arterial_Truck!W8-Arterial_HOT!W8</f>
        <v>0</v>
      </c>
      <c r="X8" s="12">
        <f>VISUM_Arterial_OD!X8-Arterial_Truck!X8-Arterial_HOT!X8</f>
        <v>0</v>
      </c>
      <c r="Y8" s="12">
        <f>VISUM_Arterial_OD!Y8-Arterial_Truck!Y8-Arterial_HOT!Y8</f>
        <v>0</v>
      </c>
      <c r="Z8" s="12">
        <f>VISUM_Arterial_OD!Z8-Arterial_Truck!Z8-Arterial_HOT!Z8</f>
        <v>0</v>
      </c>
      <c r="AA8" s="12">
        <f>VISUM_Arterial_OD!AA8-Arterial_Truck!AA8-Arterial_HOT!AA8</f>
        <v>0</v>
      </c>
      <c r="AB8" s="12">
        <f>VISUM_Arterial_OD!AB8-Arterial_Truck!AB8-Arterial_HOT!AB8</f>
        <v>0</v>
      </c>
      <c r="AC8" s="12">
        <f>VISUM_Arterial_OD!AC8-Arterial_Truck!AC8-Arterial_HOT!AC8</f>
        <v>0</v>
      </c>
      <c r="AD8" s="12">
        <f>VISUM_Arterial_OD!AD8-Arterial_Truck!AD8-Arterial_HOT!AD8</f>
        <v>0</v>
      </c>
      <c r="AE8" s="12">
        <f>VISUM_Arterial_OD!AE8-Arterial_Truck!AE8-Arterial_HOT!AE8</f>
        <v>0</v>
      </c>
      <c r="AF8" s="12">
        <f>VISUM_Arterial_OD!AF8-Arterial_Truck!AF8-Arterial_HOT!AF8</f>
        <v>0</v>
      </c>
      <c r="AG8" s="12">
        <f>VISUM_Arterial_OD!AG8-Arterial_Truck!AG8-Arterial_HOT!AG8</f>
        <v>0</v>
      </c>
      <c r="AH8" s="12">
        <f>VISUM_Arterial_OD!AH8-Arterial_Truck!AH8-Arterial_HOT!AH8</f>
        <v>0</v>
      </c>
      <c r="AI8" s="12">
        <f>VISUM_Arterial_OD!AI8-Arterial_Truck!AI8-Arterial_HOT!AI8</f>
        <v>0</v>
      </c>
      <c r="AJ8" s="12">
        <f>VISUM_Arterial_OD!AJ8-Arterial_Truck!AJ8-Arterial_HOT!AJ8</f>
        <v>0</v>
      </c>
      <c r="AK8" s="12">
        <f>VISUM_Arterial_OD!AK8-Arterial_Truck!AK8-Arterial_HOT!AK8</f>
        <v>0</v>
      </c>
      <c r="AL8" s="12">
        <f>VISUM_Arterial_OD!AL8-Arterial_Truck!AL8-Arterial_HOT!AL8</f>
        <v>0</v>
      </c>
      <c r="AM8" s="12">
        <f>VISUM_Arterial_OD!AM8-Arterial_Truck!AM8-Arterial_HOT!AM8</f>
        <v>0</v>
      </c>
      <c r="AN8" s="12">
        <f>VISUM_Arterial_OD!AN8-Arterial_Truck!AN8-Arterial_HOT!AN8</f>
        <v>0</v>
      </c>
      <c r="AO8" s="12">
        <f>VISUM_Arterial_OD!AO8-Arterial_Truck!AO8-Arterial_HOT!AO8</f>
        <v>0</v>
      </c>
      <c r="AP8" s="12">
        <f>VISUM_Arterial_OD!AP8-Arterial_Truck!AP8-Arterial_HOT!AP8</f>
        <v>0</v>
      </c>
      <c r="AQ8" s="12">
        <f>VISUM_Arterial_OD!AQ8-Arterial_Truck!AQ8-Arterial_HOT!AQ8</f>
        <v>0</v>
      </c>
      <c r="AR8" s="12">
        <f>VISUM_Arterial_OD!AR8-Arterial_Truck!AR8-Arterial_HOT!AR8</f>
        <v>0</v>
      </c>
      <c r="AS8" s="12">
        <f>VISUM_Arterial_OD!AS8-Arterial_Truck!AS8-Arterial_HOT!AS8</f>
        <v>0</v>
      </c>
      <c r="AT8" s="12">
        <f>VISUM_Arterial_OD!AT8-Arterial_Truck!AT8-Arterial_HOT!AT8</f>
        <v>0</v>
      </c>
      <c r="AU8" s="12">
        <f>VISUM_Arterial_OD!AU8-Arterial_Truck!AU8-Arterial_HOT!AU8</f>
        <v>0</v>
      </c>
      <c r="AV8" s="12">
        <f>VISUM_Arterial_OD!AV8-Arterial_Truck!AV8-Arterial_HOT!AV8</f>
        <v>0</v>
      </c>
      <c r="AW8" s="12">
        <f>VISUM_Arterial_OD!AW8-Arterial_Truck!AW8-Arterial_HOT!AW8</f>
        <v>0</v>
      </c>
      <c r="AX8" s="12">
        <f>VISUM_Arterial_OD!AX8-Arterial_Truck!AX8-Arterial_HOT!AX8</f>
        <v>0</v>
      </c>
      <c r="AY8" s="12">
        <f>VISUM_Arterial_OD!AY8-Arterial_Truck!AY8-Arterial_HOT!AY8</f>
        <v>0</v>
      </c>
      <c r="AZ8" s="12">
        <f>VISUM_Arterial_OD!AZ8-Arterial_Truck!AZ8-Arterial_HOT!AZ8</f>
        <v>74.844830999999999</v>
      </c>
      <c r="BA8" s="12">
        <f>VISUM_Arterial_OD!BA8-Arterial_Truck!BA8-Arterial_HOT!BA8</f>
        <v>0</v>
      </c>
      <c r="BB8" s="12">
        <f>VISUM_Arterial_OD!BB8-Arterial_Truck!BB8-Arterial_HOT!BB8</f>
        <v>24.433205999999998</v>
      </c>
      <c r="BC8" s="12">
        <f>VISUM_Arterial_OD!BC8-Arterial_Truck!BC8-Arterial_HOT!BC8</f>
        <v>0</v>
      </c>
      <c r="BD8" s="12">
        <f>VISUM_Arterial_OD!BD8-Arterial_Truck!BD8-Arterial_HOT!BD8</f>
        <v>0</v>
      </c>
      <c r="BE8" s="12">
        <f>VISUM_Arterial_OD!BE8-Arterial_Truck!BE8-Arterial_HOT!BE8</f>
        <v>0</v>
      </c>
      <c r="BF8" s="12">
        <f>VISUM_Arterial_OD!BF8-Arterial_Truck!BF8-Arterial_HOT!BF8</f>
        <v>0</v>
      </c>
      <c r="BG8" s="12">
        <f>VISUM_Arterial_OD!BG8-Arterial_Truck!BG8-Arterial_HOT!BG8</f>
        <v>0</v>
      </c>
      <c r="BH8" s="12">
        <f>VISUM_Arterial_OD!BH8-Arterial_Truck!BH8-Arterial_HOT!BH8</f>
        <v>0</v>
      </c>
      <c r="BI8" s="12">
        <f>VISUM_Arterial_OD!BI8-Arterial_Truck!BI8-Arterial_HOT!BI8</f>
        <v>0</v>
      </c>
      <c r="BJ8" s="12">
        <f>VISUM_Arterial_OD!BJ8-Arterial_Truck!BJ8-Arterial_HOT!BJ8</f>
        <v>248.85598805000001</v>
      </c>
      <c r="BK8" s="12">
        <f>VISUM_Arterial_OD!BK8-Arterial_Truck!BK8-Arterial_HOT!BK8</f>
        <v>59.30338373</v>
      </c>
      <c r="BL8" s="12">
        <f>VISUM_Arterial_OD!BL8-Arterial_Truck!BL8-Arterial_HOT!BL8</f>
        <v>16.027941470000002</v>
      </c>
      <c r="BM8" s="12">
        <f>VISUM_Arterial_OD!BM8-Arterial_Truck!BM8-Arterial_HOT!BM8</f>
        <v>0</v>
      </c>
      <c r="BN8" s="12">
        <f>VISUM_Arterial_OD!BN8-Arterial_Truck!BN8-Arterial_HOT!BN8</f>
        <v>205.15984223999999</v>
      </c>
      <c r="BO8" s="12">
        <f>VISUM_Arterial_OD!BO8-Arterial_Truck!BO8-Arterial_HOT!BO8</f>
        <v>0</v>
      </c>
      <c r="BP8" s="12">
        <f>VISUM_Arterial_OD!BP8-Arterial_Truck!BP8-Arterial_HOT!BP8</f>
        <v>0</v>
      </c>
      <c r="BQ8" s="12">
        <f>VISUM_Arterial_OD!BQ8-Arterial_Truck!BQ8-Arterial_HOT!BQ8</f>
        <v>0</v>
      </c>
    </row>
    <row r="9" spans="1:69" x14ac:dyDescent="0.25">
      <c r="A9" s="5">
        <f>IF(VLOOKUP(B9,Arterial_Zone_Link_Mapping!$A:$C,2,FALSE)&lt;&gt;"",VLOOKUP(B9,Arterial_Zone_Link_Mapping!$A:$C,2,FALSE),"")</f>
        <v>78</v>
      </c>
      <c r="B9" s="5">
        <v>18</v>
      </c>
      <c r="C9" s="12">
        <f>VISUM_Arterial_OD!C9-Arterial_Truck!C9-Arterial_HOT!C9</f>
        <v>0</v>
      </c>
      <c r="D9" s="12">
        <f>VISUM_Arterial_OD!D9-Arterial_Truck!D9-Arterial_HOT!D9</f>
        <v>0</v>
      </c>
      <c r="E9" s="12">
        <f>VISUM_Arterial_OD!E9-Arterial_Truck!E9-Arterial_HOT!E9</f>
        <v>0</v>
      </c>
      <c r="F9" s="12">
        <f>VISUM_Arterial_OD!F9-Arterial_Truck!F9-Arterial_HOT!F9</f>
        <v>0</v>
      </c>
      <c r="G9" s="12">
        <f>VISUM_Arterial_OD!G9-Arterial_Truck!G9-Arterial_HOT!G9</f>
        <v>0</v>
      </c>
      <c r="H9" s="12">
        <f>VISUM_Arterial_OD!H9-Arterial_Truck!H9-Arterial_HOT!H9</f>
        <v>387.99661372999998</v>
      </c>
      <c r="I9" s="12">
        <f>VISUM_Arterial_OD!I9-Arterial_Truck!I9-Arterial_HOT!I9</f>
        <v>0</v>
      </c>
      <c r="J9" s="12">
        <f>VISUM_Arterial_OD!J9-Arterial_Truck!J9-Arterial_HOT!J9</f>
        <v>0</v>
      </c>
      <c r="K9" s="12">
        <f>VISUM_Arterial_OD!K9-Arterial_Truck!K9-Arterial_HOT!K9</f>
        <v>0</v>
      </c>
      <c r="L9" s="12">
        <f>VISUM_Arterial_OD!L9-Arterial_Truck!L9-Arterial_HOT!L9</f>
        <v>0</v>
      </c>
      <c r="M9" s="12">
        <f>VISUM_Arterial_OD!M9-Arterial_Truck!M9-Arterial_HOT!M9</f>
        <v>0</v>
      </c>
      <c r="N9" s="12">
        <f>VISUM_Arterial_OD!N9-Arterial_Truck!N9-Arterial_HOT!N9</f>
        <v>0</v>
      </c>
      <c r="O9" s="12">
        <f>VISUM_Arterial_OD!O9-Arterial_Truck!O9-Arterial_HOT!O9</f>
        <v>0</v>
      </c>
      <c r="P9" s="12">
        <f>VISUM_Arterial_OD!P9-Arterial_Truck!P9-Arterial_HOT!P9</f>
        <v>0</v>
      </c>
      <c r="Q9" s="12">
        <f>VISUM_Arterial_OD!Q9-Arterial_Truck!Q9-Arterial_HOT!Q9</f>
        <v>0</v>
      </c>
      <c r="R9" s="12">
        <f>VISUM_Arterial_OD!R9-Arterial_Truck!R9-Arterial_HOT!R9</f>
        <v>0</v>
      </c>
      <c r="S9" s="12">
        <f>VISUM_Arterial_OD!S9-Arterial_Truck!S9-Arterial_HOT!S9</f>
        <v>0</v>
      </c>
      <c r="T9" s="12">
        <f>VISUM_Arterial_OD!T9-Arterial_Truck!T9-Arterial_HOT!T9</f>
        <v>0</v>
      </c>
      <c r="U9" s="12">
        <f>VISUM_Arterial_OD!U9-Arterial_Truck!U9-Arterial_HOT!U9</f>
        <v>0</v>
      </c>
      <c r="V9" s="12">
        <f>VISUM_Arterial_OD!V9-Arterial_Truck!V9-Arterial_HOT!V9</f>
        <v>0</v>
      </c>
      <c r="W9" s="12">
        <f>VISUM_Arterial_OD!W9-Arterial_Truck!W9-Arterial_HOT!W9</f>
        <v>0</v>
      </c>
      <c r="X9" s="12">
        <f>VISUM_Arterial_OD!X9-Arterial_Truck!X9-Arterial_HOT!X9</f>
        <v>0</v>
      </c>
      <c r="Y9" s="12">
        <f>VISUM_Arterial_OD!Y9-Arterial_Truck!Y9-Arterial_HOT!Y9</f>
        <v>0</v>
      </c>
      <c r="Z9" s="12">
        <f>VISUM_Arterial_OD!Z9-Arterial_Truck!Z9-Arterial_HOT!Z9</f>
        <v>0</v>
      </c>
      <c r="AA9" s="12">
        <f>VISUM_Arterial_OD!AA9-Arterial_Truck!AA9-Arterial_HOT!AA9</f>
        <v>0</v>
      </c>
      <c r="AB9" s="12">
        <f>VISUM_Arterial_OD!AB9-Arterial_Truck!AB9-Arterial_HOT!AB9</f>
        <v>0</v>
      </c>
      <c r="AC9" s="12">
        <f>VISUM_Arterial_OD!AC9-Arterial_Truck!AC9-Arterial_HOT!AC9</f>
        <v>0</v>
      </c>
      <c r="AD9" s="12">
        <f>VISUM_Arterial_OD!AD9-Arterial_Truck!AD9-Arterial_HOT!AD9</f>
        <v>0</v>
      </c>
      <c r="AE9" s="12">
        <f>VISUM_Arterial_OD!AE9-Arterial_Truck!AE9-Arterial_HOT!AE9</f>
        <v>0</v>
      </c>
      <c r="AF9" s="12">
        <f>VISUM_Arterial_OD!AF9-Arterial_Truck!AF9-Arterial_HOT!AF9</f>
        <v>0</v>
      </c>
      <c r="AG9" s="12">
        <f>VISUM_Arterial_OD!AG9-Arterial_Truck!AG9-Arterial_HOT!AG9</f>
        <v>0</v>
      </c>
      <c r="AH9" s="12">
        <f>VISUM_Arterial_OD!AH9-Arterial_Truck!AH9-Arterial_HOT!AH9</f>
        <v>0</v>
      </c>
      <c r="AI9" s="12">
        <f>VISUM_Arterial_OD!AI9-Arterial_Truck!AI9-Arterial_HOT!AI9</f>
        <v>0</v>
      </c>
      <c r="AJ9" s="12">
        <f>VISUM_Arterial_OD!AJ9-Arterial_Truck!AJ9-Arterial_HOT!AJ9</f>
        <v>0</v>
      </c>
      <c r="AK9" s="12">
        <f>VISUM_Arterial_OD!AK9-Arterial_Truck!AK9-Arterial_HOT!AK9</f>
        <v>0</v>
      </c>
      <c r="AL9" s="12">
        <f>VISUM_Arterial_OD!AL9-Arterial_Truck!AL9-Arterial_HOT!AL9</f>
        <v>0</v>
      </c>
      <c r="AM9" s="12">
        <f>VISUM_Arterial_OD!AM9-Arterial_Truck!AM9-Arterial_HOT!AM9</f>
        <v>0</v>
      </c>
      <c r="AN9" s="12">
        <f>VISUM_Arterial_OD!AN9-Arterial_Truck!AN9-Arterial_HOT!AN9</f>
        <v>0</v>
      </c>
      <c r="AO9" s="12">
        <f>VISUM_Arterial_OD!AO9-Arterial_Truck!AO9-Arterial_HOT!AO9</f>
        <v>0</v>
      </c>
      <c r="AP9" s="12">
        <f>VISUM_Arterial_OD!AP9-Arterial_Truck!AP9-Arterial_HOT!AP9</f>
        <v>0</v>
      </c>
      <c r="AQ9" s="12">
        <f>VISUM_Arterial_OD!AQ9-Arterial_Truck!AQ9-Arterial_HOT!AQ9</f>
        <v>0</v>
      </c>
      <c r="AR9" s="12">
        <f>VISUM_Arterial_OD!AR9-Arterial_Truck!AR9-Arterial_HOT!AR9</f>
        <v>0</v>
      </c>
      <c r="AS9" s="12">
        <f>VISUM_Arterial_OD!AS9-Arterial_Truck!AS9-Arterial_HOT!AS9</f>
        <v>0</v>
      </c>
      <c r="AT9" s="12">
        <f>VISUM_Arterial_OD!AT9-Arterial_Truck!AT9-Arterial_HOT!AT9</f>
        <v>0</v>
      </c>
      <c r="AU9" s="12">
        <f>VISUM_Arterial_OD!AU9-Arterial_Truck!AU9-Arterial_HOT!AU9</f>
        <v>0</v>
      </c>
      <c r="AV9" s="12">
        <f>VISUM_Arterial_OD!AV9-Arterial_Truck!AV9-Arterial_HOT!AV9</f>
        <v>0</v>
      </c>
      <c r="AW9" s="12">
        <f>VISUM_Arterial_OD!AW9-Arterial_Truck!AW9-Arterial_HOT!AW9</f>
        <v>0</v>
      </c>
      <c r="AX9" s="12">
        <f>VISUM_Arterial_OD!AX9-Arterial_Truck!AX9-Arterial_HOT!AX9</f>
        <v>0</v>
      </c>
      <c r="AY9" s="12">
        <f>VISUM_Arterial_OD!AY9-Arterial_Truck!AY9-Arterial_HOT!AY9</f>
        <v>0</v>
      </c>
      <c r="AZ9" s="12">
        <f>VISUM_Arterial_OD!AZ9-Arterial_Truck!AZ9-Arterial_HOT!AZ9</f>
        <v>35.144365999999998</v>
      </c>
      <c r="BA9" s="12">
        <f>VISUM_Arterial_OD!BA9-Arterial_Truck!BA9-Arterial_HOT!BA9</f>
        <v>0</v>
      </c>
      <c r="BB9" s="12">
        <f>VISUM_Arterial_OD!BB9-Arterial_Truck!BB9-Arterial_HOT!BB9</f>
        <v>5.5674159999999997</v>
      </c>
      <c r="BC9" s="12">
        <f>VISUM_Arterial_OD!BC9-Arterial_Truck!BC9-Arterial_HOT!BC9</f>
        <v>0</v>
      </c>
      <c r="BD9" s="12">
        <f>VISUM_Arterial_OD!BD9-Arterial_Truck!BD9-Arterial_HOT!BD9</f>
        <v>0</v>
      </c>
      <c r="BE9" s="12">
        <f>VISUM_Arterial_OD!BE9-Arterial_Truck!BE9-Arterial_HOT!BE9</f>
        <v>0</v>
      </c>
      <c r="BF9" s="12">
        <f>VISUM_Arterial_OD!BF9-Arterial_Truck!BF9-Arterial_HOT!BF9</f>
        <v>0</v>
      </c>
      <c r="BG9" s="12">
        <f>VISUM_Arterial_OD!BG9-Arterial_Truck!BG9-Arterial_HOT!BG9</f>
        <v>0</v>
      </c>
      <c r="BH9" s="12">
        <f>VISUM_Arterial_OD!BH9-Arterial_Truck!BH9-Arterial_HOT!BH9</f>
        <v>0</v>
      </c>
      <c r="BI9" s="12">
        <f>VISUM_Arterial_OD!BI9-Arterial_Truck!BI9-Arterial_HOT!BI9</f>
        <v>0</v>
      </c>
      <c r="BJ9" s="12">
        <f>VISUM_Arterial_OD!BJ9-Arterial_Truck!BJ9-Arterial_HOT!BJ9</f>
        <v>163.84148556</v>
      </c>
      <c r="BK9" s="12">
        <f>VISUM_Arterial_OD!BK9-Arterial_Truck!BK9-Arterial_HOT!BK9</f>
        <v>39.044085950000003</v>
      </c>
      <c r="BL9" s="12">
        <f>VISUM_Arterial_OD!BL9-Arterial_Truck!BL9-Arterial_HOT!BL9</f>
        <v>10.552455399999999</v>
      </c>
      <c r="BM9" s="12">
        <f>VISUM_Arterial_OD!BM9-Arterial_Truck!BM9-Arterial_HOT!BM9</f>
        <v>0</v>
      </c>
      <c r="BN9" s="12">
        <f>VISUM_Arterial_OD!BN9-Arterial_Truck!BN9-Arterial_HOT!BN9</f>
        <v>135.07287248</v>
      </c>
      <c r="BO9" s="12">
        <f>VISUM_Arterial_OD!BO9-Arterial_Truck!BO9-Arterial_HOT!BO9</f>
        <v>0</v>
      </c>
      <c r="BP9" s="12">
        <f>VISUM_Arterial_OD!BP9-Arterial_Truck!BP9-Arterial_HOT!BP9</f>
        <v>0</v>
      </c>
      <c r="BQ9" s="12">
        <f>VISUM_Arterial_OD!BQ9-Arterial_Truck!BQ9-Arterial_HOT!BQ9</f>
        <v>0</v>
      </c>
    </row>
    <row r="10" spans="1:69" x14ac:dyDescent="0.25">
      <c r="A10" s="5">
        <f>IF(VLOOKUP(B10,Arterial_Zone_Link_Mapping!$A:$C,2,FALSE)&lt;&gt;"",VLOOKUP(B10,Arterial_Zone_Link_Mapping!$A:$C,2,FALSE),"")</f>
        <v>136</v>
      </c>
      <c r="B10" s="5">
        <v>20</v>
      </c>
      <c r="C10" s="12">
        <f>VISUM_Arterial_OD!C10-Arterial_Truck!C10-Arterial_HOT!C10</f>
        <v>27.222751240000001</v>
      </c>
      <c r="D10" s="12">
        <f>VISUM_Arterial_OD!D10-Arterial_Truck!D10-Arterial_HOT!D10</f>
        <v>0</v>
      </c>
      <c r="E10" s="12">
        <f>VISUM_Arterial_OD!E10-Arterial_Truck!E10-Arterial_HOT!E10</f>
        <v>0</v>
      </c>
      <c r="F10" s="12">
        <f>VISUM_Arterial_OD!F10-Arterial_Truck!F10-Arterial_HOT!F10</f>
        <v>0</v>
      </c>
      <c r="G10" s="12">
        <f>VISUM_Arterial_OD!G10-Arterial_Truck!G10-Arterial_HOT!G10</f>
        <v>0</v>
      </c>
      <c r="H10" s="12">
        <f>VISUM_Arterial_OD!H10-Arterial_Truck!H10-Arterial_HOT!H10</f>
        <v>0</v>
      </c>
      <c r="I10" s="12">
        <f>VISUM_Arterial_OD!I10-Arterial_Truck!I10-Arterial_HOT!I10</f>
        <v>0</v>
      </c>
      <c r="J10" s="12">
        <f>VISUM_Arterial_OD!J10-Arterial_Truck!J10-Arterial_HOT!J10</f>
        <v>0</v>
      </c>
      <c r="K10" s="12">
        <f>VISUM_Arterial_OD!K10-Arterial_Truck!K10-Arterial_HOT!K10</f>
        <v>10.082479729999999</v>
      </c>
      <c r="L10" s="12">
        <f>VISUM_Arterial_OD!L10-Arterial_Truck!L10-Arterial_HOT!L10</f>
        <v>29.960559749999998</v>
      </c>
      <c r="M10" s="12">
        <f>VISUM_Arterial_OD!M10-Arterial_Truck!M10-Arterial_HOT!M10</f>
        <v>0</v>
      </c>
      <c r="N10" s="12">
        <f>VISUM_Arterial_OD!N10-Arterial_Truck!N10-Arterial_HOT!N10</f>
        <v>0</v>
      </c>
      <c r="O10" s="12">
        <f>VISUM_Arterial_OD!O10-Arterial_Truck!O10-Arterial_HOT!O10</f>
        <v>111.54902612000001</v>
      </c>
      <c r="P10" s="12">
        <f>VISUM_Arterial_OD!P10-Arterial_Truck!P10-Arterial_HOT!P10</f>
        <v>6.2745827399999996</v>
      </c>
      <c r="Q10" s="12">
        <f>VISUM_Arterial_OD!Q10-Arterial_Truck!Q10-Arterial_HOT!Q10</f>
        <v>0</v>
      </c>
      <c r="R10" s="12">
        <f>VISUM_Arterial_OD!R10-Arterial_Truck!R10-Arterial_HOT!R10</f>
        <v>0</v>
      </c>
      <c r="S10" s="12">
        <f>VISUM_Arterial_OD!S10-Arterial_Truck!S10-Arterial_HOT!S10</f>
        <v>25.728507950000001</v>
      </c>
      <c r="T10" s="12">
        <f>VISUM_Arterial_OD!T10-Arterial_Truck!T10-Arterial_HOT!T10</f>
        <v>0</v>
      </c>
      <c r="U10" s="12">
        <f>VISUM_Arterial_OD!U10-Arterial_Truck!U10-Arterial_HOT!U10</f>
        <v>0</v>
      </c>
      <c r="V10" s="12">
        <f>VISUM_Arterial_OD!V10-Arterial_Truck!V10-Arterial_HOT!V10</f>
        <v>0</v>
      </c>
      <c r="W10" s="12">
        <f>VISUM_Arterial_OD!W10-Arterial_Truck!W10-Arterial_HOT!W10</f>
        <v>0</v>
      </c>
      <c r="X10" s="12">
        <f>VISUM_Arterial_OD!X10-Arterial_Truck!X10-Arterial_HOT!X10</f>
        <v>0</v>
      </c>
      <c r="Y10" s="12">
        <f>VISUM_Arterial_OD!Y10-Arterial_Truck!Y10-Arterial_HOT!Y10</f>
        <v>0</v>
      </c>
      <c r="Z10" s="12">
        <f>VISUM_Arterial_OD!Z10-Arterial_Truck!Z10-Arterial_HOT!Z10</f>
        <v>18.083978690000002</v>
      </c>
      <c r="AA10" s="12">
        <f>VISUM_Arterial_OD!AA10-Arterial_Truck!AA10-Arterial_HOT!AA10</f>
        <v>0</v>
      </c>
      <c r="AB10" s="12">
        <f>VISUM_Arterial_OD!AB10-Arterial_Truck!AB10-Arterial_HOT!AB10</f>
        <v>48.041126949999999</v>
      </c>
      <c r="AC10" s="12">
        <f>VISUM_Arterial_OD!AC10-Arterial_Truck!AC10-Arterial_HOT!AC10</f>
        <v>1.04951284</v>
      </c>
      <c r="AD10" s="12">
        <f>VISUM_Arterial_OD!AD10-Arterial_Truck!AD10-Arterial_HOT!AD10</f>
        <v>0</v>
      </c>
      <c r="AE10" s="12">
        <f>VISUM_Arterial_OD!AE10-Arterial_Truck!AE10-Arterial_HOT!AE10</f>
        <v>0</v>
      </c>
      <c r="AF10" s="12">
        <f>VISUM_Arterial_OD!AF10-Arterial_Truck!AF10-Arterial_HOT!AF10</f>
        <v>212.34316851</v>
      </c>
      <c r="AG10" s="12">
        <f>VISUM_Arterial_OD!AG10-Arterial_Truck!AG10-Arterial_HOT!AG10</f>
        <v>0</v>
      </c>
      <c r="AH10" s="12">
        <f>VISUM_Arterial_OD!AH10-Arterial_Truck!AH10-Arterial_HOT!AH10</f>
        <v>0</v>
      </c>
      <c r="AI10" s="12">
        <f>VISUM_Arterial_OD!AI10-Arterial_Truck!AI10-Arterial_HOT!AI10</f>
        <v>0</v>
      </c>
      <c r="AJ10" s="12">
        <f>VISUM_Arterial_OD!AJ10-Arterial_Truck!AJ10-Arterial_HOT!AJ10</f>
        <v>103.73320941</v>
      </c>
      <c r="AK10" s="12">
        <f>VISUM_Arterial_OD!AK10-Arterial_Truck!AK10-Arterial_HOT!AK10</f>
        <v>0</v>
      </c>
      <c r="AL10" s="12">
        <f>VISUM_Arterial_OD!AL10-Arterial_Truck!AL10-Arterial_HOT!AL10</f>
        <v>0</v>
      </c>
      <c r="AM10" s="12">
        <f>VISUM_Arterial_OD!AM10-Arterial_Truck!AM10-Arterial_HOT!AM10</f>
        <v>0</v>
      </c>
      <c r="AN10" s="12">
        <f>VISUM_Arterial_OD!AN10-Arterial_Truck!AN10-Arterial_HOT!AN10</f>
        <v>0</v>
      </c>
      <c r="AO10" s="12">
        <f>VISUM_Arterial_OD!AO10-Arterial_Truck!AO10-Arterial_HOT!AO10</f>
        <v>0</v>
      </c>
      <c r="AP10" s="12">
        <f>VISUM_Arterial_OD!AP10-Arterial_Truck!AP10-Arterial_HOT!AP10</f>
        <v>0</v>
      </c>
      <c r="AQ10" s="12">
        <f>VISUM_Arterial_OD!AQ10-Arterial_Truck!AQ10-Arterial_HOT!AQ10</f>
        <v>0</v>
      </c>
      <c r="AR10" s="12">
        <f>VISUM_Arterial_OD!AR10-Arterial_Truck!AR10-Arterial_HOT!AR10</f>
        <v>0</v>
      </c>
      <c r="AS10" s="12">
        <f>VISUM_Arterial_OD!AS10-Arterial_Truck!AS10-Arterial_HOT!AS10</f>
        <v>0</v>
      </c>
      <c r="AT10" s="12">
        <f>VISUM_Arterial_OD!AT10-Arterial_Truck!AT10-Arterial_HOT!AT10</f>
        <v>0</v>
      </c>
      <c r="AU10" s="12">
        <f>VISUM_Arterial_OD!AU10-Arterial_Truck!AU10-Arterial_HOT!AU10</f>
        <v>0</v>
      </c>
      <c r="AV10" s="12">
        <f>VISUM_Arterial_OD!AV10-Arterial_Truck!AV10-Arterial_HOT!AV10</f>
        <v>0</v>
      </c>
      <c r="AW10" s="12">
        <f>VISUM_Arterial_OD!AW10-Arterial_Truck!AW10-Arterial_HOT!AW10</f>
        <v>0</v>
      </c>
      <c r="AX10" s="12">
        <f>VISUM_Arterial_OD!AX10-Arterial_Truck!AX10-Arterial_HOT!AX10</f>
        <v>63.333143</v>
      </c>
      <c r="AY10" s="12">
        <f>VISUM_Arterial_OD!AY10-Arterial_Truck!AY10-Arterial_HOT!AY10</f>
        <v>0</v>
      </c>
      <c r="AZ10" s="12">
        <f>VISUM_Arterial_OD!AZ10-Arterial_Truck!AZ10-Arterial_HOT!AZ10</f>
        <v>0</v>
      </c>
      <c r="BA10" s="12">
        <f>VISUM_Arterial_OD!BA10-Arterial_Truck!BA10-Arterial_HOT!BA10</f>
        <v>0</v>
      </c>
      <c r="BB10" s="12">
        <f>VISUM_Arterial_OD!BB10-Arterial_Truck!BB10-Arterial_HOT!BB10</f>
        <v>0</v>
      </c>
      <c r="BC10" s="12">
        <f>VISUM_Arterial_OD!BC10-Arterial_Truck!BC10-Arterial_HOT!BC10</f>
        <v>0</v>
      </c>
      <c r="BD10" s="12">
        <f>VISUM_Arterial_OD!BD10-Arterial_Truck!BD10-Arterial_HOT!BD10</f>
        <v>0</v>
      </c>
      <c r="BE10" s="12">
        <f>VISUM_Arterial_OD!BE10-Arterial_Truck!BE10-Arterial_HOT!BE10</f>
        <v>0</v>
      </c>
      <c r="BF10" s="12">
        <f>VISUM_Arterial_OD!BF10-Arterial_Truck!BF10-Arterial_HOT!BF10</f>
        <v>0</v>
      </c>
      <c r="BG10" s="12">
        <f>VISUM_Arterial_OD!BG10-Arterial_Truck!BG10-Arterial_HOT!BG10</f>
        <v>0</v>
      </c>
      <c r="BH10" s="12">
        <f>VISUM_Arterial_OD!BH10-Arterial_Truck!BH10-Arterial_HOT!BH10</f>
        <v>0</v>
      </c>
      <c r="BI10" s="12">
        <f>VISUM_Arterial_OD!BI10-Arterial_Truck!BI10-Arterial_HOT!BI10</f>
        <v>0</v>
      </c>
      <c r="BJ10" s="12">
        <f>VISUM_Arterial_OD!BJ10-Arterial_Truck!BJ10-Arterial_HOT!BJ10</f>
        <v>0</v>
      </c>
      <c r="BK10" s="12">
        <f>VISUM_Arterial_OD!BK10-Arterial_Truck!BK10-Arterial_HOT!BK10</f>
        <v>0</v>
      </c>
      <c r="BL10" s="12">
        <f>VISUM_Arterial_OD!BL10-Arterial_Truck!BL10-Arterial_HOT!BL10</f>
        <v>0</v>
      </c>
      <c r="BM10" s="12">
        <f>VISUM_Arterial_OD!BM10-Arterial_Truck!BM10-Arterial_HOT!BM10</f>
        <v>0</v>
      </c>
      <c r="BN10" s="12">
        <f>VISUM_Arterial_OD!BN10-Arterial_Truck!BN10-Arterial_HOT!BN10</f>
        <v>0</v>
      </c>
      <c r="BO10" s="12">
        <f>VISUM_Arterial_OD!BO10-Arterial_Truck!BO10-Arterial_HOT!BO10</f>
        <v>17.455438090000001</v>
      </c>
      <c r="BP10" s="12">
        <f>VISUM_Arterial_OD!BP10-Arterial_Truck!BP10-Arterial_HOT!BP10</f>
        <v>13.84285545</v>
      </c>
      <c r="BQ10" s="12">
        <f>VISUM_Arterial_OD!BQ10-Arterial_Truck!BQ10-Arterial_HOT!BQ10</f>
        <v>0</v>
      </c>
    </row>
    <row r="11" spans="1:69" x14ac:dyDescent="0.25">
      <c r="A11" s="5">
        <f>IF(VLOOKUP(B11,Arterial_Zone_Link_Mapping!$A:$C,2,FALSE)&lt;&gt;"",VLOOKUP(B11,Arterial_Zone_Link_Mapping!$A:$C,2,FALSE),"")</f>
        <v>92</v>
      </c>
      <c r="B11" s="5">
        <v>21</v>
      </c>
      <c r="C11" s="12">
        <f>VISUM_Arterial_OD!C11-Arterial_Truck!C11-Arterial_HOT!C11</f>
        <v>4.7959079500000001</v>
      </c>
      <c r="D11" s="12">
        <f>VISUM_Arterial_OD!D11-Arterial_Truck!D11-Arterial_HOT!D11</f>
        <v>3.0894713400000002</v>
      </c>
      <c r="E11" s="12">
        <f>VISUM_Arterial_OD!E11-Arterial_Truck!E11-Arterial_HOT!E11</f>
        <v>0</v>
      </c>
      <c r="F11" s="12">
        <f>VISUM_Arterial_OD!F11-Arterial_Truck!F11-Arterial_HOT!F11</f>
        <v>0</v>
      </c>
      <c r="G11" s="12">
        <f>VISUM_Arterial_OD!G11-Arterial_Truck!G11-Arterial_HOT!G11</f>
        <v>0</v>
      </c>
      <c r="H11" s="12">
        <f>VISUM_Arterial_OD!H11-Arterial_Truck!H11-Arterial_HOT!H11</f>
        <v>0</v>
      </c>
      <c r="I11" s="12">
        <f>VISUM_Arterial_OD!I11-Arterial_Truck!I11-Arterial_HOT!I11</f>
        <v>0</v>
      </c>
      <c r="J11" s="12">
        <f>VISUM_Arterial_OD!J11-Arterial_Truck!J11-Arterial_HOT!J11</f>
        <v>32.824271350000004</v>
      </c>
      <c r="K11" s="12">
        <f>VISUM_Arterial_OD!K11-Arterial_Truck!K11-Arterial_HOT!K11</f>
        <v>0</v>
      </c>
      <c r="L11" s="12">
        <f>VISUM_Arterial_OD!L11-Arterial_Truck!L11-Arterial_HOT!L11</f>
        <v>72.749364650000004</v>
      </c>
      <c r="M11" s="12">
        <f>VISUM_Arterial_OD!M11-Arterial_Truck!M11-Arterial_HOT!M11</f>
        <v>0</v>
      </c>
      <c r="N11" s="12">
        <f>VISUM_Arterial_OD!N11-Arterial_Truck!N11-Arterial_HOT!N11</f>
        <v>0</v>
      </c>
      <c r="O11" s="12">
        <f>VISUM_Arterial_OD!O11-Arterial_Truck!O11-Arterial_HOT!O11</f>
        <v>36.112230879999998</v>
      </c>
      <c r="P11" s="12">
        <f>VISUM_Arterial_OD!P11-Arterial_Truck!P11-Arterial_HOT!P11</f>
        <v>257.31658800999998</v>
      </c>
      <c r="Q11" s="12">
        <f>VISUM_Arterial_OD!Q11-Arterial_Truck!Q11-Arterial_HOT!Q11</f>
        <v>0</v>
      </c>
      <c r="R11" s="12">
        <f>VISUM_Arterial_OD!R11-Arterial_Truck!R11-Arterial_HOT!R11</f>
        <v>0</v>
      </c>
      <c r="S11" s="12">
        <f>VISUM_Arterial_OD!S11-Arterial_Truck!S11-Arterial_HOT!S11</f>
        <v>13.741721309999999</v>
      </c>
      <c r="T11" s="12">
        <f>VISUM_Arterial_OD!T11-Arterial_Truck!T11-Arterial_HOT!T11</f>
        <v>0</v>
      </c>
      <c r="U11" s="12">
        <f>VISUM_Arterial_OD!U11-Arterial_Truck!U11-Arterial_HOT!U11</f>
        <v>0</v>
      </c>
      <c r="V11" s="12">
        <f>VISUM_Arterial_OD!V11-Arterial_Truck!V11-Arterial_HOT!V11</f>
        <v>0</v>
      </c>
      <c r="W11" s="12">
        <f>VISUM_Arterial_OD!W11-Arterial_Truck!W11-Arterial_HOT!W11</f>
        <v>0</v>
      </c>
      <c r="X11" s="12">
        <f>VISUM_Arterial_OD!X11-Arterial_Truck!X11-Arterial_HOT!X11</f>
        <v>0</v>
      </c>
      <c r="Y11" s="12">
        <f>VISUM_Arterial_OD!Y11-Arterial_Truck!Y11-Arterial_HOT!Y11</f>
        <v>0</v>
      </c>
      <c r="Z11" s="12">
        <f>VISUM_Arterial_OD!Z11-Arterial_Truck!Z11-Arterial_HOT!Z11</f>
        <v>9.4645703300000008</v>
      </c>
      <c r="AA11" s="12">
        <f>VISUM_Arterial_OD!AA11-Arterial_Truck!AA11-Arterial_HOT!AA11</f>
        <v>0</v>
      </c>
      <c r="AB11" s="12">
        <f>VISUM_Arterial_OD!AB11-Arterial_Truck!AB11-Arterial_HOT!AB11</f>
        <v>12.660213989999999</v>
      </c>
      <c r="AC11" s="12">
        <f>VISUM_Arterial_OD!AC11-Arterial_Truck!AC11-Arterial_HOT!AC11</f>
        <v>106.43211316</v>
      </c>
      <c r="AD11" s="12">
        <f>VISUM_Arterial_OD!AD11-Arterial_Truck!AD11-Arterial_HOT!AD11</f>
        <v>0</v>
      </c>
      <c r="AE11" s="12">
        <f>VISUM_Arterial_OD!AE11-Arterial_Truck!AE11-Arterial_HOT!AE11</f>
        <v>0</v>
      </c>
      <c r="AF11" s="12">
        <f>VISUM_Arterial_OD!AF11-Arterial_Truck!AF11-Arterial_HOT!AF11</f>
        <v>0</v>
      </c>
      <c r="AG11" s="12">
        <f>VISUM_Arterial_OD!AG11-Arterial_Truck!AG11-Arterial_HOT!AG11</f>
        <v>0</v>
      </c>
      <c r="AH11" s="12">
        <f>VISUM_Arterial_OD!AH11-Arterial_Truck!AH11-Arterial_HOT!AH11</f>
        <v>0</v>
      </c>
      <c r="AI11" s="12">
        <f>VISUM_Arterial_OD!AI11-Arterial_Truck!AI11-Arterial_HOT!AI11</f>
        <v>0</v>
      </c>
      <c r="AJ11" s="12">
        <f>VISUM_Arterial_OD!AJ11-Arterial_Truck!AJ11-Arterial_HOT!AJ11</f>
        <v>0</v>
      </c>
      <c r="AK11" s="12">
        <f>VISUM_Arterial_OD!AK11-Arterial_Truck!AK11-Arterial_HOT!AK11</f>
        <v>0</v>
      </c>
      <c r="AL11" s="12">
        <f>VISUM_Arterial_OD!AL11-Arterial_Truck!AL11-Arterial_HOT!AL11</f>
        <v>15.82511641</v>
      </c>
      <c r="AM11" s="12">
        <f>VISUM_Arterial_OD!AM11-Arterial_Truck!AM11-Arterial_HOT!AM11</f>
        <v>0</v>
      </c>
      <c r="AN11" s="12">
        <f>VISUM_Arterial_OD!AN11-Arterial_Truck!AN11-Arterial_HOT!AN11</f>
        <v>2.2965167100000001</v>
      </c>
      <c r="AO11" s="12">
        <f>VISUM_Arterial_OD!AO11-Arterial_Truck!AO11-Arterial_HOT!AO11</f>
        <v>0</v>
      </c>
      <c r="AP11" s="12">
        <f>VISUM_Arterial_OD!AP11-Arterial_Truck!AP11-Arterial_HOT!AP11</f>
        <v>0</v>
      </c>
      <c r="AQ11" s="12">
        <f>VISUM_Arterial_OD!AQ11-Arterial_Truck!AQ11-Arterial_HOT!AQ11</f>
        <v>0</v>
      </c>
      <c r="AR11" s="12">
        <f>VISUM_Arterial_OD!AR11-Arterial_Truck!AR11-Arterial_HOT!AR11</f>
        <v>0</v>
      </c>
      <c r="AS11" s="12">
        <f>VISUM_Arterial_OD!AS11-Arterial_Truck!AS11-Arterial_HOT!AS11</f>
        <v>6.1648941700000002</v>
      </c>
      <c r="AT11" s="12">
        <f>VISUM_Arterial_OD!AT11-Arterial_Truck!AT11-Arterial_HOT!AT11</f>
        <v>0</v>
      </c>
      <c r="AU11" s="12">
        <f>VISUM_Arterial_OD!AU11-Arterial_Truck!AU11-Arterial_HOT!AU11</f>
        <v>318.64507371999997</v>
      </c>
      <c r="AV11" s="12">
        <f>VISUM_Arterial_OD!AV11-Arterial_Truck!AV11-Arterial_HOT!AV11</f>
        <v>0</v>
      </c>
      <c r="AW11" s="12">
        <f>VISUM_Arterial_OD!AW11-Arterial_Truck!AW11-Arterial_HOT!AW11</f>
        <v>0</v>
      </c>
      <c r="AX11" s="12">
        <f>VISUM_Arterial_OD!AX11-Arterial_Truck!AX11-Arterial_HOT!AX11</f>
        <v>0</v>
      </c>
      <c r="AY11" s="12">
        <f>VISUM_Arterial_OD!AY11-Arterial_Truck!AY11-Arterial_HOT!AY11</f>
        <v>0</v>
      </c>
      <c r="AZ11" s="12">
        <f>VISUM_Arterial_OD!AZ11-Arterial_Truck!AZ11-Arterial_HOT!AZ11</f>
        <v>0</v>
      </c>
      <c r="BA11" s="12">
        <f>VISUM_Arterial_OD!BA11-Arterial_Truck!BA11-Arterial_HOT!BA11</f>
        <v>0</v>
      </c>
      <c r="BB11" s="12">
        <f>VISUM_Arterial_OD!BB11-Arterial_Truck!BB11-Arterial_HOT!BB11</f>
        <v>0</v>
      </c>
      <c r="BC11" s="12">
        <f>VISUM_Arterial_OD!BC11-Arterial_Truck!BC11-Arterial_HOT!BC11</f>
        <v>0</v>
      </c>
      <c r="BD11" s="12">
        <f>VISUM_Arterial_OD!BD11-Arterial_Truck!BD11-Arterial_HOT!BD11</f>
        <v>0</v>
      </c>
      <c r="BE11" s="12">
        <f>VISUM_Arterial_OD!BE11-Arterial_Truck!BE11-Arterial_HOT!BE11</f>
        <v>0</v>
      </c>
      <c r="BF11" s="12">
        <f>VISUM_Arterial_OD!BF11-Arterial_Truck!BF11-Arterial_HOT!BF11</f>
        <v>0</v>
      </c>
      <c r="BG11" s="12">
        <f>VISUM_Arterial_OD!BG11-Arterial_Truck!BG11-Arterial_HOT!BG11</f>
        <v>0</v>
      </c>
      <c r="BH11" s="12">
        <f>VISUM_Arterial_OD!BH11-Arterial_Truck!BH11-Arterial_HOT!BH11</f>
        <v>0</v>
      </c>
      <c r="BI11" s="12">
        <f>VISUM_Arterial_OD!BI11-Arterial_Truck!BI11-Arterial_HOT!BI11</f>
        <v>0</v>
      </c>
      <c r="BJ11" s="12">
        <f>VISUM_Arterial_OD!BJ11-Arterial_Truck!BJ11-Arterial_HOT!BJ11</f>
        <v>0</v>
      </c>
      <c r="BK11" s="12">
        <f>VISUM_Arterial_OD!BK11-Arterial_Truck!BK11-Arterial_HOT!BK11</f>
        <v>0</v>
      </c>
      <c r="BL11" s="12">
        <f>VISUM_Arterial_OD!BL11-Arterial_Truck!BL11-Arterial_HOT!BL11</f>
        <v>0</v>
      </c>
      <c r="BM11" s="12">
        <f>VISUM_Arterial_OD!BM11-Arterial_Truck!BM11-Arterial_HOT!BM11</f>
        <v>0</v>
      </c>
      <c r="BN11" s="12">
        <f>VISUM_Arterial_OD!BN11-Arterial_Truck!BN11-Arterial_HOT!BN11</f>
        <v>0</v>
      </c>
      <c r="BO11" s="12">
        <f>VISUM_Arterial_OD!BO11-Arterial_Truck!BO11-Arterial_HOT!BO11</f>
        <v>10.052574630000001</v>
      </c>
      <c r="BP11" s="12">
        <f>VISUM_Arterial_OD!BP11-Arterial_Truck!BP11-Arterial_HOT!BP11</f>
        <v>0</v>
      </c>
      <c r="BQ11" s="12">
        <f>VISUM_Arterial_OD!BQ11-Arterial_Truck!BQ11-Arterial_HOT!BQ11</f>
        <v>4.7928340199999999</v>
      </c>
    </row>
    <row r="12" spans="1:69" x14ac:dyDescent="0.25">
      <c r="A12" s="5">
        <f>IF(VLOOKUP(B12,Arterial_Zone_Link_Mapping!$A:$C,2,FALSE)&lt;&gt;"",VLOOKUP(B12,Arterial_Zone_Link_Mapping!$A:$C,2,FALSE),"")</f>
        <v>29</v>
      </c>
      <c r="B12" s="5">
        <v>22</v>
      </c>
      <c r="C12" s="12">
        <f>VISUM_Arterial_OD!C12-Arterial_Truck!C12-Arterial_HOT!C12</f>
        <v>92.662865190000005</v>
      </c>
      <c r="D12" s="12">
        <f>VISUM_Arterial_OD!D12-Arterial_Truck!D12-Arterial_HOT!D12</f>
        <v>10.66039409</v>
      </c>
      <c r="E12" s="12">
        <f>VISUM_Arterial_OD!E12-Arterial_Truck!E12-Arterial_HOT!E12</f>
        <v>0</v>
      </c>
      <c r="F12" s="12">
        <f>VISUM_Arterial_OD!F12-Arterial_Truck!F12-Arterial_HOT!F12</f>
        <v>0</v>
      </c>
      <c r="G12" s="12">
        <f>VISUM_Arterial_OD!G12-Arterial_Truck!G12-Arterial_HOT!G12</f>
        <v>0</v>
      </c>
      <c r="H12" s="12">
        <f>VISUM_Arterial_OD!H12-Arterial_Truck!H12-Arterial_HOT!H12</f>
        <v>0</v>
      </c>
      <c r="I12" s="12">
        <f>VISUM_Arterial_OD!I12-Arterial_Truck!I12-Arterial_HOT!I12</f>
        <v>0</v>
      </c>
      <c r="J12" s="12">
        <f>VISUM_Arterial_OD!J12-Arterial_Truck!J12-Arterial_HOT!J12</f>
        <v>103.90024729000001</v>
      </c>
      <c r="K12" s="12">
        <f>VISUM_Arterial_OD!K12-Arterial_Truck!K12-Arterial_HOT!K12</f>
        <v>77.599322940000008</v>
      </c>
      <c r="L12" s="12">
        <f>VISUM_Arterial_OD!L12-Arterial_Truck!L12-Arterial_HOT!L12</f>
        <v>0</v>
      </c>
      <c r="M12" s="12">
        <f>VISUM_Arterial_OD!M12-Arterial_Truck!M12-Arterial_HOT!M12</f>
        <v>0</v>
      </c>
      <c r="N12" s="12">
        <f>VISUM_Arterial_OD!N12-Arterial_Truck!N12-Arterial_HOT!N12</f>
        <v>0</v>
      </c>
      <c r="O12" s="12">
        <f>VISUM_Arterial_OD!O12-Arterial_Truck!O12-Arterial_HOT!O12</f>
        <v>193.66796706000002</v>
      </c>
      <c r="P12" s="12">
        <f>VISUM_Arterial_OD!P12-Arterial_Truck!P12-Arterial_HOT!P12</f>
        <v>386.04680605999999</v>
      </c>
      <c r="Q12" s="12">
        <f>VISUM_Arterial_OD!Q12-Arterial_Truck!Q12-Arterial_HOT!Q12</f>
        <v>0</v>
      </c>
      <c r="R12" s="12">
        <f>VISUM_Arterial_OD!R12-Arterial_Truck!R12-Arterial_HOT!R12</f>
        <v>0</v>
      </c>
      <c r="S12" s="12">
        <f>VISUM_Arterial_OD!S12-Arterial_Truck!S12-Arterial_HOT!S12</f>
        <v>100.6661635</v>
      </c>
      <c r="T12" s="12">
        <f>VISUM_Arterial_OD!T12-Arterial_Truck!T12-Arterial_HOT!T12</f>
        <v>0</v>
      </c>
      <c r="U12" s="12">
        <f>VISUM_Arterial_OD!U12-Arterial_Truck!U12-Arterial_HOT!U12</f>
        <v>0</v>
      </c>
      <c r="V12" s="12">
        <f>VISUM_Arterial_OD!V12-Arterial_Truck!V12-Arterial_HOT!V12</f>
        <v>0</v>
      </c>
      <c r="W12" s="12">
        <f>VISUM_Arterial_OD!W12-Arterial_Truck!W12-Arterial_HOT!W12</f>
        <v>0</v>
      </c>
      <c r="X12" s="12">
        <f>VISUM_Arterial_OD!X12-Arterial_Truck!X12-Arterial_HOT!X12</f>
        <v>0</v>
      </c>
      <c r="Y12" s="12">
        <f>VISUM_Arterial_OD!Y12-Arterial_Truck!Y12-Arterial_HOT!Y12</f>
        <v>0</v>
      </c>
      <c r="Z12" s="12">
        <f>VISUM_Arterial_OD!Z12-Arterial_Truck!Z12-Arterial_HOT!Z12</f>
        <v>52.437121360000006</v>
      </c>
      <c r="AA12" s="12">
        <f>VISUM_Arterial_OD!AA12-Arterial_Truck!AA12-Arterial_HOT!AA12</f>
        <v>0</v>
      </c>
      <c r="AB12" s="12">
        <f>VISUM_Arterial_OD!AB12-Arterial_Truck!AB12-Arterial_HOT!AB12</f>
        <v>59.432140560000001</v>
      </c>
      <c r="AC12" s="12">
        <f>VISUM_Arterial_OD!AC12-Arterial_Truck!AC12-Arterial_HOT!AC12</f>
        <v>74.70231317999999</v>
      </c>
      <c r="AD12" s="12">
        <f>VISUM_Arterial_OD!AD12-Arterial_Truck!AD12-Arterial_HOT!AD12</f>
        <v>0</v>
      </c>
      <c r="AE12" s="12">
        <f>VISUM_Arterial_OD!AE12-Arterial_Truck!AE12-Arterial_HOT!AE12</f>
        <v>0</v>
      </c>
      <c r="AF12" s="12">
        <f>VISUM_Arterial_OD!AF12-Arterial_Truck!AF12-Arterial_HOT!AF12</f>
        <v>0</v>
      </c>
      <c r="AG12" s="12">
        <f>VISUM_Arterial_OD!AG12-Arterial_Truck!AG12-Arterial_HOT!AG12</f>
        <v>0</v>
      </c>
      <c r="AH12" s="12">
        <f>VISUM_Arterial_OD!AH12-Arterial_Truck!AH12-Arterial_HOT!AH12</f>
        <v>0</v>
      </c>
      <c r="AI12" s="12">
        <f>VISUM_Arterial_OD!AI12-Arterial_Truck!AI12-Arterial_HOT!AI12</f>
        <v>0</v>
      </c>
      <c r="AJ12" s="12">
        <f>VISUM_Arterial_OD!AJ12-Arterial_Truck!AJ12-Arterial_HOT!AJ12</f>
        <v>0</v>
      </c>
      <c r="AK12" s="12">
        <f>VISUM_Arterial_OD!AK12-Arterial_Truck!AK12-Arterial_HOT!AK12</f>
        <v>0</v>
      </c>
      <c r="AL12" s="12">
        <f>VISUM_Arterial_OD!AL12-Arterial_Truck!AL12-Arterial_HOT!AL12</f>
        <v>84.553563339999997</v>
      </c>
      <c r="AM12" s="12">
        <f>VISUM_Arterial_OD!AM12-Arterial_Truck!AM12-Arterial_HOT!AM12</f>
        <v>0</v>
      </c>
      <c r="AN12" s="12">
        <f>VISUM_Arterial_OD!AN12-Arterial_Truck!AN12-Arterial_HOT!AN12</f>
        <v>6.0344563300000003</v>
      </c>
      <c r="AO12" s="12">
        <f>VISUM_Arterial_OD!AO12-Arterial_Truck!AO12-Arterial_HOT!AO12</f>
        <v>0</v>
      </c>
      <c r="AP12" s="12">
        <f>VISUM_Arterial_OD!AP12-Arterial_Truck!AP12-Arterial_HOT!AP12</f>
        <v>0</v>
      </c>
      <c r="AQ12" s="12">
        <f>VISUM_Arterial_OD!AQ12-Arterial_Truck!AQ12-Arterial_HOT!AQ12</f>
        <v>0</v>
      </c>
      <c r="AR12" s="12">
        <f>VISUM_Arterial_OD!AR12-Arterial_Truck!AR12-Arterial_HOT!AR12</f>
        <v>0</v>
      </c>
      <c r="AS12" s="12">
        <f>VISUM_Arterial_OD!AS12-Arterial_Truck!AS12-Arterial_HOT!AS12</f>
        <v>21.82803998</v>
      </c>
      <c r="AT12" s="12">
        <f>VISUM_Arterial_OD!AT12-Arterial_Truck!AT12-Arterial_HOT!AT12</f>
        <v>0</v>
      </c>
      <c r="AU12" s="12">
        <f>VISUM_Arterial_OD!AU12-Arterial_Truck!AU12-Arterial_HOT!AU12</f>
        <v>291.95811652999998</v>
      </c>
      <c r="AV12" s="12">
        <f>VISUM_Arterial_OD!AV12-Arterial_Truck!AV12-Arterial_HOT!AV12</f>
        <v>0</v>
      </c>
      <c r="AW12" s="12">
        <f>VISUM_Arterial_OD!AW12-Arterial_Truck!AW12-Arterial_HOT!AW12</f>
        <v>0</v>
      </c>
      <c r="AX12" s="12">
        <f>VISUM_Arterial_OD!AX12-Arterial_Truck!AX12-Arterial_HOT!AX12</f>
        <v>0</v>
      </c>
      <c r="AY12" s="12">
        <f>VISUM_Arterial_OD!AY12-Arterial_Truck!AY12-Arterial_HOT!AY12</f>
        <v>0</v>
      </c>
      <c r="AZ12" s="12">
        <f>VISUM_Arterial_OD!AZ12-Arterial_Truck!AZ12-Arterial_HOT!AZ12</f>
        <v>0</v>
      </c>
      <c r="BA12" s="12">
        <f>VISUM_Arterial_OD!BA12-Arterial_Truck!BA12-Arterial_HOT!BA12</f>
        <v>0</v>
      </c>
      <c r="BB12" s="12">
        <f>VISUM_Arterial_OD!BB12-Arterial_Truck!BB12-Arterial_HOT!BB12</f>
        <v>0</v>
      </c>
      <c r="BC12" s="12">
        <f>VISUM_Arterial_OD!BC12-Arterial_Truck!BC12-Arterial_HOT!BC12</f>
        <v>0</v>
      </c>
      <c r="BD12" s="12">
        <f>VISUM_Arterial_OD!BD12-Arterial_Truck!BD12-Arterial_HOT!BD12</f>
        <v>0</v>
      </c>
      <c r="BE12" s="12">
        <f>VISUM_Arterial_OD!BE12-Arterial_Truck!BE12-Arterial_HOT!BE12</f>
        <v>0</v>
      </c>
      <c r="BF12" s="12">
        <f>VISUM_Arterial_OD!BF12-Arterial_Truck!BF12-Arterial_HOT!BF12</f>
        <v>0</v>
      </c>
      <c r="BG12" s="12">
        <f>VISUM_Arterial_OD!BG12-Arterial_Truck!BG12-Arterial_HOT!BG12</f>
        <v>0</v>
      </c>
      <c r="BH12" s="12">
        <f>VISUM_Arterial_OD!BH12-Arterial_Truck!BH12-Arterial_HOT!BH12</f>
        <v>0</v>
      </c>
      <c r="BI12" s="12">
        <f>VISUM_Arterial_OD!BI12-Arterial_Truck!BI12-Arterial_HOT!BI12</f>
        <v>0</v>
      </c>
      <c r="BJ12" s="12">
        <f>VISUM_Arterial_OD!BJ12-Arterial_Truck!BJ12-Arterial_HOT!BJ12</f>
        <v>0</v>
      </c>
      <c r="BK12" s="12">
        <f>VISUM_Arterial_OD!BK12-Arterial_Truck!BK12-Arterial_HOT!BK12</f>
        <v>0</v>
      </c>
      <c r="BL12" s="12">
        <f>VISUM_Arterial_OD!BL12-Arterial_Truck!BL12-Arterial_HOT!BL12</f>
        <v>0</v>
      </c>
      <c r="BM12" s="12">
        <f>VISUM_Arterial_OD!BM12-Arterial_Truck!BM12-Arterial_HOT!BM12</f>
        <v>0</v>
      </c>
      <c r="BN12" s="12">
        <f>VISUM_Arterial_OD!BN12-Arterial_Truck!BN12-Arterial_HOT!BN12</f>
        <v>0</v>
      </c>
      <c r="BO12" s="12">
        <f>VISUM_Arterial_OD!BO12-Arterial_Truck!BO12-Arterial_HOT!BO12</f>
        <v>194.22815370000001</v>
      </c>
      <c r="BP12" s="12">
        <f>VISUM_Arterial_OD!BP12-Arterial_Truck!BP12-Arterial_HOT!BP12</f>
        <v>0</v>
      </c>
      <c r="BQ12" s="12">
        <f>VISUM_Arterial_OD!BQ12-Arterial_Truck!BQ12-Arterial_HOT!BQ12</f>
        <v>92.603470149999993</v>
      </c>
    </row>
    <row r="13" spans="1:69" x14ac:dyDescent="0.25">
      <c r="A13" s="5">
        <f>IF(VLOOKUP(B13,Arterial_Zone_Link_Mapping!$A:$C,2,FALSE)&lt;&gt;"",VLOOKUP(B13,Arterial_Zone_Link_Mapping!$A:$C,2,FALSE),"")</f>
        <v>81</v>
      </c>
      <c r="B13" s="5">
        <v>23</v>
      </c>
      <c r="C13" s="12">
        <f>VISUM_Arterial_OD!C13-Arterial_Truck!C13-Arterial_HOT!C13</f>
        <v>0</v>
      </c>
      <c r="D13" s="12">
        <f>VISUM_Arterial_OD!D13-Arterial_Truck!D13-Arterial_HOT!D13</f>
        <v>0</v>
      </c>
      <c r="E13" s="12">
        <f>VISUM_Arterial_OD!E13-Arterial_Truck!E13-Arterial_HOT!E13</f>
        <v>20.019223749999998</v>
      </c>
      <c r="F13" s="12">
        <f>VISUM_Arterial_OD!F13-Arterial_Truck!F13-Arterial_HOT!F13</f>
        <v>67.899407329999988</v>
      </c>
      <c r="G13" s="12">
        <f>VISUM_Arterial_OD!G13-Arterial_Truck!G13-Arterial_HOT!G13</f>
        <v>0</v>
      </c>
      <c r="H13" s="12">
        <f>VISUM_Arterial_OD!H13-Arterial_Truck!H13-Arterial_HOT!H13</f>
        <v>0</v>
      </c>
      <c r="I13" s="12">
        <f>VISUM_Arterial_OD!I13-Arterial_Truck!I13-Arterial_HOT!I13</f>
        <v>0</v>
      </c>
      <c r="J13" s="12">
        <f>VISUM_Arterial_OD!J13-Arterial_Truck!J13-Arterial_HOT!J13</f>
        <v>0</v>
      </c>
      <c r="K13" s="12">
        <f>VISUM_Arterial_OD!K13-Arterial_Truck!K13-Arterial_HOT!K13</f>
        <v>0</v>
      </c>
      <c r="L13" s="12">
        <f>VISUM_Arterial_OD!L13-Arterial_Truck!L13-Arterial_HOT!L13</f>
        <v>0</v>
      </c>
      <c r="M13" s="12">
        <f>VISUM_Arterial_OD!M13-Arterial_Truck!M13-Arterial_HOT!M13</f>
        <v>0</v>
      </c>
      <c r="N13" s="12">
        <f>VISUM_Arterial_OD!N13-Arterial_Truck!N13-Arterial_HOT!N13</f>
        <v>175.96042596999999</v>
      </c>
      <c r="O13" s="12">
        <f>VISUM_Arterial_OD!O13-Arterial_Truck!O13-Arterial_HOT!O13</f>
        <v>0</v>
      </c>
      <c r="P13" s="12">
        <f>VISUM_Arterial_OD!P13-Arterial_Truck!P13-Arterial_HOT!P13</f>
        <v>0</v>
      </c>
      <c r="Q13" s="12">
        <f>VISUM_Arterial_OD!Q13-Arterial_Truck!Q13-Arterial_HOT!Q13</f>
        <v>0</v>
      </c>
      <c r="R13" s="12">
        <f>VISUM_Arterial_OD!R13-Arterial_Truck!R13-Arterial_HOT!R13</f>
        <v>0</v>
      </c>
      <c r="S13" s="12">
        <f>VISUM_Arterial_OD!S13-Arterial_Truck!S13-Arterial_HOT!S13</f>
        <v>0</v>
      </c>
      <c r="T13" s="12">
        <f>VISUM_Arterial_OD!T13-Arterial_Truck!T13-Arterial_HOT!T13</f>
        <v>0</v>
      </c>
      <c r="U13" s="12">
        <f>VISUM_Arterial_OD!U13-Arterial_Truck!U13-Arterial_HOT!U13</f>
        <v>0</v>
      </c>
      <c r="V13" s="12">
        <f>VISUM_Arterial_OD!V13-Arterial_Truck!V13-Arterial_HOT!V13</f>
        <v>0</v>
      </c>
      <c r="W13" s="12">
        <f>VISUM_Arterial_OD!W13-Arterial_Truck!W13-Arterial_HOT!W13</f>
        <v>0</v>
      </c>
      <c r="X13" s="12">
        <f>VISUM_Arterial_OD!X13-Arterial_Truck!X13-Arterial_HOT!X13</f>
        <v>0</v>
      </c>
      <c r="Y13" s="12">
        <f>VISUM_Arterial_OD!Y13-Arterial_Truck!Y13-Arterial_HOT!Y13</f>
        <v>46.282807950000006</v>
      </c>
      <c r="Z13" s="12">
        <f>VISUM_Arterial_OD!Z13-Arterial_Truck!Z13-Arterial_HOT!Z13</f>
        <v>0</v>
      </c>
      <c r="AA13" s="12">
        <f>VISUM_Arterial_OD!AA13-Arterial_Truck!AA13-Arterial_HOT!AA13</f>
        <v>0</v>
      </c>
      <c r="AB13" s="12">
        <f>VISUM_Arterial_OD!AB13-Arterial_Truck!AB13-Arterial_HOT!AB13</f>
        <v>0</v>
      </c>
      <c r="AC13" s="12">
        <f>VISUM_Arterial_OD!AC13-Arterial_Truck!AC13-Arterial_HOT!AC13</f>
        <v>0</v>
      </c>
      <c r="AD13" s="12">
        <f>VISUM_Arterial_OD!AD13-Arterial_Truck!AD13-Arterial_HOT!AD13</f>
        <v>1.56996343</v>
      </c>
      <c r="AE13" s="12">
        <f>VISUM_Arterial_OD!AE13-Arterial_Truck!AE13-Arterial_HOT!AE13</f>
        <v>0.98480607999999992</v>
      </c>
      <c r="AF13" s="12">
        <f>VISUM_Arterial_OD!AF13-Arterial_Truck!AF13-Arterial_HOT!AF13</f>
        <v>0</v>
      </c>
      <c r="AG13" s="12">
        <f>VISUM_Arterial_OD!AG13-Arterial_Truck!AG13-Arterial_HOT!AG13</f>
        <v>0</v>
      </c>
      <c r="AH13" s="12">
        <f>VISUM_Arterial_OD!AH13-Arterial_Truck!AH13-Arterial_HOT!AH13</f>
        <v>0</v>
      </c>
      <c r="AI13" s="12">
        <f>VISUM_Arterial_OD!AI13-Arterial_Truck!AI13-Arterial_HOT!AI13</f>
        <v>0</v>
      </c>
      <c r="AJ13" s="12">
        <f>VISUM_Arterial_OD!AJ13-Arterial_Truck!AJ13-Arterial_HOT!AJ13</f>
        <v>0</v>
      </c>
      <c r="AK13" s="12">
        <f>VISUM_Arterial_OD!AK13-Arterial_Truck!AK13-Arterial_HOT!AK13</f>
        <v>0</v>
      </c>
      <c r="AL13" s="12">
        <f>VISUM_Arterial_OD!AL13-Arterial_Truck!AL13-Arterial_HOT!AL13</f>
        <v>0</v>
      </c>
      <c r="AM13" s="12">
        <f>VISUM_Arterial_OD!AM13-Arterial_Truck!AM13-Arterial_HOT!AM13</f>
        <v>0</v>
      </c>
      <c r="AN13" s="12">
        <f>VISUM_Arterial_OD!AN13-Arterial_Truck!AN13-Arterial_HOT!AN13</f>
        <v>0</v>
      </c>
      <c r="AO13" s="12">
        <f>VISUM_Arterial_OD!AO13-Arterial_Truck!AO13-Arterial_HOT!AO13</f>
        <v>0</v>
      </c>
      <c r="AP13" s="12">
        <f>VISUM_Arterial_OD!AP13-Arterial_Truck!AP13-Arterial_HOT!AP13</f>
        <v>0</v>
      </c>
      <c r="AQ13" s="12">
        <f>VISUM_Arterial_OD!AQ13-Arterial_Truck!AQ13-Arterial_HOT!AQ13</f>
        <v>0</v>
      </c>
      <c r="AR13" s="12">
        <f>VISUM_Arterial_OD!AR13-Arterial_Truck!AR13-Arterial_HOT!AR13</f>
        <v>0</v>
      </c>
      <c r="AS13" s="12">
        <f>VISUM_Arterial_OD!AS13-Arterial_Truck!AS13-Arterial_HOT!AS13</f>
        <v>0</v>
      </c>
      <c r="AT13" s="12">
        <f>VISUM_Arterial_OD!AT13-Arterial_Truck!AT13-Arterial_HOT!AT13</f>
        <v>0</v>
      </c>
      <c r="AU13" s="12">
        <f>VISUM_Arterial_OD!AU13-Arterial_Truck!AU13-Arterial_HOT!AU13</f>
        <v>0</v>
      </c>
      <c r="AV13" s="12">
        <f>VISUM_Arterial_OD!AV13-Arterial_Truck!AV13-Arterial_HOT!AV13</f>
        <v>0</v>
      </c>
      <c r="AW13" s="12">
        <f>VISUM_Arterial_OD!AW13-Arterial_Truck!AW13-Arterial_HOT!AW13</f>
        <v>0</v>
      </c>
      <c r="AX13" s="12">
        <f>VISUM_Arterial_OD!AX13-Arterial_Truck!AX13-Arterial_HOT!AX13</f>
        <v>0</v>
      </c>
      <c r="AY13" s="12">
        <f>VISUM_Arterial_OD!AY13-Arterial_Truck!AY13-Arterial_HOT!AY13</f>
        <v>0</v>
      </c>
      <c r="AZ13" s="12">
        <f>VISUM_Arterial_OD!AZ13-Arterial_Truck!AZ13-Arterial_HOT!AZ13</f>
        <v>0</v>
      </c>
      <c r="BA13" s="12">
        <f>VISUM_Arterial_OD!BA13-Arterial_Truck!BA13-Arterial_HOT!BA13</f>
        <v>0</v>
      </c>
      <c r="BB13" s="12">
        <f>VISUM_Arterial_OD!BB13-Arterial_Truck!BB13-Arterial_HOT!BB13</f>
        <v>0</v>
      </c>
      <c r="BC13" s="12">
        <f>VISUM_Arterial_OD!BC13-Arterial_Truck!BC13-Arterial_HOT!BC13</f>
        <v>0</v>
      </c>
      <c r="BD13" s="12">
        <f>VISUM_Arterial_OD!BD13-Arterial_Truck!BD13-Arterial_HOT!BD13</f>
        <v>0</v>
      </c>
      <c r="BE13" s="12">
        <f>VISUM_Arterial_OD!BE13-Arterial_Truck!BE13-Arterial_HOT!BE13</f>
        <v>0</v>
      </c>
      <c r="BF13" s="12">
        <f>VISUM_Arterial_OD!BF13-Arterial_Truck!BF13-Arterial_HOT!BF13</f>
        <v>0</v>
      </c>
      <c r="BG13" s="12">
        <f>VISUM_Arterial_OD!BG13-Arterial_Truck!BG13-Arterial_HOT!BG13</f>
        <v>103.54270722999999</v>
      </c>
      <c r="BH13" s="12">
        <f>VISUM_Arterial_OD!BH13-Arterial_Truck!BH13-Arterial_HOT!BH13</f>
        <v>199.78788136</v>
      </c>
      <c r="BI13" s="12">
        <f>VISUM_Arterial_OD!BI13-Arterial_Truck!BI13-Arterial_HOT!BI13</f>
        <v>0</v>
      </c>
      <c r="BJ13" s="12">
        <f>VISUM_Arterial_OD!BJ13-Arterial_Truck!BJ13-Arterial_HOT!BJ13</f>
        <v>0</v>
      </c>
      <c r="BK13" s="12">
        <f>VISUM_Arterial_OD!BK13-Arterial_Truck!BK13-Arterial_HOT!BK13</f>
        <v>0</v>
      </c>
      <c r="BL13" s="12">
        <f>VISUM_Arterial_OD!BL13-Arterial_Truck!BL13-Arterial_HOT!BL13</f>
        <v>0</v>
      </c>
      <c r="BM13" s="12">
        <f>VISUM_Arterial_OD!BM13-Arterial_Truck!BM13-Arterial_HOT!BM13</f>
        <v>0</v>
      </c>
      <c r="BN13" s="12">
        <f>VISUM_Arterial_OD!BN13-Arterial_Truck!BN13-Arterial_HOT!BN13</f>
        <v>0</v>
      </c>
      <c r="BO13" s="12">
        <f>VISUM_Arterial_OD!BO13-Arterial_Truck!BO13-Arterial_HOT!BO13</f>
        <v>0</v>
      </c>
      <c r="BP13" s="12">
        <f>VISUM_Arterial_OD!BP13-Arterial_Truck!BP13-Arterial_HOT!BP13</f>
        <v>0</v>
      </c>
      <c r="BQ13" s="12">
        <f>VISUM_Arterial_OD!BQ13-Arterial_Truck!BQ13-Arterial_HOT!BQ13</f>
        <v>0</v>
      </c>
    </row>
    <row r="14" spans="1:69" x14ac:dyDescent="0.25">
      <c r="A14" s="5">
        <f>IF(VLOOKUP(B14,Arterial_Zone_Link_Mapping!$A:$C,2,FALSE)&lt;&gt;"",VLOOKUP(B14,Arterial_Zone_Link_Mapping!$A:$C,2,FALSE),"")</f>
        <v>480</v>
      </c>
      <c r="B14" s="5">
        <v>25</v>
      </c>
      <c r="C14" s="12">
        <f>VISUM_Arterial_OD!C14-Arterial_Truck!C14-Arterial_HOT!C14</f>
        <v>0</v>
      </c>
      <c r="D14" s="12">
        <f>VISUM_Arterial_OD!D14-Arterial_Truck!D14-Arterial_HOT!D14</f>
        <v>0</v>
      </c>
      <c r="E14" s="12">
        <f>VISUM_Arterial_OD!E14-Arterial_Truck!E14-Arterial_HOT!E14</f>
        <v>19.557155520000002</v>
      </c>
      <c r="F14" s="12">
        <f>VISUM_Arterial_OD!F14-Arterial_Truck!F14-Arterial_HOT!F14</f>
        <v>25.360272670000001</v>
      </c>
      <c r="G14" s="12">
        <f>VISUM_Arterial_OD!G14-Arterial_Truck!G14-Arterial_HOT!G14</f>
        <v>0</v>
      </c>
      <c r="H14" s="12">
        <f>VISUM_Arterial_OD!H14-Arterial_Truck!H14-Arterial_HOT!H14</f>
        <v>0</v>
      </c>
      <c r="I14" s="12">
        <f>VISUM_Arterial_OD!I14-Arterial_Truck!I14-Arterial_HOT!I14</f>
        <v>0</v>
      </c>
      <c r="J14" s="12">
        <f>VISUM_Arterial_OD!J14-Arterial_Truck!J14-Arterial_HOT!J14</f>
        <v>0</v>
      </c>
      <c r="K14" s="12">
        <f>VISUM_Arterial_OD!K14-Arterial_Truck!K14-Arterial_HOT!K14</f>
        <v>0</v>
      </c>
      <c r="L14" s="12">
        <f>VISUM_Arterial_OD!L14-Arterial_Truck!L14-Arterial_HOT!L14</f>
        <v>0</v>
      </c>
      <c r="M14" s="12">
        <f>VISUM_Arterial_OD!M14-Arterial_Truck!M14-Arterial_HOT!M14</f>
        <v>289.05169777000003</v>
      </c>
      <c r="N14" s="12">
        <f>VISUM_Arterial_OD!N14-Arterial_Truck!N14-Arterial_HOT!N14</f>
        <v>0</v>
      </c>
      <c r="O14" s="12">
        <f>VISUM_Arterial_OD!O14-Arterial_Truck!O14-Arterial_HOT!O14</f>
        <v>0</v>
      </c>
      <c r="P14" s="12">
        <f>VISUM_Arterial_OD!P14-Arterial_Truck!P14-Arterial_HOT!P14</f>
        <v>0</v>
      </c>
      <c r="Q14" s="12">
        <f>VISUM_Arterial_OD!Q14-Arterial_Truck!Q14-Arterial_HOT!Q14</f>
        <v>0</v>
      </c>
      <c r="R14" s="12">
        <f>VISUM_Arterial_OD!R14-Arterial_Truck!R14-Arterial_HOT!R14</f>
        <v>0</v>
      </c>
      <c r="S14" s="12">
        <f>VISUM_Arterial_OD!S14-Arterial_Truck!S14-Arterial_HOT!S14</f>
        <v>0</v>
      </c>
      <c r="T14" s="12">
        <f>VISUM_Arterial_OD!T14-Arterial_Truck!T14-Arterial_HOT!T14</f>
        <v>0</v>
      </c>
      <c r="U14" s="12">
        <f>VISUM_Arterial_OD!U14-Arterial_Truck!U14-Arterial_HOT!U14</f>
        <v>0</v>
      </c>
      <c r="V14" s="12">
        <f>VISUM_Arterial_OD!V14-Arterial_Truck!V14-Arterial_HOT!V14</f>
        <v>0</v>
      </c>
      <c r="W14" s="12">
        <f>VISUM_Arterial_OD!W14-Arterial_Truck!W14-Arterial_HOT!W14</f>
        <v>0</v>
      </c>
      <c r="X14" s="12">
        <f>VISUM_Arterial_OD!X14-Arterial_Truck!X14-Arterial_HOT!X14</f>
        <v>0</v>
      </c>
      <c r="Y14" s="12">
        <f>VISUM_Arterial_OD!Y14-Arterial_Truck!Y14-Arterial_HOT!Y14</f>
        <v>48.744827029999996</v>
      </c>
      <c r="Z14" s="12">
        <f>VISUM_Arterial_OD!Z14-Arterial_Truck!Z14-Arterial_HOT!Z14</f>
        <v>0</v>
      </c>
      <c r="AA14" s="12">
        <f>VISUM_Arterial_OD!AA14-Arterial_Truck!AA14-Arterial_HOT!AA14</f>
        <v>0</v>
      </c>
      <c r="AB14" s="12">
        <f>VISUM_Arterial_OD!AB14-Arterial_Truck!AB14-Arterial_HOT!AB14</f>
        <v>0</v>
      </c>
      <c r="AC14" s="12">
        <f>VISUM_Arterial_OD!AC14-Arterial_Truck!AC14-Arterial_HOT!AC14</f>
        <v>0</v>
      </c>
      <c r="AD14" s="12">
        <f>VISUM_Arterial_OD!AD14-Arterial_Truck!AD14-Arterial_HOT!AD14</f>
        <v>0</v>
      </c>
      <c r="AE14" s="12">
        <f>VISUM_Arterial_OD!AE14-Arterial_Truck!AE14-Arterial_HOT!AE14</f>
        <v>0.47454825</v>
      </c>
      <c r="AF14" s="12">
        <f>VISUM_Arterial_OD!AF14-Arterial_Truck!AF14-Arterial_HOT!AF14</f>
        <v>0</v>
      </c>
      <c r="AG14" s="12">
        <f>VISUM_Arterial_OD!AG14-Arterial_Truck!AG14-Arterial_HOT!AG14</f>
        <v>0</v>
      </c>
      <c r="AH14" s="12">
        <f>VISUM_Arterial_OD!AH14-Arterial_Truck!AH14-Arterial_HOT!AH14</f>
        <v>0</v>
      </c>
      <c r="AI14" s="12">
        <f>VISUM_Arterial_OD!AI14-Arterial_Truck!AI14-Arterial_HOT!AI14</f>
        <v>0</v>
      </c>
      <c r="AJ14" s="12">
        <f>VISUM_Arterial_OD!AJ14-Arterial_Truck!AJ14-Arterial_HOT!AJ14</f>
        <v>0</v>
      </c>
      <c r="AK14" s="12">
        <f>VISUM_Arterial_OD!AK14-Arterial_Truck!AK14-Arterial_HOT!AK14</f>
        <v>0</v>
      </c>
      <c r="AL14" s="12">
        <f>VISUM_Arterial_OD!AL14-Arterial_Truck!AL14-Arterial_HOT!AL14</f>
        <v>0</v>
      </c>
      <c r="AM14" s="12">
        <f>VISUM_Arterial_OD!AM14-Arterial_Truck!AM14-Arterial_HOT!AM14</f>
        <v>0</v>
      </c>
      <c r="AN14" s="12">
        <f>VISUM_Arterial_OD!AN14-Arterial_Truck!AN14-Arterial_HOT!AN14</f>
        <v>0</v>
      </c>
      <c r="AO14" s="12">
        <f>VISUM_Arterial_OD!AO14-Arterial_Truck!AO14-Arterial_HOT!AO14</f>
        <v>0</v>
      </c>
      <c r="AP14" s="12">
        <f>VISUM_Arterial_OD!AP14-Arterial_Truck!AP14-Arterial_HOT!AP14</f>
        <v>0</v>
      </c>
      <c r="AQ14" s="12">
        <f>VISUM_Arterial_OD!AQ14-Arterial_Truck!AQ14-Arterial_HOT!AQ14</f>
        <v>0</v>
      </c>
      <c r="AR14" s="12">
        <f>VISUM_Arterial_OD!AR14-Arterial_Truck!AR14-Arterial_HOT!AR14</f>
        <v>0</v>
      </c>
      <c r="AS14" s="12">
        <f>VISUM_Arterial_OD!AS14-Arterial_Truck!AS14-Arterial_HOT!AS14</f>
        <v>0</v>
      </c>
      <c r="AT14" s="12">
        <f>VISUM_Arterial_OD!AT14-Arterial_Truck!AT14-Arterial_HOT!AT14</f>
        <v>0</v>
      </c>
      <c r="AU14" s="12">
        <f>VISUM_Arterial_OD!AU14-Arterial_Truck!AU14-Arterial_HOT!AU14</f>
        <v>0</v>
      </c>
      <c r="AV14" s="12">
        <f>VISUM_Arterial_OD!AV14-Arterial_Truck!AV14-Arterial_HOT!AV14</f>
        <v>0</v>
      </c>
      <c r="AW14" s="12">
        <f>VISUM_Arterial_OD!AW14-Arterial_Truck!AW14-Arterial_HOT!AW14</f>
        <v>0</v>
      </c>
      <c r="AX14" s="12">
        <f>VISUM_Arterial_OD!AX14-Arterial_Truck!AX14-Arterial_HOT!AX14</f>
        <v>0</v>
      </c>
      <c r="AY14" s="12">
        <f>VISUM_Arterial_OD!AY14-Arterial_Truck!AY14-Arterial_HOT!AY14</f>
        <v>0</v>
      </c>
      <c r="AZ14" s="12">
        <f>VISUM_Arterial_OD!AZ14-Arterial_Truck!AZ14-Arterial_HOT!AZ14</f>
        <v>0</v>
      </c>
      <c r="BA14" s="12">
        <f>VISUM_Arterial_OD!BA14-Arterial_Truck!BA14-Arterial_HOT!BA14</f>
        <v>0</v>
      </c>
      <c r="BB14" s="12">
        <f>VISUM_Arterial_OD!BB14-Arterial_Truck!BB14-Arterial_HOT!BB14</f>
        <v>0</v>
      </c>
      <c r="BC14" s="12">
        <f>VISUM_Arterial_OD!BC14-Arterial_Truck!BC14-Arterial_HOT!BC14</f>
        <v>0</v>
      </c>
      <c r="BD14" s="12">
        <f>VISUM_Arterial_OD!BD14-Arterial_Truck!BD14-Arterial_HOT!BD14</f>
        <v>0</v>
      </c>
      <c r="BE14" s="12">
        <f>VISUM_Arterial_OD!BE14-Arterial_Truck!BE14-Arterial_HOT!BE14</f>
        <v>0</v>
      </c>
      <c r="BF14" s="12">
        <f>VISUM_Arterial_OD!BF14-Arterial_Truck!BF14-Arterial_HOT!BF14</f>
        <v>0</v>
      </c>
      <c r="BG14" s="12">
        <f>VISUM_Arterial_OD!BG14-Arterial_Truck!BG14-Arterial_HOT!BG14</f>
        <v>592.21226669999999</v>
      </c>
      <c r="BH14" s="12">
        <f>VISUM_Arterial_OD!BH14-Arterial_Truck!BH14-Arterial_HOT!BH14</f>
        <v>24.251334719999999</v>
      </c>
      <c r="BI14" s="12">
        <f>VISUM_Arterial_OD!BI14-Arterial_Truck!BI14-Arterial_HOT!BI14</f>
        <v>0</v>
      </c>
      <c r="BJ14" s="12">
        <f>VISUM_Arterial_OD!BJ14-Arterial_Truck!BJ14-Arterial_HOT!BJ14</f>
        <v>0</v>
      </c>
      <c r="BK14" s="12">
        <f>VISUM_Arterial_OD!BK14-Arterial_Truck!BK14-Arterial_HOT!BK14</f>
        <v>0</v>
      </c>
      <c r="BL14" s="12">
        <f>VISUM_Arterial_OD!BL14-Arterial_Truck!BL14-Arterial_HOT!BL14</f>
        <v>0</v>
      </c>
      <c r="BM14" s="12">
        <f>VISUM_Arterial_OD!BM14-Arterial_Truck!BM14-Arterial_HOT!BM14</f>
        <v>0</v>
      </c>
      <c r="BN14" s="12">
        <f>VISUM_Arterial_OD!BN14-Arterial_Truck!BN14-Arterial_HOT!BN14</f>
        <v>0</v>
      </c>
      <c r="BO14" s="12">
        <f>VISUM_Arterial_OD!BO14-Arterial_Truck!BO14-Arterial_HOT!BO14</f>
        <v>0</v>
      </c>
      <c r="BP14" s="12">
        <f>VISUM_Arterial_OD!BP14-Arterial_Truck!BP14-Arterial_HOT!BP14</f>
        <v>0</v>
      </c>
      <c r="BQ14" s="12">
        <f>VISUM_Arterial_OD!BQ14-Arterial_Truck!BQ14-Arterial_HOT!BQ14</f>
        <v>0</v>
      </c>
    </row>
    <row r="15" spans="1:69" x14ac:dyDescent="0.25">
      <c r="A15" s="5">
        <f>IF(VLOOKUP(B15,Arterial_Zone_Link_Mapping!$A:$C,2,FALSE)&lt;&gt;"",VLOOKUP(B15,Arterial_Zone_Link_Mapping!$A:$C,2,FALSE),"")</f>
        <v>147</v>
      </c>
      <c r="B15" s="5">
        <v>26</v>
      </c>
      <c r="C15" s="12">
        <f>VISUM_Arterial_OD!C15-Arterial_Truck!C15-Arterial_HOT!C15</f>
        <v>121.91529778</v>
      </c>
      <c r="D15" s="12">
        <f>VISUM_Arterial_OD!D15-Arterial_Truck!D15-Arterial_HOT!D15</f>
        <v>223.09805321000002</v>
      </c>
      <c r="E15" s="12">
        <f>VISUM_Arterial_OD!E15-Arterial_Truck!E15-Arterial_HOT!E15</f>
        <v>0</v>
      </c>
      <c r="F15" s="12">
        <f>VISUM_Arterial_OD!F15-Arterial_Truck!F15-Arterial_HOT!F15</f>
        <v>0</v>
      </c>
      <c r="G15" s="12">
        <f>VISUM_Arterial_OD!G15-Arterial_Truck!G15-Arterial_HOT!G15</f>
        <v>0</v>
      </c>
      <c r="H15" s="12">
        <f>VISUM_Arterial_OD!H15-Arterial_Truck!H15-Arterial_HOT!H15</f>
        <v>0</v>
      </c>
      <c r="I15" s="12">
        <f>VISUM_Arterial_OD!I15-Arterial_Truck!I15-Arterial_HOT!I15</f>
        <v>0</v>
      </c>
      <c r="J15" s="12">
        <f>VISUM_Arterial_OD!J15-Arterial_Truck!J15-Arterial_HOT!J15</f>
        <v>218.24809492</v>
      </c>
      <c r="K15" s="12">
        <f>VISUM_Arterial_OD!K15-Arterial_Truck!K15-Arterial_HOT!K15</f>
        <v>29.157680079999999</v>
      </c>
      <c r="L15" s="12">
        <f>VISUM_Arterial_OD!L15-Arterial_Truck!L15-Arterial_HOT!L15</f>
        <v>155.12944414</v>
      </c>
      <c r="M15" s="12">
        <f>VISUM_Arterial_OD!M15-Arterial_Truck!M15-Arterial_HOT!M15</f>
        <v>0</v>
      </c>
      <c r="N15" s="12">
        <f>VISUM_Arterial_OD!N15-Arterial_Truck!N15-Arterial_HOT!N15</f>
        <v>0</v>
      </c>
      <c r="O15" s="12">
        <f>VISUM_Arterial_OD!O15-Arterial_Truck!O15-Arterial_HOT!O15</f>
        <v>0</v>
      </c>
      <c r="P15" s="12">
        <f>VISUM_Arterial_OD!P15-Arterial_Truck!P15-Arterial_HOT!P15</f>
        <v>23.342437929999999</v>
      </c>
      <c r="Q15" s="12">
        <f>VISUM_Arterial_OD!Q15-Arterial_Truck!Q15-Arterial_HOT!Q15</f>
        <v>0</v>
      </c>
      <c r="R15" s="12">
        <f>VISUM_Arterial_OD!R15-Arterial_Truck!R15-Arterial_HOT!R15</f>
        <v>0</v>
      </c>
      <c r="S15" s="12">
        <f>VISUM_Arterial_OD!S15-Arterial_Truck!S15-Arterial_HOT!S15</f>
        <v>59.057915529999995</v>
      </c>
      <c r="T15" s="12">
        <f>VISUM_Arterial_OD!T15-Arterial_Truck!T15-Arterial_HOT!T15</f>
        <v>0</v>
      </c>
      <c r="U15" s="12">
        <f>VISUM_Arterial_OD!U15-Arterial_Truck!U15-Arterial_HOT!U15</f>
        <v>0</v>
      </c>
      <c r="V15" s="12">
        <f>VISUM_Arterial_OD!V15-Arterial_Truck!V15-Arterial_HOT!V15</f>
        <v>0</v>
      </c>
      <c r="W15" s="12">
        <f>VISUM_Arterial_OD!W15-Arterial_Truck!W15-Arterial_HOT!W15</f>
        <v>0</v>
      </c>
      <c r="X15" s="12">
        <f>VISUM_Arterial_OD!X15-Arterial_Truck!X15-Arterial_HOT!X15</f>
        <v>0</v>
      </c>
      <c r="Y15" s="12">
        <f>VISUM_Arterial_OD!Y15-Arterial_Truck!Y15-Arterial_HOT!Y15</f>
        <v>0</v>
      </c>
      <c r="Z15" s="12">
        <f>VISUM_Arterial_OD!Z15-Arterial_Truck!Z15-Arterial_HOT!Z15</f>
        <v>170.80978513999997</v>
      </c>
      <c r="AA15" s="12">
        <f>VISUM_Arterial_OD!AA15-Arterial_Truck!AA15-Arterial_HOT!AA15</f>
        <v>0</v>
      </c>
      <c r="AB15" s="12">
        <f>VISUM_Arterial_OD!AB15-Arterial_Truck!AB15-Arterial_HOT!AB15</f>
        <v>199.52223910000001</v>
      </c>
      <c r="AC15" s="12">
        <f>VISUM_Arterial_OD!AC15-Arterial_Truck!AC15-Arterial_HOT!AC15</f>
        <v>16.68760743</v>
      </c>
      <c r="AD15" s="12">
        <f>VISUM_Arterial_OD!AD15-Arterial_Truck!AD15-Arterial_HOT!AD15</f>
        <v>0</v>
      </c>
      <c r="AE15" s="12">
        <f>VISUM_Arterial_OD!AE15-Arterial_Truck!AE15-Arterial_HOT!AE15</f>
        <v>0</v>
      </c>
      <c r="AF15" s="12">
        <f>VISUM_Arterial_OD!AF15-Arterial_Truck!AF15-Arterial_HOT!AF15</f>
        <v>346.56536554000002</v>
      </c>
      <c r="AG15" s="12">
        <f>VISUM_Arterial_OD!AG15-Arterial_Truck!AG15-Arterial_HOT!AG15</f>
        <v>0</v>
      </c>
      <c r="AH15" s="12">
        <f>VISUM_Arterial_OD!AH15-Arterial_Truck!AH15-Arterial_HOT!AH15</f>
        <v>0</v>
      </c>
      <c r="AI15" s="12">
        <f>VISUM_Arterial_OD!AI15-Arterial_Truck!AI15-Arterial_HOT!AI15</f>
        <v>0</v>
      </c>
      <c r="AJ15" s="12">
        <f>VISUM_Arterial_OD!AJ15-Arterial_Truck!AJ15-Arterial_HOT!AJ15</f>
        <v>481.66210099</v>
      </c>
      <c r="AK15" s="12">
        <f>VISUM_Arterial_OD!AK15-Arterial_Truck!AK15-Arterial_HOT!AK15</f>
        <v>0</v>
      </c>
      <c r="AL15" s="12">
        <f>VISUM_Arterial_OD!AL15-Arterial_Truck!AL15-Arterial_HOT!AL15</f>
        <v>0</v>
      </c>
      <c r="AM15" s="12">
        <f>VISUM_Arterial_OD!AM15-Arterial_Truck!AM15-Arterial_HOT!AM15</f>
        <v>0</v>
      </c>
      <c r="AN15" s="12">
        <f>VISUM_Arterial_OD!AN15-Arterial_Truck!AN15-Arterial_HOT!AN15</f>
        <v>0</v>
      </c>
      <c r="AO15" s="12">
        <f>VISUM_Arterial_OD!AO15-Arterial_Truck!AO15-Arterial_HOT!AO15</f>
        <v>0</v>
      </c>
      <c r="AP15" s="12">
        <f>VISUM_Arterial_OD!AP15-Arterial_Truck!AP15-Arterial_HOT!AP15</f>
        <v>0</v>
      </c>
      <c r="AQ15" s="12">
        <f>VISUM_Arterial_OD!AQ15-Arterial_Truck!AQ15-Arterial_HOT!AQ15</f>
        <v>0</v>
      </c>
      <c r="AR15" s="12">
        <f>VISUM_Arterial_OD!AR15-Arterial_Truck!AR15-Arterial_HOT!AR15</f>
        <v>0</v>
      </c>
      <c r="AS15" s="12">
        <f>VISUM_Arterial_OD!AS15-Arterial_Truck!AS15-Arterial_HOT!AS15</f>
        <v>0</v>
      </c>
      <c r="AT15" s="12">
        <f>VISUM_Arterial_OD!AT15-Arterial_Truck!AT15-Arterial_HOT!AT15</f>
        <v>0</v>
      </c>
      <c r="AU15" s="12">
        <f>VISUM_Arterial_OD!AU15-Arterial_Truck!AU15-Arterial_HOT!AU15</f>
        <v>0</v>
      </c>
      <c r="AV15" s="12">
        <f>VISUM_Arterial_OD!AV15-Arterial_Truck!AV15-Arterial_HOT!AV15</f>
        <v>0</v>
      </c>
      <c r="AW15" s="12">
        <f>VISUM_Arterial_OD!AW15-Arterial_Truck!AW15-Arterial_HOT!AW15</f>
        <v>0</v>
      </c>
      <c r="AX15" s="12">
        <f>VISUM_Arterial_OD!AX15-Arterial_Truck!AX15-Arterial_HOT!AX15</f>
        <v>108.67914047000001</v>
      </c>
      <c r="AY15" s="12">
        <f>VISUM_Arterial_OD!AY15-Arterial_Truck!AY15-Arterial_HOT!AY15</f>
        <v>0</v>
      </c>
      <c r="AZ15" s="12">
        <f>VISUM_Arterial_OD!AZ15-Arterial_Truck!AZ15-Arterial_HOT!AZ15</f>
        <v>0</v>
      </c>
      <c r="BA15" s="12">
        <f>VISUM_Arterial_OD!BA15-Arterial_Truck!BA15-Arterial_HOT!BA15</f>
        <v>0</v>
      </c>
      <c r="BB15" s="12">
        <f>VISUM_Arterial_OD!BB15-Arterial_Truck!BB15-Arterial_HOT!BB15</f>
        <v>0</v>
      </c>
      <c r="BC15" s="12">
        <f>VISUM_Arterial_OD!BC15-Arterial_Truck!BC15-Arterial_HOT!BC15</f>
        <v>0</v>
      </c>
      <c r="BD15" s="12">
        <f>VISUM_Arterial_OD!BD15-Arterial_Truck!BD15-Arterial_HOT!BD15</f>
        <v>0</v>
      </c>
      <c r="BE15" s="12">
        <f>VISUM_Arterial_OD!BE15-Arterial_Truck!BE15-Arterial_HOT!BE15</f>
        <v>0</v>
      </c>
      <c r="BF15" s="12">
        <f>VISUM_Arterial_OD!BF15-Arterial_Truck!BF15-Arterial_HOT!BF15</f>
        <v>0</v>
      </c>
      <c r="BG15" s="12">
        <f>VISUM_Arterial_OD!BG15-Arterial_Truck!BG15-Arterial_HOT!BG15</f>
        <v>0</v>
      </c>
      <c r="BH15" s="12">
        <f>VISUM_Arterial_OD!BH15-Arterial_Truck!BH15-Arterial_HOT!BH15</f>
        <v>0</v>
      </c>
      <c r="BI15" s="12">
        <f>VISUM_Arterial_OD!BI15-Arterial_Truck!BI15-Arterial_HOT!BI15</f>
        <v>0</v>
      </c>
      <c r="BJ15" s="12">
        <f>VISUM_Arterial_OD!BJ15-Arterial_Truck!BJ15-Arterial_HOT!BJ15</f>
        <v>0</v>
      </c>
      <c r="BK15" s="12">
        <f>VISUM_Arterial_OD!BK15-Arterial_Truck!BK15-Arterial_HOT!BK15</f>
        <v>0</v>
      </c>
      <c r="BL15" s="12">
        <f>VISUM_Arterial_OD!BL15-Arterial_Truck!BL15-Arterial_HOT!BL15</f>
        <v>0</v>
      </c>
      <c r="BM15" s="12">
        <f>VISUM_Arterial_OD!BM15-Arterial_Truck!BM15-Arterial_HOT!BM15</f>
        <v>0</v>
      </c>
      <c r="BN15" s="12">
        <f>VISUM_Arterial_OD!BN15-Arterial_Truck!BN15-Arterial_HOT!BN15</f>
        <v>0</v>
      </c>
      <c r="BO15" s="12">
        <f>VISUM_Arterial_OD!BO15-Arterial_Truck!BO15-Arterial_HOT!BO15</f>
        <v>78.173025559999999</v>
      </c>
      <c r="BP15" s="12">
        <f>VISUM_Arterial_OD!BP15-Arterial_Truck!BP15-Arterial_HOT!BP15</f>
        <v>61.994314080000002</v>
      </c>
      <c r="BQ15" s="12">
        <f>VISUM_Arterial_OD!BQ15-Arterial_Truck!BQ15-Arterial_HOT!BQ15</f>
        <v>0</v>
      </c>
    </row>
    <row r="16" spans="1:69" x14ac:dyDescent="0.25">
      <c r="A16" s="5">
        <f>IF(VLOOKUP(B16,Arterial_Zone_Link_Mapping!$A:$C,2,FALSE)&lt;&gt;"",VLOOKUP(B16,Arterial_Zone_Link_Mapping!$A:$C,2,FALSE),"")</f>
        <v>91</v>
      </c>
      <c r="B16" s="5">
        <v>27</v>
      </c>
      <c r="C16" s="12">
        <f>VISUM_Arterial_OD!C16-Arterial_Truck!C16-Arterial_HOT!C16</f>
        <v>9.6635794100000005</v>
      </c>
      <c r="D16" s="12">
        <f>VISUM_Arterial_OD!D16-Arterial_Truck!D16-Arterial_HOT!D16</f>
        <v>0.59378744000000006</v>
      </c>
      <c r="E16" s="12">
        <f>VISUM_Arterial_OD!E16-Arterial_Truck!E16-Arterial_HOT!E16</f>
        <v>0</v>
      </c>
      <c r="F16" s="12">
        <f>VISUM_Arterial_OD!F16-Arterial_Truck!F16-Arterial_HOT!F16</f>
        <v>0</v>
      </c>
      <c r="G16" s="12">
        <f>VISUM_Arterial_OD!G16-Arterial_Truck!G16-Arterial_HOT!G16</f>
        <v>0</v>
      </c>
      <c r="H16" s="12">
        <f>VISUM_Arterial_OD!H16-Arterial_Truck!H16-Arterial_HOT!H16</f>
        <v>0</v>
      </c>
      <c r="I16" s="12">
        <f>VISUM_Arterial_OD!I16-Arterial_Truck!I16-Arterial_HOT!I16</f>
        <v>0</v>
      </c>
      <c r="J16" s="12">
        <f>VISUM_Arterial_OD!J16-Arterial_Truck!J16-Arterial_HOT!J16</f>
        <v>3.7935807600000002</v>
      </c>
      <c r="K16" s="12">
        <f>VISUM_Arterial_OD!K16-Arterial_Truck!K16-Arterial_HOT!K16</f>
        <v>223.25134521999999</v>
      </c>
      <c r="L16" s="12">
        <f>VISUM_Arterial_OD!L16-Arterial_Truck!L16-Arterial_HOT!L16</f>
        <v>280.07113513000002</v>
      </c>
      <c r="M16" s="12">
        <f>VISUM_Arterial_OD!M16-Arterial_Truck!M16-Arterial_HOT!M16</f>
        <v>0</v>
      </c>
      <c r="N16" s="12">
        <f>VISUM_Arterial_OD!N16-Arterial_Truck!N16-Arterial_HOT!N16</f>
        <v>0</v>
      </c>
      <c r="O16" s="12">
        <f>VISUM_Arterial_OD!O16-Arterial_Truck!O16-Arterial_HOT!O16</f>
        <v>3.9844185600000004</v>
      </c>
      <c r="P16" s="12">
        <f>VISUM_Arterial_OD!P16-Arterial_Truck!P16-Arterial_HOT!P16</f>
        <v>0</v>
      </c>
      <c r="Q16" s="12">
        <f>VISUM_Arterial_OD!Q16-Arterial_Truck!Q16-Arterial_HOT!Q16</f>
        <v>0</v>
      </c>
      <c r="R16" s="12">
        <f>VISUM_Arterial_OD!R16-Arterial_Truck!R16-Arterial_HOT!R16</f>
        <v>0</v>
      </c>
      <c r="S16" s="12">
        <f>VISUM_Arterial_OD!S16-Arterial_Truck!S16-Arterial_HOT!S16</f>
        <v>11.418171670000001</v>
      </c>
      <c r="T16" s="12">
        <f>VISUM_Arterial_OD!T16-Arterial_Truck!T16-Arterial_HOT!T16</f>
        <v>0</v>
      </c>
      <c r="U16" s="12">
        <f>VISUM_Arterial_OD!U16-Arterial_Truck!U16-Arterial_HOT!U16</f>
        <v>0</v>
      </c>
      <c r="V16" s="12">
        <f>VISUM_Arterial_OD!V16-Arterial_Truck!V16-Arterial_HOT!V16</f>
        <v>0</v>
      </c>
      <c r="W16" s="12">
        <f>VISUM_Arterial_OD!W16-Arterial_Truck!W16-Arterial_HOT!W16</f>
        <v>0</v>
      </c>
      <c r="X16" s="12">
        <f>VISUM_Arterial_OD!X16-Arterial_Truck!X16-Arterial_HOT!X16</f>
        <v>0</v>
      </c>
      <c r="Y16" s="12">
        <f>VISUM_Arterial_OD!Y16-Arterial_Truck!Y16-Arterial_HOT!Y16</f>
        <v>0</v>
      </c>
      <c r="Z16" s="12">
        <f>VISUM_Arterial_OD!Z16-Arterial_Truck!Z16-Arterial_HOT!Z16</f>
        <v>5.1745329</v>
      </c>
      <c r="AA16" s="12">
        <f>VISUM_Arterial_OD!AA16-Arterial_Truck!AA16-Arterial_HOT!AA16</f>
        <v>0</v>
      </c>
      <c r="AB16" s="12">
        <f>VISUM_Arterial_OD!AB16-Arterial_Truck!AB16-Arterial_HOT!AB16</f>
        <v>2.0373268900000001</v>
      </c>
      <c r="AC16" s="12">
        <f>VISUM_Arterial_OD!AC16-Arterial_Truck!AC16-Arterial_HOT!AC16</f>
        <v>48.499577080000002</v>
      </c>
      <c r="AD16" s="12">
        <f>VISUM_Arterial_OD!AD16-Arterial_Truck!AD16-Arterial_HOT!AD16</f>
        <v>0</v>
      </c>
      <c r="AE16" s="12">
        <f>VISUM_Arterial_OD!AE16-Arterial_Truck!AE16-Arterial_HOT!AE16</f>
        <v>0</v>
      </c>
      <c r="AF16" s="12">
        <f>VISUM_Arterial_OD!AF16-Arterial_Truck!AF16-Arterial_HOT!AF16</f>
        <v>0</v>
      </c>
      <c r="AG16" s="12">
        <f>VISUM_Arterial_OD!AG16-Arterial_Truck!AG16-Arterial_HOT!AG16</f>
        <v>0</v>
      </c>
      <c r="AH16" s="12">
        <f>VISUM_Arterial_OD!AH16-Arterial_Truck!AH16-Arterial_HOT!AH16</f>
        <v>0</v>
      </c>
      <c r="AI16" s="12">
        <f>VISUM_Arterial_OD!AI16-Arterial_Truck!AI16-Arterial_HOT!AI16</f>
        <v>0</v>
      </c>
      <c r="AJ16" s="12">
        <f>VISUM_Arterial_OD!AJ16-Arterial_Truck!AJ16-Arterial_HOT!AJ16</f>
        <v>0</v>
      </c>
      <c r="AK16" s="12">
        <f>VISUM_Arterial_OD!AK16-Arterial_Truck!AK16-Arterial_HOT!AK16</f>
        <v>0</v>
      </c>
      <c r="AL16" s="12">
        <f>VISUM_Arterial_OD!AL16-Arterial_Truck!AL16-Arterial_HOT!AL16</f>
        <v>9.05750207</v>
      </c>
      <c r="AM16" s="12">
        <f>VISUM_Arterial_OD!AM16-Arterial_Truck!AM16-Arterial_HOT!AM16</f>
        <v>0</v>
      </c>
      <c r="AN16" s="12">
        <f>VISUM_Arterial_OD!AN16-Arterial_Truck!AN16-Arterial_HOT!AN16</f>
        <v>0</v>
      </c>
      <c r="AO16" s="12">
        <f>VISUM_Arterial_OD!AO16-Arterial_Truck!AO16-Arterial_HOT!AO16</f>
        <v>0</v>
      </c>
      <c r="AP16" s="12">
        <f>VISUM_Arterial_OD!AP16-Arterial_Truck!AP16-Arterial_HOT!AP16</f>
        <v>0</v>
      </c>
      <c r="AQ16" s="12">
        <f>VISUM_Arterial_OD!AQ16-Arterial_Truck!AQ16-Arterial_HOT!AQ16</f>
        <v>0</v>
      </c>
      <c r="AR16" s="12">
        <f>VISUM_Arterial_OD!AR16-Arterial_Truck!AR16-Arterial_HOT!AR16</f>
        <v>0</v>
      </c>
      <c r="AS16" s="12">
        <f>VISUM_Arterial_OD!AS16-Arterial_Truck!AS16-Arterial_HOT!AS16</f>
        <v>20.682049970000001</v>
      </c>
      <c r="AT16" s="12">
        <f>VISUM_Arterial_OD!AT16-Arterial_Truck!AT16-Arterial_HOT!AT16</f>
        <v>0</v>
      </c>
      <c r="AU16" s="12">
        <f>VISUM_Arterial_OD!AU16-Arterial_Truck!AU16-Arterial_HOT!AU16</f>
        <v>11.457953309999999</v>
      </c>
      <c r="AV16" s="12">
        <f>VISUM_Arterial_OD!AV16-Arterial_Truck!AV16-Arterial_HOT!AV16</f>
        <v>0</v>
      </c>
      <c r="AW16" s="12">
        <f>VISUM_Arterial_OD!AW16-Arterial_Truck!AW16-Arterial_HOT!AW16</f>
        <v>0</v>
      </c>
      <c r="AX16" s="12">
        <f>VISUM_Arterial_OD!AX16-Arterial_Truck!AX16-Arterial_HOT!AX16</f>
        <v>0</v>
      </c>
      <c r="AY16" s="12">
        <f>VISUM_Arterial_OD!AY16-Arterial_Truck!AY16-Arterial_HOT!AY16</f>
        <v>0</v>
      </c>
      <c r="AZ16" s="12">
        <f>VISUM_Arterial_OD!AZ16-Arterial_Truck!AZ16-Arterial_HOT!AZ16</f>
        <v>0</v>
      </c>
      <c r="BA16" s="12">
        <f>VISUM_Arterial_OD!BA16-Arterial_Truck!BA16-Arterial_HOT!BA16</f>
        <v>0</v>
      </c>
      <c r="BB16" s="12">
        <f>VISUM_Arterial_OD!BB16-Arterial_Truck!BB16-Arterial_HOT!BB16</f>
        <v>0</v>
      </c>
      <c r="BC16" s="12">
        <f>VISUM_Arterial_OD!BC16-Arterial_Truck!BC16-Arterial_HOT!BC16</f>
        <v>0</v>
      </c>
      <c r="BD16" s="12">
        <f>VISUM_Arterial_OD!BD16-Arterial_Truck!BD16-Arterial_HOT!BD16</f>
        <v>0</v>
      </c>
      <c r="BE16" s="12">
        <f>VISUM_Arterial_OD!BE16-Arterial_Truck!BE16-Arterial_HOT!BE16</f>
        <v>0</v>
      </c>
      <c r="BF16" s="12">
        <f>VISUM_Arterial_OD!BF16-Arterial_Truck!BF16-Arterial_HOT!BF16</f>
        <v>0</v>
      </c>
      <c r="BG16" s="12">
        <f>VISUM_Arterial_OD!BG16-Arterial_Truck!BG16-Arterial_HOT!BG16</f>
        <v>0</v>
      </c>
      <c r="BH16" s="12">
        <f>VISUM_Arterial_OD!BH16-Arterial_Truck!BH16-Arterial_HOT!BH16</f>
        <v>0</v>
      </c>
      <c r="BI16" s="12">
        <f>VISUM_Arterial_OD!BI16-Arterial_Truck!BI16-Arterial_HOT!BI16</f>
        <v>0</v>
      </c>
      <c r="BJ16" s="12">
        <f>VISUM_Arterial_OD!BJ16-Arterial_Truck!BJ16-Arterial_HOT!BJ16</f>
        <v>0</v>
      </c>
      <c r="BK16" s="12">
        <f>VISUM_Arterial_OD!BK16-Arterial_Truck!BK16-Arterial_HOT!BK16</f>
        <v>0</v>
      </c>
      <c r="BL16" s="12">
        <f>VISUM_Arterial_OD!BL16-Arterial_Truck!BL16-Arterial_HOT!BL16</f>
        <v>0</v>
      </c>
      <c r="BM16" s="12">
        <f>VISUM_Arterial_OD!BM16-Arterial_Truck!BM16-Arterial_HOT!BM16</f>
        <v>0</v>
      </c>
      <c r="BN16" s="12">
        <f>VISUM_Arterial_OD!BN16-Arterial_Truck!BN16-Arterial_HOT!BN16</f>
        <v>0</v>
      </c>
      <c r="BO16" s="12">
        <f>VISUM_Arterial_OD!BO16-Arterial_Truck!BO16-Arterial_HOT!BO16</f>
        <v>20.25557104</v>
      </c>
      <c r="BP16" s="12">
        <f>VISUM_Arterial_OD!BP16-Arterial_Truck!BP16-Arterial_HOT!BP16</f>
        <v>0</v>
      </c>
      <c r="BQ16" s="12">
        <f>VISUM_Arterial_OD!BQ16-Arterial_Truck!BQ16-Arterial_HOT!BQ16</f>
        <v>9.6573859600000009</v>
      </c>
    </row>
    <row r="17" spans="1:69" x14ac:dyDescent="0.25">
      <c r="A17" s="5" t="str">
        <f>IF(VLOOKUP(B17,Arterial_Zone_Link_Mapping!$A:$C,2,FALSE)&lt;&gt;"",VLOOKUP(B17,Arterial_Zone_Link_Mapping!$A:$C,2,FALSE),"")</f>
        <v/>
      </c>
      <c r="B17" s="5">
        <v>34</v>
      </c>
      <c r="C17" s="12">
        <f>VISUM_Arterial_OD!C17-Arterial_Truck!C17-Arterial_HOT!C17</f>
        <v>0</v>
      </c>
      <c r="D17" s="12">
        <f>VISUM_Arterial_OD!D17-Arterial_Truck!D17-Arterial_HOT!D17</f>
        <v>0</v>
      </c>
      <c r="E17" s="12">
        <f>VISUM_Arterial_OD!E17-Arterial_Truck!E17-Arterial_HOT!E17</f>
        <v>0</v>
      </c>
      <c r="F17" s="12">
        <f>VISUM_Arterial_OD!F17-Arterial_Truck!F17-Arterial_HOT!F17</f>
        <v>0</v>
      </c>
      <c r="G17" s="12">
        <f>VISUM_Arterial_OD!G17-Arterial_Truck!G17-Arterial_HOT!G17</f>
        <v>0</v>
      </c>
      <c r="H17" s="12">
        <f>VISUM_Arterial_OD!H17-Arterial_Truck!H17-Arterial_HOT!H17</f>
        <v>0</v>
      </c>
      <c r="I17" s="12">
        <f>VISUM_Arterial_OD!I17-Arterial_Truck!I17-Arterial_HOT!I17</f>
        <v>0</v>
      </c>
      <c r="J17" s="12">
        <f>VISUM_Arterial_OD!J17-Arterial_Truck!J17-Arterial_HOT!J17</f>
        <v>0</v>
      </c>
      <c r="K17" s="12">
        <f>VISUM_Arterial_OD!K17-Arterial_Truck!K17-Arterial_HOT!K17</f>
        <v>0</v>
      </c>
      <c r="L17" s="12">
        <f>VISUM_Arterial_OD!L17-Arterial_Truck!L17-Arterial_HOT!L17</f>
        <v>0</v>
      </c>
      <c r="M17" s="12">
        <f>VISUM_Arterial_OD!M17-Arterial_Truck!M17-Arterial_HOT!M17</f>
        <v>0</v>
      </c>
      <c r="N17" s="12">
        <f>VISUM_Arterial_OD!N17-Arterial_Truck!N17-Arterial_HOT!N17</f>
        <v>0</v>
      </c>
      <c r="O17" s="12">
        <f>VISUM_Arterial_OD!O17-Arterial_Truck!O17-Arterial_HOT!O17</f>
        <v>0</v>
      </c>
      <c r="P17" s="12">
        <f>VISUM_Arterial_OD!P17-Arterial_Truck!P17-Arterial_HOT!P17</f>
        <v>0</v>
      </c>
      <c r="Q17" s="12">
        <f>VISUM_Arterial_OD!Q17-Arterial_Truck!Q17-Arterial_HOT!Q17</f>
        <v>0</v>
      </c>
      <c r="R17" s="12">
        <f>VISUM_Arterial_OD!R17-Arterial_Truck!R17-Arterial_HOT!R17</f>
        <v>0</v>
      </c>
      <c r="S17" s="12">
        <f>VISUM_Arterial_OD!S17-Arterial_Truck!S17-Arterial_HOT!S17</f>
        <v>0</v>
      </c>
      <c r="T17" s="12">
        <f>VISUM_Arterial_OD!T17-Arterial_Truck!T17-Arterial_HOT!T17</f>
        <v>0</v>
      </c>
      <c r="U17" s="12">
        <f>VISUM_Arterial_OD!U17-Arterial_Truck!U17-Arterial_HOT!U17</f>
        <v>0</v>
      </c>
      <c r="V17" s="12">
        <f>VISUM_Arterial_OD!V17-Arterial_Truck!V17-Arterial_HOT!V17</f>
        <v>0</v>
      </c>
      <c r="W17" s="12">
        <f>VISUM_Arterial_OD!W17-Arterial_Truck!W17-Arterial_HOT!W17</f>
        <v>0</v>
      </c>
      <c r="X17" s="12">
        <f>VISUM_Arterial_OD!X17-Arterial_Truck!X17-Arterial_HOT!X17</f>
        <v>0</v>
      </c>
      <c r="Y17" s="12">
        <f>VISUM_Arterial_OD!Y17-Arterial_Truck!Y17-Arterial_HOT!Y17</f>
        <v>0</v>
      </c>
      <c r="Z17" s="12">
        <f>VISUM_Arterial_OD!Z17-Arterial_Truck!Z17-Arterial_HOT!Z17</f>
        <v>0</v>
      </c>
      <c r="AA17" s="12">
        <f>VISUM_Arterial_OD!AA17-Arterial_Truck!AA17-Arterial_HOT!AA17</f>
        <v>0</v>
      </c>
      <c r="AB17" s="12">
        <f>VISUM_Arterial_OD!AB17-Arterial_Truck!AB17-Arterial_HOT!AB17</f>
        <v>0</v>
      </c>
      <c r="AC17" s="12">
        <f>VISUM_Arterial_OD!AC17-Arterial_Truck!AC17-Arterial_HOT!AC17</f>
        <v>0</v>
      </c>
      <c r="AD17" s="12">
        <f>VISUM_Arterial_OD!AD17-Arterial_Truck!AD17-Arterial_HOT!AD17</f>
        <v>0</v>
      </c>
      <c r="AE17" s="12">
        <f>VISUM_Arterial_OD!AE17-Arterial_Truck!AE17-Arterial_HOT!AE17</f>
        <v>0</v>
      </c>
      <c r="AF17" s="12">
        <f>VISUM_Arterial_OD!AF17-Arterial_Truck!AF17-Arterial_HOT!AF17</f>
        <v>0</v>
      </c>
      <c r="AG17" s="12">
        <f>VISUM_Arterial_OD!AG17-Arterial_Truck!AG17-Arterial_HOT!AG17</f>
        <v>0</v>
      </c>
      <c r="AH17" s="12">
        <f>VISUM_Arterial_OD!AH17-Arterial_Truck!AH17-Arterial_HOT!AH17</f>
        <v>0</v>
      </c>
      <c r="AI17" s="12">
        <f>VISUM_Arterial_OD!AI17-Arterial_Truck!AI17-Arterial_HOT!AI17</f>
        <v>0</v>
      </c>
      <c r="AJ17" s="12">
        <f>VISUM_Arterial_OD!AJ17-Arterial_Truck!AJ17-Arterial_HOT!AJ17</f>
        <v>0</v>
      </c>
      <c r="AK17" s="12">
        <f>VISUM_Arterial_OD!AK17-Arterial_Truck!AK17-Arterial_HOT!AK17</f>
        <v>0</v>
      </c>
      <c r="AL17" s="12">
        <f>VISUM_Arterial_OD!AL17-Arterial_Truck!AL17-Arterial_HOT!AL17</f>
        <v>0</v>
      </c>
      <c r="AM17" s="12">
        <f>VISUM_Arterial_OD!AM17-Arterial_Truck!AM17-Arterial_HOT!AM17</f>
        <v>0</v>
      </c>
      <c r="AN17" s="12">
        <f>VISUM_Arterial_OD!AN17-Arterial_Truck!AN17-Arterial_HOT!AN17</f>
        <v>0</v>
      </c>
      <c r="AO17" s="12">
        <f>VISUM_Arterial_OD!AO17-Arterial_Truck!AO17-Arterial_HOT!AO17</f>
        <v>0</v>
      </c>
      <c r="AP17" s="12">
        <f>VISUM_Arterial_OD!AP17-Arterial_Truck!AP17-Arterial_HOT!AP17</f>
        <v>0</v>
      </c>
      <c r="AQ17" s="12">
        <f>VISUM_Arterial_OD!AQ17-Arterial_Truck!AQ17-Arterial_HOT!AQ17</f>
        <v>0</v>
      </c>
      <c r="AR17" s="12">
        <f>VISUM_Arterial_OD!AR17-Arterial_Truck!AR17-Arterial_HOT!AR17</f>
        <v>0</v>
      </c>
      <c r="AS17" s="12">
        <f>VISUM_Arterial_OD!AS17-Arterial_Truck!AS17-Arterial_HOT!AS17</f>
        <v>0</v>
      </c>
      <c r="AT17" s="12">
        <f>VISUM_Arterial_OD!AT17-Arterial_Truck!AT17-Arterial_HOT!AT17</f>
        <v>0</v>
      </c>
      <c r="AU17" s="12">
        <f>VISUM_Arterial_OD!AU17-Arterial_Truck!AU17-Arterial_HOT!AU17</f>
        <v>0</v>
      </c>
      <c r="AV17" s="12">
        <f>VISUM_Arterial_OD!AV17-Arterial_Truck!AV17-Arterial_HOT!AV17</f>
        <v>0</v>
      </c>
      <c r="AW17" s="12">
        <f>VISUM_Arterial_OD!AW17-Arterial_Truck!AW17-Arterial_HOT!AW17</f>
        <v>0</v>
      </c>
      <c r="AX17" s="12">
        <f>VISUM_Arterial_OD!AX17-Arterial_Truck!AX17-Arterial_HOT!AX17</f>
        <v>0</v>
      </c>
      <c r="AY17" s="12">
        <f>VISUM_Arterial_OD!AY17-Arterial_Truck!AY17-Arterial_HOT!AY17</f>
        <v>0</v>
      </c>
      <c r="AZ17" s="12">
        <f>VISUM_Arterial_OD!AZ17-Arterial_Truck!AZ17-Arterial_HOT!AZ17</f>
        <v>0</v>
      </c>
      <c r="BA17" s="12">
        <f>VISUM_Arterial_OD!BA17-Arterial_Truck!BA17-Arterial_HOT!BA17</f>
        <v>0</v>
      </c>
      <c r="BB17" s="12">
        <f>VISUM_Arterial_OD!BB17-Arterial_Truck!BB17-Arterial_HOT!BB17</f>
        <v>0</v>
      </c>
      <c r="BC17" s="12">
        <f>VISUM_Arterial_OD!BC17-Arterial_Truck!BC17-Arterial_HOT!BC17</f>
        <v>0</v>
      </c>
      <c r="BD17" s="12">
        <f>VISUM_Arterial_OD!BD17-Arterial_Truck!BD17-Arterial_HOT!BD17</f>
        <v>0</v>
      </c>
      <c r="BE17" s="12">
        <f>VISUM_Arterial_OD!BE17-Arterial_Truck!BE17-Arterial_HOT!BE17</f>
        <v>0</v>
      </c>
      <c r="BF17" s="12">
        <f>VISUM_Arterial_OD!BF17-Arterial_Truck!BF17-Arterial_HOT!BF17</f>
        <v>0</v>
      </c>
      <c r="BG17" s="12">
        <f>VISUM_Arterial_OD!BG17-Arterial_Truck!BG17-Arterial_HOT!BG17</f>
        <v>0</v>
      </c>
      <c r="BH17" s="12">
        <f>VISUM_Arterial_OD!BH17-Arterial_Truck!BH17-Arterial_HOT!BH17</f>
        <v>0</v>
      </c>
      <c r="BI17" s="12">
        <f>VISUM_Arterial_OD!BI17-Arterial_Truck!BI17-Arterial_HOT!BI17</f>
        <v>0</v>
      </c>
      <c r="BJ17" s="12">
        <f>VISUM_Arterial_OD!BJ17-Arterial_Truck!BJ17-Arterial_HOT!BJ17</f>
        <v>0</v>
      </c>
      <c r="BK17" s="12">
        <f>VISUM_Arterial_OD!BK17-Arterial_Truck!BK17-Arterial_HOT!BK17</f>
        <v>0</v>
      </c>
      <c r="BL17" s="12">
        <f>VISUM_Arterial_OD!BL17-Arterial_Truck!BL17-Arterial_HOT!BL17</f>
        <v>0</v>
      </c>
      <c r="BM17" s="12">
        <f>VISUM_Arterial_OD!BM17-Arterial_Truck!BM17-Arterial_HOT!BM17</f>
        <v>0</v>
      </c>
      <c r="BN17" s="12">
        <f>VISUM_Arterial_OD!BN17-Arterial_Truck!BN17-Arterial_HOT!BN17</f>
        <v>0</v>
      </c>
      <c r="BO17" s="12">
        <f>VISUM_Arterial_OD!BO17-Arterial_Truck!BO17-Arterial_HOT!BO17</f>
        <v>0</v>
      </c>
      <c r="BP17" s="12">
        <f>VISUM_Arterial_OD!BP17-Arterial_Truck!BP17-Arterial_HOT!BP17</f>
        <v>0</v>
      </c>
      <c r="BQ17" s="12">
        <f>VISUM_Arterial_OD!BQ17-Arterial_Truck!BQ17-Arterial_HOT!BQ17</f>
        <v>0</v>
      </c>
    </row>
    <row r="18" spans="1:69" x14ac:dyDescent="0.25">
      <c r="A18" s="5">
        <f>IF(VLOOKUP(B18,Arterial_Zone_Link_Mapping!$A:$C,2,FALSE)&lt;&gt;"",VLOOKUP(B18,Arterial_Zone_Link_Mapping!$A:$C,2,FALSE),"")</f>
        <v>205</v>
      </c>
      <c r="B18" s="5">
        <v>38</v>
      </c>
      <c r="C18" s="12">
        <f>VISUM_Arterial_OD!C18-Arterial_Truck!C18-Arterial_HOT!C18</f>
        <v>0</v>
      </c>
      <c r="D18" s="12">
        <f>VISUM_Arterial_OD!D18-Arterial_Truck!D18-Arterial_HOT!D18</f>
        <v>0</v>
      </c>
      <c r="E18" s="12">
        <f>VISUM_Arterial_OD!E18-Arterial_Truck!E18-Arterial_HOT!E18</f>
        <v>0</v>
      </c>
      <c r="F18" s="12">
        <f>VISUM_Arterial_OD!F18-Arterial_Truck!F18-Arterial_HOT!F18</f>
        <v>0</v>
      </c>
      <c r="G18" s="12">
        <f>VISUM_Arterial_OD!G18-Arterial_Truck!G18-Arterial_HOT!G18</f>
        <v>0</v>
      </c>
      <c r="H18" s="12">
        <f>VISUM_Arterial_OD!H18-Arterial_Truck!H18-Arterial_HOT!H18</f>
        <v>0</v>
      </c>
      <c r="I18" s="12">
        <f>VISUM_Arterial_OD!I18-Arterial_Truck!I18-Arterial_HOT!I18</f>
        <v>0</v>
      </c>
      <c r="J18" s="12">
        <f>VISUM_Arterial_OD!J18-Arterial_Truck!J18-Arterial_HOT!J18</f>
        <v>0</v>
      </c>
      <c r="K18" s="12">
        <f>VISUM_Arterial_OD!K18-Arterial_Truck!K18-Arterial_HOT!K18</f>
        <v>0</v>
      </c>
      <c r="L18" s="12">
        <f>VISUM_Arterial_OD!L18-Arterial_Truck!L18-Arterial_HOT!L18</f>
        <v>0</v>
      </c>
      <c r="M18" s="12">
        <f>VISUM_Arterial_OD!M18-Arterial_Truck!M18-Arterial_HOT!M18</f>
        <v>0</v>
      </c>
      <c r="N18" s="12">
        <f>VISUM_Arterial_OD!N18-Arterial_Truck!N18-Arterial_HOT!N18</f>
        <v>0</v>
      </c>
      <c r="O18" s="12">
        <f>VISUM_Arterial_OD!O18-Arterial_Truck!O18-Arterial_HOT!O18</f>
        <v>0</v>
      </c>
      <c r="P18" s="12">
        <f>VISUM_Arterial_OD!P18-Arterial_Truck!P18-Arterial_HOT!P18</f>
        <v>0</v>
      </c>
      <c r="Q18" s="12">
        <f>VISUM_Arterial_OD!Q18-Arterial_Truck!Q18-Arterial_HOT!Q18</f>
        <v>0</v>
      </c>
      <c r="R18" s="12">
        <f>VISUM_Arterial_OD!R18-Arterial_Truck!R18-Arterial_HOT!R18</f>
        <v>0</v>
      </c>
      <c r="S18" s="12">
        <f>VISUM_Arterial_OD!S18-Arterial_Truck!S18-Arterial_HOT!S18</f>
        <v>0</v>
      </c>
      <c r="T18" s="12">
        <f>VISUM_Arterial_OD!T18-Arterial_Truck!T18-Arterial_HOT!T18</f>
        <v>198.84826466999999</v>
      </c>
      <c r="U18" s="12">
        <f>VISUM_Arterial_OD!U18-Arterial_Truck!U18-Arterial_HOT!U18</f>
        <v>0</v>
      </c>
      <c r="V18" s="12">
        <f>VISUM_Arterial_OD!V18-Arterial_Truck!V18-Arterial_HOT!V18</f>
        <v>0</v>
      </c>
      <c r="W18" s="12">
        <f>VISUM_Arterial_OD!W18-Arterial_Truck!W18-Arterial_HOT!W18</f>
        <v>0</v>
      </c>
      <c r="X18" s="12">
        <f>VISUM_Arterial_OD!X18-Arterial_Truck!X18-Arterial_HOT!X18</f>
        <v>0</v>
      </c>
      <c r="Y18" s="12">
        <f>VISUM_Arterial_OD!Y18-Arterial_Truck!Y18-Arterial_HOT!Y18</f>
        <v>0</v>
      </c>
      <c r="Z18" s="12">
        <f>VISUM_Arterial_OD!Z18-Arterial_Truck!Z18-Arterial_HOT!Z18</f>
        <v>0</v>
      </c>
      <c r="AA18" s="12">
        <f>VISUM_Arterial_OD!AA18-Arterial_Truck!AA18-Arterial_HOT!AA18</f>
        <v>0</v>
      </c>
      <c r="AB18" s="12">
        <f>VISUM_Arterial_OD!AB18-Arterial_Truck!AB18-Arterial_HOT!AB18</f>
        <v>0</v>
      </c>
      <c r="AC18" s="12">
        <f>VISUM_Arterial_OD!AC18-Arterial_Truck!AC18-Arterial_HOT!AC18</f>
        <v>0</v>
      </c>
      <c r="AD18" s="12">
        <f>VISUM_Arterial_OD!AD18-Arterial_Truck!AD18-Arterial_HOT!AD18</f>
        <v>0</v>
      </c>
      <c r="AE18" s="12">
        <f>VISUM_Arterial_OD!AE18-Arterial_Truck!AE18-Arterial_HOT!AE18</f>
        <v>0</v>
      </c>
      <c r="AF18" s="12">
        <f>VISUM_Arterial_OD!AF18-Arterial_Truck!AF18-Arterial_HOT!AF18</f>
        <v>0</v>
      </c>
      <c r="AG18" s="12">
        <f>VISUM_Arterial_OD!AG18-Arterial_Truck!AG18-Arterial_HOT!AG18</f>
        <v>0</v>
      </c>
      <c r="AH18" s="12">
        <f>VISUM_Arterial_OD!AH18-Arterial_Truck!AH18-Arterial_HOT!AH18</f>
        <v>0</v>
      </c>
      <c r="AI18" s="12">
        <f>VISUM_Arterial_OD!AI18-Arterial_Truck!AI18-Arterial_HOT!AI18</f>
        <v>0</v>
      </c>
      <c r="AJ18" s="12">
        <f>VISUM_Arterial_OD!AJ18-Arterial_Truck!AJ18-Arterial_HOT!AJ18</f>
        <v>0</v>
      </c>
      <c r="AK18" s="12">
        <f>VISUM_Arterial_OD!AK18-Arterial_Truck!AK18-Arterial_HOT!AK18</f>
        <v>0</v>
      </c>
      <c r="AL18" s="12">
        <f>VISUM_Arterial_OD!AL18-Arterial_Truck!AL18-Arterial_HOT!AL18</f>
        <v>0</v>
      </c>
      <c r="AM18" s="12">
        <f>VISUM_Arterial_OD!AM18-Arterial_Truck!AM18-Arterial_HOT!AM18</f>
        <v>0</v>
      </c>
      <c r="AN18" s="12">
        <f>VISUM_Arterial_OD!AN18-Arterial_Truck!AN18-Arterial_HOT!AN18</f>
        <v>0</v>
      </c>
      <c r="AO18" s="12">
        <f>VISUM_Arterial_OD!AO18-Arterial_Truck!AO18-Arterial_HOT!AO18</f>
        <v>200.04176000000001</v>
      </c>
      <c r="AP18" s="12">
        <f>VISUM_Arterial_OD!AP18-Arterial_Truck!AP18-Arterial_HOT!AP18</f>
        <v>0</v>
      </c>
      <c r="AQ18" s="12">
        <f>VISUM_Arterial_OD!AQ18-Arterial_Truck!AQ18-Arterial_HOT!AQ18</f>
        <v>0</v>
      </c>
      <c r="AR18" s="12">
        <f>VISUM_Arterial_OD!AR18-Arterial_Truck!AR18-Arterial_HOT!AR18</f>
        <v>0</v>
      </c>
      <c r="AS18" s="12">
        <f>VISUM_Arterial_OD!AS18-Arterial_Truck!AS18-Arterial_HOT!AS18</f>
        <v>0</v>
      </c>
      <c r="AT18" s="12">
        <f>VISUM_Arterial_OD!AT18-Arterial_Truck!AT18-Arterial_HOT!AT18</f>
        <v>0</v>
      </c>
      <c r="AU18" s="12">
        <f>VISUM_Arterial_OD!AU18-Arterial_Truck!AU18-Arterial_HOT!AU18</f>
        <v>0</v>
      </c>
      <c r="AV18" s="12">
        <f>VISUM_Arterial_OD!AV18-Arterial_Truck!AV18-Arterial_HOT!AV18</f>
        <v>0</v>
      </c>
      <c r="AW18" s="12">
        <f>VISUM_Arterial_OD!AW18-Arterial_Truck!AW18-Arterial_HOT!AW18</f>
        <v>0</v>
      </c>
      <c r="AX18" s="12">
        <f>VISUM_Arterial_OD!AX18-Arterial_Truck!AX18-Arterial_HOT!AX18</f>
        <v>0</v>
      </c>
      <c r="AY18" s="12">
        <f>VISUM_Arterial_OD!AY18-Arterial_Truck!AY18-Arterial_HOT!AY18</f>
        <v>0</v>
      </c>
      <c r="AZ18" s="12">
        <f>VISUM_Arterial_OD!AZ18-Arterial_Truck!AZ18-Arterial_HOT!AZ18</f>
        <v>0</v>
      </c>
      <c r="BA18" s="12">
        <f>VISUM_Arterial_OD!BA18-Arterial_Truck!BA18-Arterial_HOT!BA18</f>
        <v>0</v>
      </c>
      <c r="BB18" s="12">
        <f>VISUM_Arterial_OD!BB18-Arterial_Truck!BB18-Arterial_HOT!BB18</f>
        <v>0</v>
      </c>
      <c r="BC18" s="12">
        <f>VISUM_Arterial_OD!BC18-Arterial_Truck!BC18-Arterial_HOT!BC18</f>
        <v>0</v>
      </c>
      <c r="BD18" s="12">
        <f>VISUM_Arterial_OD!BD18-Arterial_Truck!BD18-Arterial_HOT!BD18</f>
        <v>0</v>
      </c>
      <c r="BE18" s="12">
        <f>VISUM_Arterial_OD!BE18-Arterial_Truck!BE18-Arterial_HOT!BE18</f>
        <v>0</v>
      </c>
      <c r="BF18" s="12">
        <f>VISUM_Arterial_OD!BF18-Arterial_Truck!BF18-Arterial_HOT!BF18</f>
        <v>0</v>
      </c>
      <c r="BG18" s="12">
        <f>VISUM_Arterial_OD!BG18-Arterial_Truck!BG18-Arterial_HOT!BG18</f>
        <v>0</v>
      </c>
      <c r="BH18" s="12">
        <f>VISUM_Arterial_OD!BH18-Arterial_Truck!BH18-Arterial_HOT!BH18</f>
        <v>0</v>
      </c>
      <c r="BI18" s="12">
        <f>VISUM_Arterial_OD!BI18-Arterial_Truck!BI18-Arterial_HOT!BI18</f>
        <v>0</v>
      </c>
      <c r="BJ18" s="12">
        <f>VISUM_Arterial_OD!BJ18-Arterial_Truck!BJ18-Arterial_HOT!BJ18</f>
        <v>0</v>
      </c>
      <c r="BK18" s="12">
        <f>VISUM_Arterial_OD!BK18-Arterial_Truck!BK18-Arterial_HOT!BK18</f>
        <v>0</v>
      </c>
      <c r="BL18" s="12">
        <f>VISUM_Arterial_OD!BL18-Arterial_Truck!BL18-Arterial_HOT!BL18</f>
        <v>0</v>
      </c>
      <c r="BM18" s="12">
        <f>VISUM_Arterial_OD!BM18-Arterial_Truck!BM18-Arterial_HOT!BM18</f>
        <v>0</v>
      </c>
      <c r="BN18" s="12">
        <f>VISUM_Arterial_OD!BN18-Arterial_Truck!BN18-Arterial_HOT!BN18</f>
        <v>0</v>
      </c>
      <c r="BO18" s="12">
        <f>VISUM_Arterial_OD!BO18-Arterial_Truck!BO18-Arterial_HOT!BO18</f>
        <v>0</v>
      </c>
      <c r="BP18" s="12">
        <f>VISUM_Arterial_OD!BP18-Arterial_Truck!BP18-Arterial_HOT!BP18</f>
        <v>0</v>
      </c>
      <c r="BQ18" s="12">
        <f>VISUM_Arterial_OD!BQ18-Arterial_Truck!BQ18-Arterial_HOT!BQ18</f>
        <v>0</v>
      </c>
    </row>
    <row r="19" spans="1:69" x14ac:dyDescent="0.25">
      <c r="A19" s="5">
        <f>IF(VLOOKUP(B19,Arterial_Zone_Link_Mapping!$A:$C,2,FALSE)&lt;&gt;"",VLOOKUP(B19,Arterial_Zone_Link_Mapping!$A:$C,2,FALSE),"")</f>
        <v>26</v>
      </c>
      <c r="B19" s="5">
        <v>39</v>
      </c>
      <c r="C19" s="12">
        <f>VISUM_Arterial_OD!C19-Arterial_Truck!C19-Arterial_HOT!C19</f>
        <v>65.921686940000001</v>
      </c>
      <c r="D19" s="12">
        <f>VISUM_Arterial_OD!D19-Arterial_Truck!D19-Arterial_HOT!D19</f>
        <v>5.7359116700000001</v>
      </c>
      <c r="E19" s="12">
        <f>VISUM_Arterial_OD!E19-Arterial_Truck!E19-Arterial_HOT!E19</f>
        <v>0</v>
      </c>
      <c r="F19" s="12">
        <f>VISUM_Arterial_OD!F19-Arterial_Truck!F19-Arterial_HOT!F19</f>
        <v>0</v>
      </c>
      <c r="G19" s="12">
        <f>VISUM_Arterial_OD!G19-Arterial_Truck!G19-Arterial_HOT!G19</f>
        <v>0</v>
      </c>
      <c r="H19" s="12">
        <f>VISUM_Arterial_OD!H19-Arterial_Truck!H19-Arterial_HOT!H19</f>
        <v>0</v>
      </c>
      <c r="I19" s="12">
        <f>VISUM_Arterial_OD!I19-Arterial_Truck!I19-Arterial_HOT!I19</f>
        <v>0</v>
      </c>
      <c r="J19" s="12">
        <f>VISUM_Arterial_OD!J19-Arterial_Truck!J19-Arterial_HOT!J19</f>
        <v>143.3954492</v>
      </c>
      <c r="K19" s="12">
        <f>VISUM_Arterial_OD!K19-Arterial_Truck!K19-Arterial_HOT!K19</f>
        <v>3.7600866599999998</v>
      </c>
      <c r="L19" s="12">
        <f>VISUM_Arterial_OD!L19-Arterial_Truck!L19-Arterial_HOT!L19</f>
        <v>14.118006619999999</v>
      </c>
      <c r="M19" s="12">
        <f>VISUM_Arterial_OD!M19-Arterial_Truck!M19-Arterial_HOT!M19</f>
        <v>0</v>
      </c>
      <c r="N19" s="12">
        <f>VISUM_Arterial_OD!N19-Arterial_Truck!N19-Arterial_HOT!N19</f>
        <v>0</v>
      </c>
      <c r="O19" s="12">
        <f>VISUM_Arterial_OD!O19-Arterial_Truck!O19-Arterial_HOT!O19</f>
        <v>132.47131501999999</v>
      </c>
      <c r="P19" s="12">
        <f>VISUM_Arterial_OD!P19-Arterial_Truck!P19-Arterial_HOT!P19</f>
        <v>5.9588341600000003</v>
      </c>
      <c r="Q19" s="12">
        <f>VISUM_Arterial_OD!Q19-Arterial_Truck!Q19-Arterial_HOT!Q19</f>
        <v>0</v>
      </c>
      <c r="R19" s="12">
        <f>VISUM_Arterial_OD!R19-Arterial_Truck!R19-Arterial_HOT!R19</f>
        <v>0</v>
      </c>
      <c r="S19" s="12">
        <f>VISUM_Arterial_OD!S19-Arterial_Truck!S19-Arterial_HOT!S19</f>
        <v>0</v>
      </c>
      <c r="T19" s="12">
        <f>VISUM_Arterial_OD!T19-Arterial_Truck!T19-Arterial_HOT!T19</f>
        <v>0</v>
      </c>
      <c r="U19" s="12">
        <f>VISUM_Arterial_OD!U19-Arterial_Truck!U19-Arterial_HOT!U19</f>
        <v>0</v>
      </c>
      <c r="V19" s="12">
        <f>VISUM_Arterial_OD!V19-Arterial_Truck!V19-Arterial_HOT!V19</f>
        <v>0</v>
      </c>
      <c r="W19" s="12">
        <f>VISUM_Arterial_OD!W19-Arterial_Truck!W19-Arterial_HOT!W19</f>
        <v>0</v>
      </c>
      <c r="X19" s="12">
        <f>VISUM_Arterial_OD!X19-Arterial_Truck!X19-Arterial_HOT!X19</f>
        <v>0</v>
      </c>
      <c r="Y19" s="12">
        <f>VISUM_Arterial_OD!Y19-Arterial_Truck!Y19-Arterial_HOT!Y19</f>
        <v>0</v>
      </c>
      <c r="Z19" s="12">
        <f>VISUM_Arterial_OD!Z19-Arterial_Truck!Z19-Arterial_HOT!Z19</f>
        <v>62.625299079999998</v>
      </c>
      <c r="AA19" s="12">
        <f>VISUM_Arterial_OD!AA19-Arterial_Truck!AA19-Arterial_HOT!AA19</f>
        <v>0</v>
      </c>
      <c r="AB19" s="12">
        <f>VISUM_Arterial_OD!AB19-Arterial_Truck!AB19-Arterial_HOT!AB19</f>
        <v>37.768857019999999</v>
      </c>
      <c r="AC19" s="12">
        <f>VISUM_Arterial_OD!AC19-Arterial_Truck!AC19-Arterial_HOT!AC19</f>
        <v>4.5624425300000002</v>
      </c>
      <c r="AD19" s="12">
        <f>VISUM_Arterial_OD!AD19-Arterial_Truck!AD19-Arterial_HOT!AD19</f>
        <v>0</v>
      </c>
      <c r="AE19" s="12">
        <f>VISUM_Arterial_OD!AE19-Arterial_Truck!AE19-Arterial_HOT!AE19</f>
        <v>0</v>
      </c>
      <c r="AF19" s="12">
        <f>VISUM_Arterial_OD!AF19-Arterial_Truck!AF19-Arterial_HOT!AF19</f>
        <v>0</v>
      </c>
      <c r="AG19" s="12">
        <f>VISUM_Arterial_OD!AG19-Arterial_Truck!AG19-Arterial_HOT!AG19</f>
        <v>0</v>
      </c>
      <c r="AH19" s="12">
        <f>VISUM_Arterial_OD!AH19-Arterial_Truck!AH19-Arterial_HOT!AH19</f>
        <v>0</v>
      </c>
      <c r="AI19" s="12">
        <f>VISUM_Arterial_OD!AI19-Arterial_Truck!AI19-Arterial_HOT!AI19</f>
        <v>0</v>
      </c>
      <c r="AJ19" s="12">
        <f>VISUM_Arterial_OD!AJ19-Arterial_Truck!AJ19-Arterial_HOT!AJ19</f>
        <v>0</v>
      </c>
      <c r="AK19" s="12">
        <f>VISUM_Arterial_OD!AK19-Arterial_Truck!AK19-Arterial_HOT!AK19</f>
        <v>0</v>
      </c>
      <c r="AL19" s="12">
        <f>VISUM_Arterial_OD!AL19-Arterial_Truck!AL19-Arterial_HOT!AL19</f>
        <v>90.654234779999996</v>
      </c>
      <c r="AM19" s="12">
        <f>VISUM_Arterial_OD!AM19-Arterial_Truck!AM19-Arterial_HOT!AM19</f>
        <v>0</v>
      </c>
      <c r="AN19" s="12">
        <f>VISUM_Arterial_OD!AN19-Arterial_Truck!AN19-Arterial_HOT!AN19</f>
        <v>43.097199910000001</v>
      </c>
      <c r="AO19" s="12">
        <f>VISUM_Arterial_OD!AO19-Arterial_Truck!AO19-Arterial_HOT!AO19</f>
        <v>0</v>
      </c>
      <c r="AP19" s="12">
        <f>VISUM_Arterial_OD!AP19-Arterial_Truck!AP19-Arterial_HOT!AP19</f>
        <v>0</v>
      </c>
      <c r="AQ19" s="12">
        <f>VISUM_Arterial_OD!AQ19-Arterial_Truck!AQ19-Arterial_HOT!AQ19</f>
        <v>0</v>
      </c>
      <c r="AR19" s="12">
        <f>VISUM_Arterial_OD!AR19-Arterial_Truck!AR19-Arterial_HOT!AR19</f>
        <v>0</v>
      </c>
      <c r="AS19" s="12">
        <f>VISUM_Arterial_OD!AS19-Arterial_Truck!AS19-Arterial_HOT!AS19</f>
        <v>0</v>
      </c>
      <c r="AT19" s="12">
        <f>VISUM_Arterial_OD!AT19-Arterial_Truck!AT19-Arterial_HOT!AT19</f>
        <v>0</v>
      </c>
      <c r="AU19" s="12">
        <f>VISUM_Arterial_OD!AU19-Arterial_Truck!AU19-Arterial_HOT!AU19</f>
        <v>0</v>
      </c>
      <c r="AV19" s="12">
        <f>VISUM_Arterial_OD!AV19-Arterial_Truck!AV19-Arterial_HOT!AV19</f>
        <v>0</v>
      </c>
      <c r="AW19" s="12">
        <f>VISUM_Arterial_OD!AW19-Arterial_Truck!AW19-Arterial_HOT!AW19</f>
        <v>0</v>
      </c>
      <c r="AX19" s="12">
        <f>VISUM_Arterial_OD!AX19-Arterial_Truck!AX19-Arterial_HOT!AX19</f>
        <v>151.05171546</v>
      </c>
      <c r="AY19" s="12">
        <f>VISUM_Arterial_OD!AY19-Arterial_Truck!AY19-Arterial_HOT!AY19</f>
        <v>0</v>
      </c>
      <c r="AZ19" s="12">
        <f>VISUM_Arterial_OD!AZ19-Arterial_Truck!AZ19-Arterial_HOT!AZ19</f>
        <v>0</v>
      </c>
      <c r="BA19" s="12">
        <f>VISUM_Arterial_OD!BA19-Arterial_Truck!BA19-Arterial_HOT!BA19</f>
        <v>0</v>
      </c>
      <c r="BB19" s="12">
        <f>VISUM_Arterial_OD!BB19-Arterial_Truck!BB19-Arterial_HOT!BB19</f>
        <v>0</v>
      </c>
      <c r="BC19" s="12">
        <f>VISUM_Arterial_OD!BC19-Arterial_Truck!BC19-Arterial_HOT!BC19</f>
        <v>0</v>
      </c>
      <c r="BD19" s="12">
        <f>VISUM_Arterial_OD!BD19-Arterial_Truck!BD19-Arterial_HOT!BD19</f>
        <v>0</v>
      </c>
      <c r="BE19" s="12">
        <f>VISUM_Arterial_OD!BE19-Arterial_Truck!BE19-Arterial_HOT!BE19</f>
        <v>0</v>
      </c>
      <c r="BF19" s="12">
        <f>VISUM_Arterial_OD!BF19-Arterial_Truck!BF19-Arterial_HOT!BF19</f>
        <v>0</v>
      </c>
      <c r="BG19" s="12">
        <f>VISUM_Arterial_OD!BG19-Arterial_Truck!BG19-Arterial_HOT!BG19</f>
        <v>0</v>
      </c>
      <c r="BH19" s="12">
        <f>VISUM_Arterial_OD!BH19-Arterial_Truck!BH19-Arterial_HOT!BH19</f>
        <v>0</v>
      </c>
      <c r="BI19" s="12">
        <f>VISUM_Arterial_OD!BI19-Arterial_Truck!BI19-Arterial_HOT!BI19</f>
        <v>0</v>
      </c>
      <c r="BJ19" s="12">
        <f>VISUM_Arterial_OD!BJ19-Arterial_Truck!BJ19-Arterial_HOT!BJ19</f>
        <v>0</v>
      </c>
      <c r="BK19" s="12">
        <f>VISUM_Arterial_OD!BK19-Arterial_Truck!BK19-Arterial_HOT!BK19</f>
        <v>0</v>
      </c>
      <c r="BL19" s="12">
        <f>VISUM_Arterial_OD!BL19-Arterial_Truck!BL19-Arterial_HOT!BL19</f>
        <v>0</v>
      </c>
      <c r="BM19" s="12">
        <f>VISUM_Arterial_OD!BM19-Arterial_Truck!BM19-Arterial_HOT!BM19</f>
        <v>0</v>
      </c>
      <c r="BN19" s="12">
        <f>VISUM_Arterial_OD!BN19-Arterial_Truck!BN19-Arterial_HOT!BN19</f>
        <v>0</v>
      </c>
      <c r="BO19" s="12">
        <f>VISUM_Arterial_OD!BO19-Arterial_Truck!BO19-Arterial_HOT!BO19</f>
        <v>138.17668526999998</v>
      </c>
      <c r="BP19" s="12">
        <f>VISUM_Arterial_OD!BP19-Arterial_Truck!BP19-Arterial_HOT!BP19</f>
        <v>0</v>
      </c>
      <c r="BQ19" s="12">
        <f>VISUM_Arterial_OD!BQ19-Arterial_Truck!BQ19-Arterial_HOT!BQ19</f>
        <v>65.879432769999994</v>
      </c>
    </row>
    <row r="20" spans="1:69" x14ac:dyDescent="0.25">
      <c r="A20" s="5">
        <f>IF(VLOOKUP(B20,Arterial_Zone_Link_Mapping!$A:$C,2,FALSE)&lt;&gt;"",VLOOKUP(B20,Arterial_Zone_Link_Mapping!$A:$C,2,FALSE),"")</f>
        <v>204</v>
      </c>
      <c r="B20" s="5">
        <v>40</v>
      </c>
      <c r="C20" s="12">
        <f>VISUM_Arterial_OD!C20-Arterial_Truck!C20-Arterial_HOT!C20</f>
        <v>0</v>
      </c>
      <c r="D20" s="12">
        <f>VISUM_Arterial_OD!D20-Arterial_Truck!D20-Arterial_HOT!D20</f>
        <v>0</v>
      </c>
      <c r="E20" s="12">
        <f>VISUM_Arterial_OD!E20-Arterial_Truck!E20-Arterial_HOT!E20</f>
        <v>0</v>
      </c>
      <c r="F20" s="12">
        <f>VISUM_Arterial_OD!F20-Arterial_Truck!F20-Arterial_HOT!F20</f>
        <v>0</v>
      </c>
      <c r="G20" s="12">
        <f>VISUM_Arterial_OD!G20-Arterial_Truck!G20-Arterial_HOT!G20</f>
        <v>0</v>
      </c>
      <c r="H20" s="12">
        <f>VISUM_Arterial_OD!H20-Arterial_Truck!H20-Arterial_HOT!H20</f>
        <v>0</v>
      </c>
      <c r="I20" s="12">
        <f>VISUM_Arterial_OD!I20-Arterial_Truck!I20-Arterial_HOT!I20</f>
        <v>0</v>
      </c>
      <c r="J20" s="12">
        <f>VISUM_Arterial_OD!J20-Arterial_Truck!J20-Arterial_HOT!J20</f>
        <v>0</v>
      </c>
      <c r="K20" s="12">
        <f>VISUM_Arterial_OD!K20-Arterial_Truck!K20-Arterial_HOT!K20</f>
        <v>0</v>
      </c>
      <c r="L20" s="12">
        <f>VISUM_Arterial_OD!L20-Arterial_Truck!L20-Arterial_HOT!L20</f>
        <v>0</v>
      </c>
      <c r="M20" s="12">
        <f>VISUM_Arterial_OD!M20-Arterial_Truck!M20-Arterial_HOT!M20</f>
        <v>0</v>
      </c>
      <c r="N20" s="12">
        <f>VISUM_Arterial_OD!N20-Arterial_Truck!N20-Arterial_HOT!N20</f>
        <v>0</v>
      </c>
      <c r="O20" s="12">
        <f>VISUM_Arterial_OD!O20-Arterial_Truck!O20-Arterial_HOT!O20</f>
        <v>0</v>
      </c>
      <c r="P20" s="12">
        <f>VISUM_Arterial_OD!P20-Arterial_Truck!P20-Arterial_HOT!P20</f>
        <v>0</v>
      </c>
      <c r="Q20" s="12">
        <f>VISUM_Arterial_OD!Q20-Arterial_Truck!Q20-Arterial_HOT!Q20</f>
        <v>0</v>
      </c>
      <c r="R20" s="12">
        <f>VISUM_Arterial_OD!R20-Arterial_Truck!R20-Arterial_HOT!R20</f>
        <v>460.74597935000003</v>
      </c>
      <c r="S20" s="12">
        <f>VISUM_Arterial_OD!S20-Arterial_Truck!S20-Arterial_HOT!S20</f>
        <v>0</v>
      </c>
      <c r="T20" s="12">
        <f>VISUM_Arterial_OD!T20-Arterial_Truck!T20-Arterial_HOT!T20</f>
        <v>0</v>
      </c>
      <c r="U20" s="12">
        <f>VISUM_Arterial_OD!U20-Arterial_Truck!U20-Arterial_HOT!U20</f>
        <v>0</v>
      </c>
      <c r="V20" s="12">
        <f>VISUM_Arterial_OD!V20-Arterial_Truck!V20-Arterial_HOT!V20</f>
        <v>0</v>
      </c>
      <c r="W20" s="12">
        <f>VISUM_Arterial_OD!W20-Arterial_Truck!W20-Arterial_HOT!W20</f>
        <v>0</v>
      </c>
      <c r="X20" s="12">
        <f>VISUM_Arterial_OD!X20-Arterial_Truck!X20-Arterial_HOT!X20</f>
        <v>0</v>
      </c>
      <c r="Y20" s="12">
        <f>VISUM_Arterial_OD!Y20-Arterial_Truck!Y20-Arterial_HOT!Y20</f>
        <v>0</v>
      </c>
      <c r="Z20" s="12">
        <f>VISUM_Arterial_OD!Z20-Arterial_Truck!Z20-Arterial_HOT!Z20</f>
        <v>0</v>
      </c>
      <c r="AA20" s="12">
        <f>VISUM_Arterial_OD!AA20-Arterial_Truck!AA20-Arterial_HOT!AA20</f>
        <v>0</v>
      </c>
      <c r="AB20" s="12">
        <f>VISUM_Arterial_OD!AB20-Arterial_Truck!AB20-Arterial_HOT!AB20</f>
        <v>0</v>
      </c>
      <c r="AC20" s="12">
        <f>VISUM_Arterial_OD!AC20-Arterial_Truck!AC20-Arterial_HOT!AC20</f>
        <v>0</v>
      </c>
      <c r="AD20" s="12">
        <f>VISUM_Arterial_OD!AD20-Arterial_Truck!AD20-Arterial_HOT!AD20</f>
        <v>0</v>
      </c>
      <c r="AE20" s="12">
        <f>VISUM_Arterial_OD!AE20-Arterial_Truck!AE20-Arterial_HOT!AE20</f>
        <v>0</v>
      </c>
      <c r="AF20" s="12">
        <f>VISUM_Arterial_OD!AF20-Arterial_Truck!AF20-Arterial_HOT!AF20</f>
        <v>0</v>
      </c>
      <c r="AG20" s="12">
        <f>VISUM_Arterial_OD!AG20-Arterial_Truck!AG20-Arterial_HOT!AG20</f>
        <v>160.02913100000001</v>
      </c>
      <c r="AH20" s="12">
        <f>VISUM_Arterial_OD!AH20-Arterial_Truck!AH20-Arterial_HOT!AH20</f>
        <v>0</v>
      </c>
      <c r="AI20" s="12">
        <f>VISUM_Arterial_OD!AI20-Arterial_Truck!AI20-Arterial_HOT!AI20</f>
        <v>0</v>
      </c>
      <c r="AJ20" s="12">
        <f>VISUM_Arterial_OD!AJ20-Arterial_Truck!AJ20-Arterial_HOT!AJ20</f>
        <v>0</v>
      </c>
      <c r="AK20" s="12">
        <f>VISUM_Arterial_OD!AK20-Arterial_Truck!AK20-Arterial_HOT!AK20</f>
        <v>0</v>
      </c>
      <c r="AL20" s="12">
        <f>VISUM_Arterial_OD!AL20-Arterial_Truck!AL20-Arterial_HOT!AL20</f>
        <v>0</v>
      </c>
      <c r="AM20" s="12">
        <f>VISUM_Arterial_OD!AM20-Arterial_Truck!AM20-Arterial_HOT!AM20</f>
        <v>0</v>
      </c>
      <c r="AN20" s="12">
        <f>VISUM_Arterial_OD!AN20-Arterial_Truck!AN20-Arterial_HOT!AN20</f>
        <v>0</v>
      </c>
      <c r="AO20" s="12">
        <f>VISUM_Arterial_OD!AO20-Arterial_Truck!AO20-Arterial_HOT!AO20</f>
        <v>149.93721199999999</v>
      </c>
      <c r="AP20" s="12">
        <f>VISUM_Arterial_OD!AP20-Arterial_Truck!AP20-Arterial_HOT!AP20</f>
        <v>0</v>
      </c>
      <c r="AQ20" s="12">
        <f>VISUM_Arterial_OD!AQ20-Arterial_Truck!AQ20-Arterial_HOT!AQ20</f>
        <v>0</v>
      </c>
      <c r="AR20" s="12">
        <f>VISUM_Arterial_OD!AR20-Arterial_Truck!AR20-Arterial_HOT!AR20</f>
        <v>0</v>
      </c>
      <c r="AS20" s="12">
        <f>VISUM_Arterial_OD!AS20-Arterial_Truck!AS20-Arterial_HOT!AS20</f>
        <v>0</v>
      </c>
      <c r="AT20" s="12">
        <f>VISUM_Arterial_OD!AT20-Arterial_Truck!AT20-Arterial_HOT!AT20</f>
        <v>0</v>
      </c>
      <c r="AU20" s="12">
        <f>VISUM_Arterial_OD!AU20-Arterial_Truck!AU20-Arterial_HOT!AU20</f>
        <v>0</v>
      </c>
      <c r="AV20" s="12">
        <f>VISUM_Arterial_OD!AV20-Arterial_Truck!AV20-Arterial_HOT!AV20</f>
        <v>0</v>
      </c>
      <c r="AW20" s="12">
        <f>VISUM_Arterial_OD!AW20-Arterial_Truck!AW20-Arterial_HOT!AW20</f>
        <v>0</v>
      </c>
      <c r="AX20" s="12">
        <f>VISUM_Arterial_OD!AX20-Arterial_Truck!AX20-Arterial_HOT!AX20</f>
        <v>0</v>
      </c>
      <c r="AY20" s="12">
        <f>VISUM_Arterial_OD!AY20-Arterial_Truck!AY20-Arterial_HOT!AY20</f>
        <v>0</v>
      </c>
      <c r="AZ20" s="12">
        <f>VISUM_Arterial_OD!AZ20-Arterial_Truck!AZ20-Arterial_HOT!AZ20</f>
        <v>0</v>
      </c>
      <c r="BA20" s="12">
        <f>VISUM_Arterial_OD!BA20-Arterial_Truck!BA20-Arterial_HOT!BA20</f>
        <v>0</v>
      </c>
      <c r="BB20" s="12">
        <f>VISUM_Arterial_OD!BB20-Arterial_Truck!BB20-Arterial_HOT!BB20</f>
        <v>0</v>
      </c>
      <c r="BC20" s="12">
        <f>VISUM_Arterial_OD!BC20-Arterial_Truck!BC20-Arterial_HOT!BC20</f>
        <v>0</v>
      </c>
      <c r="BD20" s="12">
        <f>VISUM_Arterial_OD!BD20-Arterial_Truck!BD20-Arterial_HOT!BD20</f>
        <v>0</v>
      </c>
      <c r="BE20" s="12">
        <f>VISUM_Arterial_OD!BE20-Arterial_Truck!BE20-Arterial_HOT!BE20</f>
        <v>0</v>
      </c>
      <c r="BF20" s="12">
        <f>VISUM_Arterial_OD!BF20-Arterial_Truck!BF20-Arterial_HOT!BF20</f>
        <v>0</v>
      </c>
      <c r="BG20" s="12">
        <f>VISUM_Arterial_OD!BG20-Arterial_Truck!BG20-Arterial_HOT!BG20</f>
        <v>0</v>
      </c>
      <c r="BH20" s="12">
        <f>VISUM_Arterial_OD!BH20-Arterial_Truck!BH20-Arterial_HOT!BH20</f>
        <v>0</v>
      </c>
      <c r="BI20" s="12">
        <f>VISUM_Arterial_OD!BI20-Arterial_Truck!BI20-Arterial_HOT!BI20</f>
        <v>0</v>
      </c>
      <c r="BJ20" s="12">
        <f>VISUM_Arterial_OD!BJ20-Arterial_Truck!BJ20-Arterial_HOT!BJ20</f>
        <v>0</v>
      </c>
      <c r="BK20" s="12">
        <f>VISUM_Arterial_OD!BK20-Arterial_Truck!BK20-Arterial_HOT!BK20</f>
        <v>0</v>
      </c>
      <c r="BL20" s="12">
        <f>VISUM_Arterial_OD!BL20-Arterial_Truck!BL20-Arterial_HOT!BL20</f>
        <v>0</v>
      </c>
      <c r="BM20" s="12">
        <f>VISUM_Arterial_OD!BM20-Arterial_Truck!BM20-Arterial_HOT!BM20</f>
        <v>0</v>
      </c>
      <c r="BN20" s="12">
        <f>VISUM_Arterial_OD!BN20-Arterial_Truck!BN20-Arterial_HOT!BN20</f>
        <v>0</v>
      </c>
      <c r="BO20" s="12">
        <f>VISUM_Arterial_OD!BO20-Arterial_Truck!BO20-Arterial_HOT!BO20</f>
        <v>0</v>
      </c>
      <c r="BP20" s="12">
        <f>VISUM_Arterial_OD!BP20-Arterial_Truck!BP20-Arterial_HOT!BP20</f>
        <v>0</v>
      </c>
      <c r="BQ20" s="12">
        <f>VISUM_Arterial_OD!BQ20-Arterial_Truck!BQ20-Arterial_HOT!BQ20</f>
        <v>0</v>
      </c>
    </row>
    <row r="21" spans="1:69" x14ac:dyDescent="0.25">
      <c r="A21" s="5">
        <f>IF(VLOOKUP(B21,Arterial_Zone_Link_Mapping!$A:$C,2,FALSE)&lt;&gt;"",VLOOKUP(B21,Arterial_Zone_Link_Mapping!$A:$C,2,FALSE),"")</f>
        <v>288</v>
      </c>
      <c r="B21" s="5">
        <v>41</v>
      </c>
      <c r="C21" s="12">
        <f>VISUM_Arterial_OD!C21-Arterial_Truck!C21-Arterial_HOT!C21</f>
        <v>0</v>
      </c>
      <c r="D21" s="12">
        <f>VISUM_Arterial_OD!D21-Arterial_Truck!D21-Arterial_HOT!D21</f>
        <v>0</v>
      </c>
      <c r="E21" s="12">
        <f>VISUM_Arterial_OD!E21-Arterial_Truck!E21-Arterial_HOT!E21</f>
        <v>0</v>
      </c>
      <c r="F21" s="12">
        <f>VISUM_Arterial_OD!F21-Arterial_Truck!F21-Arterial_HOT!F21</f>
        <v>0</v>
      </c>
      <c r="G21" s="12">
        <f>VISUM_Arterial_OD!G21-Arterial_Truck!G21-Arterial_HOT!G21</f>
        <v>29.099745860000002</v>
      </c>
      <c r="H21" s="12">
        <f>VISUM_Arterial_OD!H21-Arterial_Truck!H21-Arterial_HOT!H21</f>
        <v>0</v>
      </c>
      <c r="I21" s="12">
        <f>VISUM_Arterial_OD!I21-Arterial_Truck!I21-Arterial_HOT!I21</f>
        <v>0</v>
      </c>
      <c r="J21" s="12">
        <f>VISUM_Arterial_OD!J21-Arterial_Truck!J21-Arterial_HOT!J21</f>
        <v>0</v>
      </c>
      <c r="K21" s="12">
        <f>VISUM_Arterial_OD!K21-Arterial_Truck!K21-Arterial_HOT!K21</f>
        <v>0</v>
      </c>
      <c r="L21" s="12">
        <f>VISUM_Arterial_OD!L21-Arterial_Truck!L21-Arterial_HOT!L21</f>
        <v>0</v>
      </c>
      <c r="M21" s="12">
        <f>VISUM_Arterial_OD!M21-Arterial_Truck!M21-Arterial_HOT!M21</f>
        <v>0</v>
      </c>
      <c r="N21" s="12">
        <f>VISUM_Arterial_OD!N21-Arterial_Truck!N21-Arterial_HOT!N21</f>
        <v>0</v>
      </c>
      <c r="O21" s="12">
        <f>VISUM_Arterial_OD!O21-Arterial_Truck!O21-Arterial_HOT!O21</f>
        <v>0</v>
      </c>
      <c r="P21" s="12">
        <f>VISUM_Arterial_OD!P21-Arterial_Truck!P21-Arterial_HOT!P21</f>
        <v>0</v>
      </c>
      <c r="Q21" s="12">
        <f>VISUM_Arterial_OD!Q21-Arterial_Truck!Q21-Arterial_HOT!Q21</f>
        <v>17.09175308</v>
      </c>
      <c r="R21" s="12">
        <f>VISUM_Arterial_OD!R21-Arterial_Truck!R21-Arterial_HOT!R21</f>
        <v>0</v>
      </c>
      <c r="S21" s="12">
        <f>VISUM_Arterial_OD!S21-Arterial_Truck!S21-Arterial_HOT!S21</f>
        <v>0</v>
      </c>
      <c r="T21" s="12">
        <f>VISUM_Arterial_OD!T21-Arterial_Truck!T21-Arterial_HOT!T21</f>
        <v>0</v>
      </c>
      <c r="U21" s="12">
        <f>VISUM_Arterial_OD!U21-Arterial_Truck!U21-Arterial_HOT!U21</f>
        <v>0</v>
      </c>
      <c r="V21" s="12">
        <f>VISUM_Arterial_OD!V21-Arterial_Truck!V21-Arterial_HOT!V21</f>
        <v>95.575452179999999</v>
      </c>
      <c r="W21" s="12">
        <f>VISUM_Arterial_OD!W21-Arterial_Truck!W21-Arterial_HOT!W21</f>
        <v>13.886799359999999</v>
      </c>
      <c r="X21" s="12">
        <f>VISUM_Arterial_OD!X21-Arterial_Truck!X21-Arterial_HOT!X21</f>
        <v>32.126786060000001</v>
      </c>
      <c r="Y21" s="12">
        <f>VISUM_Arterial_OD!Y21-Arterial_Truck!Y21-Arterial_HOT!Y21</f>
        <v>0</v>
      </c>
      <c r="Z21" s="12">
        <f>VISUM_Arterial_OD!Z21-Arterial_Truck!Z21-Arterial_HOT!Z21</f>
        <v>0</v>
      </c>
      <c r="AA21" s="12">
        <f>VISUM_Arterial_OD!AA21-Arterial_Truck!AA21-Arterial_HOT!AA21</f>
        <v>169.74851880999998</v>
      </c>
      <c r="AB21" s="12">
        <f>VISUM_Arterial_OD!AB21-Arterial_Truck!AB21-Arterial_HOT!AB21</f>
        <v>0</v>
      </c>
      <c r="AC21" s="12">
        <f>VISUM_Arterial_OD!AC21-Arterial_Truck!AC21-Arterial_HOT!AC21</f>
        <v>0</v>
      </c>
      <c r="AD21" s="12">
        <f>VISUM_Arterial_OD!AD21-Arterial_Truck!AD21-Arterial_HOT!AD21</f>
        <v>0</v>
      </c>
      <c r="AE21" s="12">
        <f>VISUM_Arterial_OD!AE21-Arterial_Truck!AE21-Arterial_HOT!AE21</f>
        <v>0</v>
      </c>
      <c r="AF21" s="12">
        <f>VISUM_Arterial_OD!AF21-Arterial_Truck!AF21-Arterial_HOT!AF21</f>
        <v>0</v>
      </c>
      <c r="AG21" s="12">
        <f>VISUM_Arterial_OD!AG21-Arterial_Truck!AG21-Arterial_HOT!AG21</f>
        <v>0</v>
      </c>
      <c r="AH21" s="12">
        <f>VISUM_Arterial_OD!AH21-Arterial_Truck!AH21-Arterial_HOT!AH21</f>
        <v>0</v>
      </c>
      <c r="AI21" s="12">
        <f>VISUM_Arterial_OD!AI21-Arterial_Truck!AI21-Arterial_HOT!AI21</f>
        <v>0</v>
      </c>
      <c r="AJ21" s="12">
        <f>VISUM_Arterial_OD!AJ21-Arterial_Truck!AJ21-Arterial_HOT!AJ21</f>
        <v>0</v>
      </c>
      <c r="AK21" s="12">
        <f>VISUM_Arterial_OD!AK21-Arterial_Truck!AK21-Arterial_HOT!AK21</f>
        <v>0</v>
      </c>
      <c r="AL21" s="12">
        <f>VISUM_Arterial_OD!AL21-Arterial_Truck!AL21-Arterial_HOT!AL21</f>
        <v>0</v>
      </c>
      <c r="AM21" s="12">
        <f>VISUM_Arterial_OD!AM21-Arterial_Truck!AM21-Arterial_HOT!AM21</f>
        <v>0</v>
      </c>
      <c r="AN21" s="12">
        <f>VISUM_Arterial_OD!AN21-Arterial_Truck!AN21-Arterial_HOT!AN21</f>
        <v>0</v>
      </c>
      <c r="AO21" s="12">
        <f>VISUM_Arterial_OD!AO21-Arterial_Truck!AO21-Arterial_HOT!AO21</f>
        <v>0</v>
      </c>
      <c r="AP21" s="12">
        <f>VISUM_Arterial_OD!AP21-Arterial_Truck!AP21-Arterial_HOT!AP21</f>
        <v>0</v>
      </c>
      <c r="AQ21" s="12">
        <f>VISUM_Arterial_OD!AQ21-Arterial_Truck!AQ21-Arterial_HOT!AQ21</f>
        <v>0</v>
      </c>
      <c r="AR21" s="12">
        <f>VISUM_Arterial_OD!AR21-Arterial_Truck!AR21-Arterial_HOT!AR21</f>
        <v>0</v>
      </c>
      <c r="AS21" s="12">
        <f>VISUM_Arterial_OD!AS21-Arterial_Truck!AS21-Arterial_HOT!AS21</f>
        <v>0</v>
      </c>
      <c r="AT21" s="12">
        <f>VISUM_Arterial_OD!AT21-Arterial_Truck!AT21-Arterial_HOT!AT21</f>
        <v>0</v>
      </c>
      <c r="AU21" s="12">
        <f>VISUM_Arterial_OD!AU21-Arterial_Truck!AU21-Arterial_HOT!AU21</f>
        <v>0</v>
      </c>
      <c r="AV21" s="12">
        <f>VISUM_Arterial_OD!AV21-Arterial_Truck!AV21-Arterial_HOT!AV21</f>
        <v>0</v>
      </c>
      <c r="AW21" s="12">
        <f>VISUM_Arterial_OD!AW21-Arterial_Truck!AW21-Arterial_HOT!AW21</f>
        <v>0</v>
      </c>
      <c r="AX21" s="12">
        <f>VISUM_Arterial_OD!AX21-Arterial_Truck!AX21-Arterial_HOT!AX21</f>
        <v>0</v>
      </c>
      <c r="AY21" s="12">
        <f>VISUM_Arterial_OD!AY21-Arterial_Truck!AY21-Arterial_HOT!AY21</f>
        <v>0</v>
      </c>
      <c r="AZ21" s="12">
        <f>VISUM_Arterial_OD!AZ21-Arterial_Truck!AZ21-Arterial_HOT!AZ21</f>
        <v>0</v>
      </c>
      <c r="BA21" s="12">
        <f>VISUM_Arterial_OD!BA21-Arterial_Truck!BA21-Arterial_HOT!BA21</f>
        <v>0</v>
      </c>
      <c r="BB21" s="12">
        <f>VISUM_Arterial_OD!BB21-Arterial_Truck!BB21-Arterial_HOT!BB21</f>
        <v>0</v>
      </c>
      <c r="BC21" s="12">
        <f>VISUM_Arterial_OD!BC21-Arterial_Truck!BC21-Arterial_HOT!BC21</f>
        <v>0</v>
      </c>
      <c r="BD21" s="12">
        <f>VISUM_Arterial_OD!BD21-Arterial_Truck!BD21-Arterial_HOT!BD21</f>
        <v>0</v>
      </c>
      <c r="BE21" s="12">
        <f>VISUM_Arterial_OD!BE21-Arterial_Truck!BE21-Arterial_HOT!BE21</f>
        <v>64.439850919999998</v>
      </c>
      <c r="BF21" s="12">
        <f>VISUM_Arterial_OD!BF21-Arterial_Truck!BF21-Arterial_HOT!BF21</f>
        <v>0</v>
      </c>
      <c r="BG21" s="12">
        <f>VISUM_Arterial_OD!BG21-Arterial_Truck!BG21-Arterial_HOT!BG21</f>
        <v>0</v>
      </c>
      <c r="BH21" s="12">
        <f>VISUM_Arterial_OD!BH21-Arterial_Truck!BH21-Arterial_HOT!BH21</f>
        <v>0</v>
      </c>
      <c r="BI21" s="12">
        <f>VISUM_Arterial_OD!BI21-Arterial_Truck!BI21-Arterial_HOT!BI21</f>
        <v>0</v>
      </c>
      <c r="BJ21" s="12">
        <f>VISUM_Arterial_OD!BJ21-Arterial_Truck!BJ21-Arterial_HOT!BJ21</f>
        <v>0</v>
      </c>
      <c r="BK21" s="12">
        <f>VISUM_Arterial_OD!BK21-Arterial_Truck!BK21-Arterial_HOT!BK21</f>
        <v>0</v>
      </c>
      <c r="BL21" s="12">
        <f>VISUM_Arterial_OD!BL21-Arterial_Truck!BL21-Arterial_HOT!BL21</f>
        <v>0</v>
      </c>
      <c r="BM21" s="12">
        <f>VISUM_Arterial_OD!BM21-Arterial_Truck!BM21-Arterial_HOT!BM21</f>
        <v>0</v>
      </c>
      <c r="BN21" s="12">
        <f>VISUM_Arterial_OD!BN21-Arterial_Truck!BN21-Arterial_HOT!BN21</f>
        <v>0</v>
      </c>
      <c r="BO21" s="12">
        <f>VISUM_Arterial_OD!BO21-Arterial_Truck!BO21-Arterial_HOT!BO21</f>
        <v>0</v>
      </c>
      <c r="BP21" s="12">
        <f>VISUM_Arterial_OD!BP21-Arterial_Truck!BP21-Arterial_HOT!BP21</f>
        <v>0</v>
      </c>
      <c r="BQ21" s="12">
        <f>VISUM_Arterial_OD!BQ21-Arterial_Truck!BQ21-Arterial_HOT!BQ21</f>
        <v>0</v>
      </c>
    </row>
    <row r="22" spans="1:69" x14ac:dyDescent="0.25">
      <c r="A22" s="5">
        <f>IF(VLOOKUP(B22,Arterial_Zone_Link_Mapping!$A:$C,2,FALSE)&lt;&gt;"",VLOOKUP(B22,Arterial_Zone_Link_Mapping!$A:$C,2,FALSE),"")</f>
        <v>20057</v>
      </c>
      <c r="B22" s="5">
        <v>42</v>
      </c>
      <c r="C22" s="12">
        <f>VISUM_Arterial_OD!C22-Arterial_Truck!C22-Arterial_HOT!C22</f>
        <v>0</v>
      </c>
      <c r="D22" s="12">
        <f>VISUM_Arterial_OD!D22-Arterial_Truck!D22-Arterial_HOT!D22</f>
        <v>0</v>
      </c>
      <c r="E22" s="12">
        <f>VISUM_Arterial_OD!E22-Arterial_Truck!E22-Arterial_HOT!E22</f>
        <v>0</v>
      </c>
      <c r="F22" s="12">
        <f>VISUM_Arterial_OD!F22-Arterial_Truck!F22-Arterial_HOT!F22</f>
        <v>0</v>
      </c>
      <c r="G22" s="12">
        <f>VISUM_Arterial_OD!G22-Arterial_Truck!G22-Arterial_HOT!G22</f>
        <v>65.476850760000005</v>
      </c>
      <c r="H22" s="12">
        <f>VISUM_Arterial_OD!H22-Arterial_Truck!H22-Arterial_HOT!H22</f>
        <v>0</v>
      </c>
      <c r="I22" s="12">
        <f>VISUM_Arterial_OD!I22-Arterial_Truck!I22-Arterial_HOT!I22</f>
        <v>0</v>
      </c>
      <c r="J22" s="12">
        <f>VISUM_Arterial_OD!J22-Arterial_Truck!J22-Arterial_HOT!J22</f>
        <v>0</v>
      </c>
      <c r="K22" s="12">
        <f>VISUM_Arterial_OD!K22-Arterial_Truck!K22-Arterial_HOT!K22</f>
        <v>0</v>
      </c>
      <c r="L22" s="12">
        <f>VISUM_Arterial_OD!L22-Arterial_Truck!L22-Arterial_HOT!L22</f>
        <v>0</v>
      </c>
      <c r="M22" s="12">
        <f>VISUM_Arterial_OD!M22-Arterial_Truck!M22-Arterial_HOT!M22</f>
        <v>0</v>
      </c>
      <c r="N22" s="12">
        <f>VISUM_Arterial_OD!N22-Arterial_Truck!N22-Arterial_HOT!N22</f>
        <v>0</v>
      </c>
      <c r="O22" s="12">
        <f>VISUM_Arterial_OD!O22-Arterial_Truck!O22-Arterial_HOT!O22</f>
        <v>0</v>
      </c>
      <c r="P22" s="12">
        <f>VISUM_Arterial_OD!P22-Arterial_Truck!P22-Arterial_HOT!P22</f>
        <v>0</v>
      </c>
      <c r="Q22" s="12">
        <f>VISUM_Arterial_OD!Q22-Arterial_Truck!Q22-Arterial_HOT!Q22</f>
        <v>20.820985009999998</v>
      </c>
      <c r="R22" s="12">
        <f>VISUM_Arterial_OD!R22-Arterial_Truck!R22-Arterial_HOT!R22</f>
        <v>0</v>
      </c>
      <c r="S22" s="12">
        <f>VISUM_Arterial_OD!S22-Arterial_Truck!S22-Arterial_HOT!S22</f>
        <v>0</v>
      </c>
      <c r="T22" s="12">
        <f>VISUM_Arterial_OD!T22-Arterial_Truck!T22-Arterial_HOT!T22</f>
        <v>0</v>
      </c>
      <c r="U22" s="12">
        <f>VISUM_Arterial_OD!U22-Arterial_Truck!U22-Arterial_HOT!U22</f>
        <v>43.592660389999999</v>
      </c>
      <c r="V22" s="12">
        <f>VISUM_Arterial_OD!V22-Arterial_Truck!V22-Arterial_HOT!V22</f>
        <v>0</v>
      </c>
      <c r="W22" s="12">
        <f>VISUM_Arterial_OD!W22-Arterial_Truck!W22-Arterial_HOT!W22</f>
        <v>295.84741786000001</v>
      </c>
      <c r="X22" s="12">
        <f>VISUM_Arterial_OD!X22-Arterial_Truck!X22-Arterial_HOT!X22</f>
        <v>9.6999156099999997</v>
      </c>
      <c r="Y22" s="12">
        <f>VISUM_Arterial_OD!Y22-Arterial_Truck!Y22-Arterial_HOT!Y22</f>
        <v>0</v>
      </c>
      <c r="Z22" s="12">
        <f>VISUM_Arterial_OD!Z22-Arterial_Truck!Z22-Arterial_HOT!Z22</f>
        <v>0</v>
      </c>
      <c r="AA22" s="12">
        <f>VISUM_Arterial_OD!AA22-Arterial_Truck!AA22-Arterial_HOT!AA22</f>
        <v>77.67005533999999</v>
      </c>
      <c r="AB22" s="12">
        <f>VISUM_Arterial_OD!AB22-Arterial_Truck!AB22-Arterial_HOT!AB22</f>
        <v>0</v>
      </c>
      <c r="AC22" s="12">
        <f>VISUM_Arterial_OD!AC22-Arterial_Truck!AC22-Arterial_HOT!AC22</f>
        <v>0</v>
      </c>
      <c r="AD22" s="12">
        <f>VISUM_Arterial_OD!AD22-Arterial_Truck!AD22-Arterial_HOT!AD22</f>
        <v>0</v>
      </c>
      <c r="AE22" s="12">
        <f>VISUM_Arterial_OD!AE22-Arterial_Truck!AE22-Arterial_HOT!AE22</f>
        <v>0</v>
      </c>
      <c r="AF22" s="12">
        <f>VISUM_Arterial_OD!AF22-Arterial_Truck!AF22-Arterial_HOT!AF22</f>
        <v>0</v>
      </c>
      <c r="AG22" s="12">
        <f>VISUM_Arterial_OD!AG22-Arterial_Truck!AG22-Arterial_HOT!AG22</f>
        <v>0</v>
      </c>
      <c r="AH22" s="12">
        <f>VISUM_Arterial_OD!AH22-Arterial_Truck!AH22-Arterial_HOT!AH22</f>
        <v>0</v>
      </c>
      <c r="AI22" s="12">
        <f>VISUM_Arterial_OD!AI22-Arterial_Truck!AI22-Arterial_HOT!AI22</f>
        <v>0</v>
      </c>
      <c r="AJ22" s="12">
        <f>VISUM_Arterial_OD!AJ22-Arterial_Truck!AJ22-Arterial_HOT!AJ22</f>
        <v>0</v>
      </c>
      <c r="AK22" s="12">
        <f>VISUM_Arterial_OD!AK22-Arterial_Truck!AK22-Arterial_HOT!AK22</f>
        <v>0</v>
      </c>
      <c r="AL22" s="12">
        <f>VISUM_Arterial_OD!AL22-Arterial_Truck!AL22-Arterial_HOT!AL22</f>
        <v>0</v>
      </c>
      <c r="AM22" s="12">
        <f>VISUM_Arterial_OD!AM22-Arterial_Truck!AM22-Arterial_HOT!AM22</f>
        <v>0</v>
      </c>
      <c r="AN22" s="12">
        <f>VISUM_Arterial_OD!AN22-Arterial_Truck!AN22-Arterial_HOT!AN22</f>
        <v>0</v>
      </c>
      <c r="AO22" s="12">
        <f>VISUM_Arterial_OD!AO22-Arterial_Truck!AO22-Arterial_HOT!AO22</f>
        <v>0</v>
      </c>
      <c r="AP22" s="12">
        <f>VISUM_Arterial_OD!AP22-Arterial_Truck!AP22-Arterial_HOT!AP22</f>
        <v>0</v>
      </c>
      <c r="AQ22" s="12">
        <f>VISUM_Arterial_OD!AQ22-Arterial_Truck!AQ22-Arterial_HOT!AQ22</f>
        <v>0</v>
      </c>
      <c r="AR22" s="12">
        <f>VISUM_Arterial_OD!AR22-Arterial_Truck!AR22-Arterial_HOT!AR22</f>
        <v>0</v>
      </c>
      <c r="AS22" s="12">
        <f>VISUM_Arterial_OD!AS22-Arterial_Truck!AS22-Arterial_HOT!AS22</f>
        <v>0</v>
      </c>
      <c r="AT22" s="12">
        <f>VISUM_Arterial_OD!AT22-Arterial_Truck!AT22-Arterial_HOT!AT22</f>
        <v>0</v>
      </c>
      <c r="AU22" s="12">
        <f>VISUM_Arterial_OD!AU22-Arterial_Truck!AU22-Arterial_HOT!AU22</f>
        <v>0</v>
      </c>
      <c r="AV22" s="12">
        <f>VISUM_Arterial_OD!AV22-Arterial_Truck!AV22-Arterial_HOT!AV22</f>
        <v>0</v>
      </c>
      <c r="AW22" s="12">
        <f>VISUM_Arterial_OD!AW22-Arterial_Truck!AW22-Arterial_HOT!AW22</f>
        <v>0</v>
      </c>
      <c r="AX22" s="12">
        <f>VISUM_Arterial_OD!AX22-Arterial_Truck!AX22-Arterial_HOT!AX22</f>
        <v>0</v>
      </c>
      <c r="AY22" s="12">
        <f>VISUM_Arterial_OD!AY22-Arterial_Truck!AY22-Arterial_HOT!AY22</f>
        <v>0</v>
      </c>
      <c r="AZ22" s="12">
        <f>VISUM_Arterial_OD!AZ22-Arterial_Truck!AZ22-Arterial_HOT!AZ22</f>
        <v>0</v>
      </c>
      <c r="BA22" s="12">
        <f>VISUM_Arterial_OD!BA22-Arterial_Truck!BA22-Arterial_HOT!BA22</f>
        <v>0</v>
      </c>
      <c r="BB22" s="12">
        <f>VISUM_Arterial_OD!BB22-Arterial_Truck!BB22-Arterial_HOT!BB22</f>
        <v>0</v>
      </c>
      <c r="BC22" s="12">
        <f>VISUM_Arterial_OD!BC22-Arterial_Truck!BC22-Arterial_HOT!BC22</f>
        <v>0</v>
      </c>
      <c r="BD22" s="12">
        <f>VISUM_Arterial_OD!BD22-Arterial_Truck!BD22-Arterial_HOT!BD22</f>
        <v>0</v>
      </c>
      <c r="BE22" s="12">
        <f>VISUM_Arterial_OD!BE22-Arterial_Truck!BE22-Arterial_HOT!BE22</f>
        <v>5.8393514999999994</v>
      </c>
      <c r="BF22" s="12">
        <f>VISUM_Arterial_OD!BF22-Arterial_Truck!BF22-Arterial_HOT!BF22</f>
        <v>0</v>
      </c>
      <c r="BG22" s="12">
        <f>VISUM_Arterial_OD!BG22-Arterial_Truck!BG22-Arterial_HOT!BG22</f>
        <v>0</v>
      </c>
      <c r="BH22" s="12">
        <f>VISUM_Arterial_OD!BH22-Arterial_Truck!BH22-Arterial_HOT!BH22</f>
        <v>0</v>
      </c>
      <c r="BI22" s="12">
        <f>VISUM_Arterial_OD!BI22-Arterial_Truck!BI22-Arterial_HOT!BI22</f>
        <v>0</v>
      </c>
      <c r="BJ22" s="12">
        <f>VISUM_Arterial_OD!BJ22-Arterial_Truck!BJ22-Arterial_HOT!BJ22</f>
        <v>0</v>
      </c>
      <c r="BK22" s="12">
        <f>VISUM_Arterial_OD!BK22-Arterial_Truck!BK22-Arterial_HOT!BK22</f>
        <v>0</v>
      </c>
      <c r="BL22" s="12">
        <f>VISUM_Arterial_OD!BL22-Arterial_Truck!BL22-Arterial_HOT!BL22</f>
        <v>0</v>
      </c>
      <c r="BM22" s="12">
        <f>VISUM_Arterial_OD!BM22-Arterial_Truck!BM22-Arterial_HOT!BM22</f>
        <v>0</v>
      </c>
      <c r="BN22" s="12">
        <f>VISUM_Arterial_OD!BN22-Arterial_Truck!BN22-Arterial_HOT!BN22</f>
        <v>0</v>
      </c>
      <c r="BO22" s="12">
        <f>VISUM_Arterial_OD!BO22-Arterial_Truck!BO22-Arterial_HOT!BO22</f>
        <v>0</v>
      </c>
      <c r="BP22" s="12">
        <f>VISUM_Arterial_OD!BP22-Arterial_Truck!BP22-Arterial_HOT!BP22</f>
        <v>0</v>
      </c>
      <c r="BQ22" s="12">
        <f>VISUM_Arterial_OD!BQ22-Arterial_Truck!BQ22-Arterial_HOT!BQ22</f>
        <v>0</v>
      </c>
    </row>
    <row r="23" spans="1:69" x14ac:dyDescent="0.25">
      <c r="A23" s="5">
        <f>IF(VLOOKUP(B23,Arterial_Zone_Link_Mapping!$A:$C,2,FALSE)&lt;&gt;"",VLOOKUP(B23,Arterial_Zone_Link_Mapping!$A:$C,2,FALSE),"")</f>
        <v>56</v>
      </c>
      <c r="B23" s="5">
        <v>43</v>
      </c>
      <c r="C23" s="12">
        <f>VISUM_Arterial_OD!C23-Arterial_Truck!C23-Arterial_HOT!C23</f>
        <v>0</v>
      </c>
      <c r="D23" s="12">
        <f>VISUM_Arterial_OD!D23-Arterial_Truck!D23-Arterial_HOT!D23</f>
        <v>0</v>
      </c>
      <c r="E23" s="12">
        <f>VISUM_Arterial_OD!E23-Arterial_Truck!E23-Arterial_HOT!E23</f>
        <v>0</v>
      </c>
      <c r="F23" s="12">
        <f>VISUM_Arterial_OD!F23-Arterial_Truck!F23-Arterial_HOT!F23</f>
        <v>0</v>
      </c>
      <c r="G23" s="12">
        <f>VISUM_Arterial_OD!G23-Arterial_Truck!G23-Arterial_HOT!G23</f>
        <v>81.250563960000008</v>
      </c>
      <c r="H23" s="12">
        <f>VISUM_Arterial_OD!H23-Arterial_Truck!H23-Arterial_HOT!H23</f>
        <v>0</v>
      </c>
      <c r="I23" s="12">
        <f>VISUM_Arterial_OD!I23-Arterial_Truck!I23-Arterial_HOT!I23</f>
        <v>0</v>
      </c>
      <c r="J23" s="12">
        <f>VISUM_Arterial_OD!J23-Arterial_Truck!J23-Arterial_HOT!J23</f>
        <v>0</v>
      </c>
      <c r="K23" s="12">
        <f>VISUM_Arterial_OD!K23-Arterial_Truck!K23-Arterial_HOT!K23</f>
        <v>0</v>
      </c>
      <c r="L23" s="12">
        <f>VISUM_Arterial_OD!L23-Arterial_Truck!L23-Arterial_HOT!L23</f>
        <v>0</v>
      </c>
      <c r="M23" s="12">
        <f>VISUM_Arterial_OD!M23-Arterial_Truck!M23-Arterial_HOT!M23</f>
        <v>0</v>
      </c>
      <c r="N23" s="12">
        <f>VISUM_Arterial_OD!N23-Arterial_Truck!N23-Arterial_HOT!N23</f>
        <v>0</v>
      </c>
      <c r="O23" s="12">
        <f>VISUM_Arterial_OD!O23-Arterial_Truck!O23-Arterial_HOT!O23</f>
        <v>0</v>
      </c>
      <c r="P23" s="12">
        <f>VISUM_Arterial_OD!P23-Arterial_Truck!P23-Arterial_HOT!P23</f>
        <v>0</v>
      </c>
      <c r="Q23" s="12">
        <f>VISUM_Arterial_OD!Q23-Arterial_Truck!Q23-Arterial_HOT!Q23</f>
        <v>2.80872133</v>
      </c>
      <c r="R23" s="12">
        <f>VISUM_Arterial_OD!R23-Arterial_Truck!R23-Arterial_HOT!R23</f>
        <v>0</v>
      </c>
      <c r="S23" s="12">
        <f>VISUM_Arterial_OD!S23-Arterial_Truck!S23-Arterial_HOT!S23</f>
        <v>0</v>
      </c>
      <c r="T23" s="12">
        <f>VISUM_Arterial_OD!T23-Arterial_Truck!T23-Arterial_HOT!T23</f>
        <v>0</v>
      </c>
      <c r="U23" s="12">
        <f>VISUM_Arterial_OD!U23-Arterial_Truck!U23-Arterial_HOT!U23</f>
        <v>93.870753809999997</v>
      </c>
      <c r="V23" s="12">
        <f>VISUM_Arterial_OD!V23-Arterial_Truck!V23-Arterial_HOT!V23</f>
        <v>339.49703761999996</v>
      </c>
      <c r="W23" s="12">
        <f>VISUM_Arterial_OD!W23-Arterial_Truck!W23-Arterial_HOT!W23</f>
        <v>0</v>
      </c>
      <c r="X23" s="12">
        <f>VISUM_Arterial_OD!X23-Arterial_Truck!X23-Arterial_HOT!X23</f>
        <v>9.6999156099999997</v>
      </c>
      <c r="Y23" s="12">
        <f>VISUM_Arterial_OD!Y23-Arterial_Truck!Y23-Arterial_HOT!Y23</f>
        <v>0</v>
      </c>
      <c r="Z23" s="12">
        <f>VISUM_Arterial_OD!Z23-Arterial_Truck!Z23-Arterial_HOT!Z23</f>
        <v>0</v>
      </c>
      <c r="AA23" s="12">
        <f>VISUM_Arterial_OD!AA23-Arterial_Truck!AA23-Arterial_HOT!AA23</f>
        <v>31.410402260000001</v>
      </c>
      <c r="AB23" s="12">
        <f>VISUM_Arterial_OD!AB23-Arterial_Truck!AB23-Arterial_HOT!AB23</f>
        <v>0</v>
      </c>
      <c r="AC23" s="12">
        <f>VISUM_Arterial_OD!AC23-Arterial_Truck!AC23-Arterial_HOT!AC23</f>
        <v>0</v>
      </c>
      <c r="AD23" s="12">
        <f>VISUM_Arterial_OD!AD23-Arterial_Truck!AD23-Arterial_HOT!AD23</f>
        <v>0</v>
      </c>
      <c r="AE23" s="12">
        <f>VISUM_Arterial_OD!AE23-Arterial_Truck!AE23-Arterial_HOT!AE23</f>
        <v>0</v>
      </c>
      <c r="AF23" s="12">
        <f>VISUM_Arterial_OD!AF23-Arterial_Truck!AF23-Arterial_HOT!AF23</f>
        <v>0</v>
      </c>
      <c r="AG23" s="12">
        <f>VISUM_Arterial_OD!AG23-Arterial_Truck!AG23-Arterial_HOT!AG23</f>
        <v>0</v>
      </c>
      <c r="AH23" s="12">
        <f>VISUM_Arterial_OD!AH23-Arterial_Truck!AH23-Arterial_HOT!AH23</f>
        <v>0</v>
      </c>
      <c r="AI23" s="12">
        <f>VISUM_Arterial_OD!AI23-Arterial_Truck!AI23-Arterial_HOT!AI23</f>
        <v>0</v>
      </c>
      <c r="AJ23" s="12">
        <f>VISUM_Arterial_OD!AJ23-Arterial_Truck!AJ23-Arterial_HOT!AJ23</f>
        <v>0</v>
      </c>
      <c r="AK23" s="12">
        <f>VISUM_Arterial_OD!AK23-Arterial_Truck!AK23-Arterial_HOT!AK23</f>
        <v>0</v>
      </c>
      <c r="AL23" s="12">
        <f>VISUM_Arterial_OD!AL23-Arterial_Truck!AL23-Arterial_HOT!AL23</f>
        <v>0</v>
      </c>
      <c r="AM23" s="12">
        <f>VISUM_Arterial_OD!AM23-Arterial_Truck!AM23-Arterial_HOT!AM23</f>
        <v>0</v>
      </c>
      <c r="AN23" s="12">
        <f>VISUM_Arterial_OD!AN23-Arterial_Truck!AN23-Arterial_HOT!AN23</f>
        <v>0</v>
      </c>
      <c r="AO23" s="12">
        <f>VISUM_Arterial_OD!AO23-Arterial_Truck!AO23-Arterial_HOT!AO23</f>
        <v>0</v>
      </c>
      <c r="AP23" s="12">
        <f>VISUM_Arterial_OD!AP23-Arterial_Truck!AP23-Arterial_HOT!AP23</f>
        <v>0</v>
      </c>
      <c r="AQ23" s="12">
        <f>VISUM_Arterial_OD!AQ23-Arterial_Truck!AQ23-Arterial_HOT!AQ23</f>
        <v>0</v>
      </c>
      <c r="AR23" s="12">
        <f>VISUM_Arterial_OD!AR23-Arterial_Truck!AR23-Arterial_HOT!AR23</f>
        <v>0</v>
      </c>
      <c r="AS23" s="12">
        <f>VISUM_Arterial_OD!AS23-Arterial_Truck!AS23-Arterial_HOT!AS23</f>
        <v>0</v>
      </c>
      <c r="AT23" s="12">
        <f>VISUM_Arterial_OD!AT23-Arterial_Truck!AT23-Arterial_HOT!AT23</f>
        <v>0</v>
      </c>
      <c r="AU23" s="12">
        <f>VISUM_Arterial_OD!AU23-Arterial_Truck!AU23-Arterial_HOT!AU23</f>
        <v>0</v>
      </c>
      <c r="AV23" s="12">
        <f>VISUM_Arterial_OD!AV23-Arterial_Truck!AV23-Arterial_HOT!AV23</f>
        <v>0</v>
      </c>
      <c r="AW23" s="12">
        <f>VISUM_Arterial_OD!AW23-Arterial_Truck!AW23-Arterial_HOT!AW23</f>
        <v>0</v>
      </c>
      <c r="AX23" s="12">
        <f>VISUM_Arterial_OD!AX23-Arterial_Truck!AX23-Arterial_HOT!AX23</f>
        <v>0</v>
      </c>
      <c r="AY23" s="12">
        <f>VISUM_Arterial_OD!AY23-Arterial_Truck!AY23-Arterial_HOT!AY23</f>
        <v>0</v>
      </c>
      <c r="AZ23" s="12">
        <f>VISUM_Arterial_OD!AZ23-Arterial_Truck!AZ23-Arterial_HOT!AZ23</f>
        <v>0</v>
      </c>
      <c r="BA23" s="12">
        <f>VISUM_Arterial_OD!BA23-Arterial_Truck!BA23-Arterial_HOT!BA23</f>
        <v>0</v>
      </c>
      <c r="BB23" s="12">
        <f>VISUM_Arterial_OD!BB23-Arterial_Truck!BB23-Arterial_HOT!BB23</f>
        <v>0</v>
      </c>
      <c r="BC23" s="12">
        <f>VISUM_Arterial_OD!BC23-Arterial_Truck!BC23-Arterial_HOT!BC23</f>
        <v>0</v>
      </c>
      <c r="BD23" s="12">
        <f>VISUM_Arterial_OD!BD23-Arterial_Truck!BD23-Arterial_HOT!BD23</f>
        <v>0</v>
      </c>
      <c r="BE23" s="12">
        <f>VISUM_Arterial_OD!BE23-Arterial_Truck!BE23-Arterial_HOT!BE23</f>
        <v>52.573265710000001</v>
      </c>
      <c r="BF23" s="12">
        <f>VISUM_Arterial_OD!BF23-Arterial_Truck!BF23-Arterial_HOT!BF23</f>
        <v>0</v>
      </c>
      <c r="BG23" s="12">
        <f>VISUM_Arterial_OD!BG23-Arterial_Truck!BG23-Arterial_HOT!BG23</f>
        <v>0</v>
      </c>
      <c r="BH23" s="12">
        <f>VISUM_Arterial_OD!BH23-Arterial_Truck!BH23-Arterial_HOT!BH23</f>
        <v>0</v>
      </c>
      <c r="BI23" s="12">
        <f>VISUM_Arterial_OD!BI23-Arterial_Truck!BI23-Arterial_HOT!BI23</f>
        <v>0</v>
      </c>
      <c r="BJ23" s="12">
        <f>VISUM_Arterial_OD!BJ23-Arterial_Truck!BJ23-Arterial_HOT!BJ23</f>
        <v>0</v>
      </c>
      <c r="BK23" s="12">
        <f>VISUM_Arterial_OD!BK23-Arterial_Truck!BK23-Arterial_HOT!BK23</f>
        <v>0</v>
      </c>
      <c r="BL23" s="12">
        <f>VISUM_Arterial_OD!BL23-Arterial_Truck!BL23-Arterial_HOT!BL23</f>
        <v>0</v>
      </c>
      <c r="BM23" s="12">
        <f>VISUM_Arterial_OD!BM23-Arterial_Truck!BM23-Arterial_HOT!BM23</f>
        <v>0</v>
      </c>
      <c r="BN23" s="12">
        <f>VISUM_Arterial_OD!BN23-Arterial_Truck!BN23-Arterial_HOT!BN23</f>
        <v>0</v>
      </c>
      <c r="BO23" s="12">
        <f>VISUM_Arterial_OD!BO23-Arterial_Truck!BO23-Arterial_HOT!BO23</f>
        <v>0</v>
      </c>
      <c r="BP23" s="12">
        <f>VISUM_Arterial_OD!BP23-Arterial_Truck!BP23-Arterial_HOT!BP23</f>
        <v>0</v>
      </c>
      <c r="BQ23" s="12">
        <f>VISUM_Arterial_OD!BQ23-Arterial_Truck!BQ23-Arterial_HOT!BQ23</f>
        <v>0</v>
      </c>
    </row>
    <row r="24" spans="1:69" x14ac:dyDescent="0.25">
      <c r="A24" s="5">
        <f>IF(VLOOKUP(B24,Arterial_Zone_Link_Mapping!$A:$C,2,FALSE)&lt;&gt;"",VLOOKUP(B24,Arterial_Zone_Link_Mapping!$A:$C,2,FALSE),"")</f>
        <v>20017</v>
      </c>
      <c r="B24" s="5">
        <v>44</v>
      </c>
      <c r="C24" s="12">
        <f>VISUM_Arterial_OD!C24-Arterial_Truck!C24-Arterial_HOT!C24</f>
        <v>0</v>
      </c>
      <c r="D24" s="12">
        <f>VISUM_Arterial_OD!D24-Arterial_Truck!D24-Arterial_HOT!D24</f>
        <v>0</v>
      </c>
      <c r="E24" s="12">
        <f>VISUM_Arterial_OD!E24-Arterial_Truck!E24-Arterial_HOT!E24</f>
        <v>0</v>
      </c>
      <c r="F24" s="12">
        <f>VISUM_Arterial_OD!F24-Arterial_Truck!F24-Arterial_HOT!F24</f>
        <v>0</v>
      </c>
      <c r="G24" s="12">
        <f>VISUM_Arterial_OD!G24-Arterial_Truck!G24-Arterial_HOT!G24</f>
        <v>115.53659718</v>
      </c>
      <c r="H24" s="12">
        <f>VISUM_Arterial_OD!H24-Arterial_Truck!H24-Arterial_HOT!H24</f>
        <v>0</v>
      </c>
      <c r="I24" s="12">
        <f>VISUM_Arterial_OD!I24-Arterial_Truck!I24-Arterial_HOT!I24</f>
        <v>0</v>
      </c>
      <c r="J24" s="12">
        <f>VISUM_Arterial_OD!J24-Arterial_Truck!J24-Arterial_HOT!J24</f>
        <v>0</v>
      </c>
      <c r="K24" s="12">
        <f>VISUM_Arterial_OD!K24-Arterial_Truck!K24-Arterial_HOT!K24</f>
        <v>0</v>
      </c>
      <c r="L24" s="12">
        <f>VISUM_Arterial_OD!L24-Arterial_Truck!L24-Arterial_HOT!L24</f>
        <v>0</v>
      </c>
      <c r="M24" s="12">
        <f>VISUM_Arterial_OD!M24-Arterial_Truck!M24-Arterial_HOT!M24</f>
        <v>0</v>
      </c>
      <c r="N24" s="12">
        <f>VISUM_Arterial_OD!N24-Arterial_Truck!N24-Arterial_HOT!N24</f>
        <v>0</v>
      </c>
      <c r="O24" s="12">
        <f>VISUM_Arterial_OD!O24-Arterial_Truck!O24-Arterial_HOT!O24</f>
        <v>0</v>
      </c>
      <c r="P24" s="12">
        <f>VISUM_Arterial_OD!P24-Arterial_Truck!P24-Arterial_HOT!P24</f>
        <v>0</v>
      </c>
      <c r="Q24" s="12">
        <f>VISUM_Arterial_OD!Q24-Arterial_Truck!Q24-Arterial_HOT!Q24</f>
        <v>19.99947843</v>
      </c>
      <c r="R24" s="12">
        <f>VISUM_Arterial_OD!R24-Arterial_Truck!R24-Arterial_HOT!R24</f>
        <v>0</v>
      </c>
      <c r="S24" s="12">
        <f>VISUM_Arterial_OD!S24-Arterial_Truck!S24-Arterial_HOT!S24</f>
        <v>0</v>
      </c>
      <c r="T24" s="12">
        <f>VISUM_Arterial_OD!T24-Arterial_Truck!T24-Arterial_HOT!T24</f>
        <v>0</v>
      </c>
      <c r="U24" s="12">
        <f>VISUM_Arterial_OD!U24-Arterial_Truck!U24-Arterial_HOT!U24</f>
        <v>46.659762560000004</v>
      </c>
      <c r="V24" s="12">
        <f>VISUM_Arterial_OD!V24-Arterial_Truck!V24-Arterial_HOT!V24</f>
        <v>14.549872930000001</v>
      </c>
      <c r="W24" s="12">
        <f>VISUM_Arterial_OD!W24-Arterial_Truck!W24-Arterial_HOT!W24</f>
        <v>4.8499573199999997</v>
      </c>
      <c r="X24" s="12">
        <f>VISUM_Arterial_OD!X24-Arterial_Truck!X24-Arterial_HOT!X24</f>
        <v>0</v>
      </c>
      <c r="Y24" s="12">
        <f>VISUM_Arterial_OD!Y24-Arterial_Truck!Y24-Arterial_HOT!Y24</f>
        <v>0</v>
      </c>
      <c r="Z24" s="12">
        <f>VISUM_Arterial_OD!Z24-Arterial_Truck!Z24-Arterial_HOT!Z24</f>
        <v>0</v>
      </c>
      <c r="AA24" s="12">
        <f>VISUM_Arterial_OD!AA24-Arterial_Truck!AA24-Arterial_HOT!AA24</f>
        <v>65.431550790000003</v>
      </c>
      <c r="AB24" s="12">
        <f>VISUM_Arterial_OD!AB24-Arterial_Truck!AB24-Arterial_HOT!AB24</f>
        <v>0</v>
      </c>
      <c r="AC24" s="12">
        <f>VISUM_Arterial_OD!AC24-Arterial_Truck!AC24-Arterial_HOT!AC24</f>
        <v>0</v>
      </c>
      <c r="AD24" s="12">
        <f>VISUM_Arterial_OD!AD24-Arterial_Truck!AD24-Arterial_HOT!AD24</f>
        <v>0</v>
      </c>
      <c r="AE24" s="12">
        <f>VISUM_Arterial_OD!AE24-Arterial_Truck!AE24-Arterial_HOT!AE24</f>
        <v>0</v>
      </c>
      <c r="AF24" s="12">
        <f>VISUM_Arterial_OD!AF24-Arterial_Truck!AF24-Arterial_HOT!AF24</f>
        <v>0</v>
      </c>
      <c r="AG24" s="12">
        <f>VISUM_Arterial_OD!AG24-Arterial_Truck!AG24-Arterial_HOT!AG24</f>
        <v>0</v>
      </c>
      <c r="AH24" s="12">
        <f>VISUM_Arterial_OD!AH24-Arterial_Truck!AH24-Arterial_HOT!AH24</f>
        <v>0</v>
      </c>
      <c r="AI24" s="12">
        <f>VISUM_Arterial_OD!AI24-Arterial_Truck!AI24-Arterial_HOT!AI24</f>
        <v>0</v>
      </c>
      <c r="AJ24" s="12">
        <f>VISUM_Arterial_OD!AJ24-Arterial_Truck!AJ24-Arterial_HOT!AJ24</f>
        <v>0</v>
      </c>
      <c r="AK24" s="12">
        <f>VISUM_Arterial_OD!AK24-Arterial_Truck!AK24-Arterial_HOT!AK24</f>
        <v>0</v>
      </c>
      <c r="AL24" s="12">
        <f>VISUM_Arterial_OD!AL24-Arterial_Truck!AL24-Arterial_HOT!AL24</f>
        <v>0</v>
      </c>
      <c r="AM24" s="12">
        <f>VISUM_Arterial_OD!AM24-Arterial_Truck!AM24-Arterial_HOT!AM24</f>
        <v>0</v>
      </c>
      <c r="AN24" s="12">
        <f>VISUM_Arterial_OD!AN24-Arterial_Truck!AN24-Arterial_HOT!AN24</f>
        <v>0</v>
      </c>
      <c r="AO24" s="12">
        <f>VISUM_Arterial_OD!AO24-Arterial_Truck!AO24-Arterial_HOT!AO24</f>
        <v>0</v>
      </c>
      <c r="AP24" s="12">
        <f>VISUM_Arterial_OD!AP24-Arterial_Truck!AP24-Arterial_HOT!AP24</f>
        <v>0</v>
      </c>
      <c r="AQ24" s="12">
        <f>VISUM_Arterial_OD!AQ24-Arterial_Truck!AQ24-Arterial_HOT!AQ24</f>
        <v>0</v>
      </c>
      <c r="AR24" s="12">
        <f>VISUM_Arterial_OD!AR24-Arterial_Truck!AR24-Arterial_HOT!AR24</f>
        <v>0</v>
      </c>
      <c r="AS24" s="12">
        <f>VISUM_Arterial_OD!AS24-Arterial_Truck!AS24-Arterial_HOT!AS24</f>
        <v>0</v>
      </c>
      <c r="AT24" s="12">
        <f>VISUM_Arterial_OD!AT24-Arterial_Truck!AT24-Arterial_HOT!AT24</f>
        <v>0</v>
      </c>
      <c r="AU24" s="12">
        <f>VISUM_Arterial_OD!AU24-Arterial_Truck!AU24-Arterial_HOT!AU24</f>
        <v>0</v>
      </c>
      <c r="AV24" s="12">
        <f>VISUM_Arterial_OD!AV24-Arterial_Truck!AV24-Arterial_HOT!AV24</f>
        <v>0</v>
      </c>
      <c r="AW24" s="12">
        <f>VISUM_Arterial_OD!AW24-Arterial_Truck!AW24-Arterial_HOT!AW24</f>
        <v>0</v>
      </c>
      <c r="AX24" s="12">
        <f>VISUM_Arterial_OD!AX24-Arterial_Truck!AX24-Arterial_HOT!AX24</f>
        <v>0</v>
      </c>
      <c r="AY24" s="12">
        <f>VISUM_Arterial_OD!AY24-Arterial_Truck!AY24-Arterial_HOT!AY24</f>
        <v>0</v>
      </c>
      <c r="AZ24" s="12">
        <f>VISUM_Arterial_OD!AZ24-Arterial_Truck!AZ24-Arterial_HOT!AZ24</f>
        <v>0</v>
      </c>
      <c r="BA24" s="12">
        <f>VISUM_Arterial_OD!BA24-Arterial_Truck!BA24-Arterial_HOT!BA24</f>
        <v>0</v>
      </c>
      <c r="BB24" s="12">
        <f>VISUM_Arterial_OD!BB24-Arterial_Truck!BB24-Arterial_HOT!BB24</f>
        <v>0</v>
      </c>
      <c r="BC24" s="12">
        <f>VISUM_Arterial_OD!BC24-Arterial_Truck!BC24-Arterial_HOT!BC24</f>
        <v>0</v>
      </c>
      <c r="BD24" s="12">
        <f>VISUM_Arterial_OD!BD24-Arterial_Truck!BD24-Arterial_HOT!BD24</f>
        <v>0</v>
      </c>
      <c r="BE24" s="12">
        <f>VISUM_Arterial_OD!BE24-Arterial_Truck!BE24-Arterial_HOT!BE24</f>
        <v>72.499225900000013</v>
      </c>
      <c r="BF24" s="12">
        <f>VISUM_Arterial_OD!BF24-Arterial_Truck!BF24-Arterial_HOT!BF24</f>
        <v>0</v>
      </c>
      <c r="BG24" s="12">
        <f>VISUM_Arterial_OD!BG24-Arterial_Truck!BG24-Arterial_HOT!BG24</f>
        <v>0</v>
      </c>
      <c r="BH24" s="12">
        <f>VISUM_Arterial_OD!BH24-Arterial_Truck!BH24-Arterial_HOT!BH24</f>
        <v>0</v>
      </c>
      <c r="BI24" s="12">
        <f>VISUM_Arterial_OD!BI24-Arterial_Truck!BI24-Arterial_HOT!BI24</f>
        <v>0</v>
      </c>
      <c r="BJ24" s="12">
        <f>VISUM_Arterial_OD!BJ24-Arterial_Truck!BJ24-Arterial_HOT!BJ24</f>
        <v>0</v>
      </c>
      <c r="BK24" s="12">
        <f>VISUM_Arterial_OD!BK24-Arterial_Truck!BK24-Arterial_HOT!BK24</f>
        <v>0</v>
      </c>
      <c r="BL24" s="12">
        <f>VISUM_Arterial_OD!BL24-Arterial_Truck!BL24-Arterial_HOT!BL24</f>
        <v>0</v>
      </c>
      <c r="BM24" s="12">
        <f>VISUM_Arterial_OD!BM24-Arterial_Truck!BM24-Arterial_HOT!BM24</f>
        <v>0</v>
      </c>
      <c r="BN24" s="12">
        <f>VISUM_Arterial_OD!BN24-Arterial_Truck!BN24-Arterial_HOT!BN24</f>
        <v>0</v>
      </c>
      <c r="BO24" s="12">
        <f>VISUM_Arterial_OD!BO24-Arterial_Truck!BO24-Arterial_HOT!BO24</f>
        <v>0</v>
      </c>
      <c r="BP24" s="12">
        <f>VISUM_Arterial_OD!BP24-Arterial_Truck!BP24-Arterial_HOT!BP24</f>
        <v>0</v>
      </c>
      <c r="BQ24" s="12">
        <f>VISUM_Arterial_OD!BQ24-Arterial_Truck!BQ24-Arterial_HOT!BQ24</f>
        <v>0</v>
      </c>
    </row>
    <row r="25" spans="1:69" x14ac:dyDescent="0.25">
      <c r="A25" s="5">
        <f>IF(VLOOKUP(B25,Arterial_Zone_Link_Mapping!$A:$C,2,FALSE)&lt;&gt;"",VLOOKUP(B25,Arterial_Zone_Link_Mapping!$A:$C,2,FALSE),"")</f>
        <v>488</v>
      </c>
      <c r="B25" s="5">
        <v>46</v>
      </c>
      <c r="C25" s="12">
        <f>VISUM_Arterial_OD!C25-Arterial_Truck!C25-Arterial_HOT!C25</f>
        <v>0</v>
      </c>
      <c r="D25" s="12">
        <f>VISUM_Arterial_OD!D25-Arterial_Truck!D25-Arterial_HOT!D25</f>
        <v>0</v>
      </c>
      <c r="E25" s="12">
        <f>VISUM_Arterial_OD!E25-Arterial_Truck!E25-Arterial_HOT!E25</f>
        <v>33.949704150000002</v>
      </c>
      <c r="F25" s="12">
        <f>VISUM_Arterial_OD!F25-Arterial_Truck!F25-Arterial_HOT!F25</f>
        <v>0</v>
      </c>
      <c r="G25" s="12">
        <f>VISUM_Arterial_OD!G25-Arterial_Truck!G25-Arterial_HOT!G25</f>
        <v>0</v>
      </c>
      <c r="H25" s="12">
        <f>VISUM_Arterial_OD!H25-Arterial_Truck!H25-Arterial_HOT!H25</f>
        <v>0</v>
      </c>
      <c r="I25" s="12">
        <f>VISUM_Arterial_OD!I25-Arterial_Truck!I25-Arterial_HOT!I25</f>
        <v>0</v>
      </c>
      <c r="J25" s="12">
        <f>VISUM_Arterial_OD!J25-Arterial_Truck!J25-Arterial_HOT!J25</f>
        <v>0</v>
      </c>
      <c r="K25" s="12">
        <f>VISUM_Arterial_OD!K25-Arterial_Truck!K25-Arterial_HOT!K25</f>
        <v>0</v>
      </c>
      <c r="L25" s="12">
        <f>VISUM_Arterial_OD!L25-Arterial_Truck!L25-Arterial_HOT!L25</f>
        <v>0</v>
      </c>
      <c r="M25" s="12">
        <f>VISUM_Arterial_OD!M25-Arterial_Truck!M25-Arterial_HOT!M25</f>
        <v>63.057156660000004</v>
      </c>
      <c r="N25" s="12">
        <f>VISUM_Arterial_OD!N25-Arterial_Truck!N25-Arterial_HOT!N25</f>
        <v>35.639391770000003</v>
      </c>
      <c r="O25" s="12">
        <f>VISUM_Arterial_OD!O25-Arterial_Truck!O25-Arterial_HOT!O25</f>
        <v>0</v>
      </c>
      <c r="P25" s="12">
        <f>VISUM_Arterial_OD!P25-Arterial_Truck!P25-Arterial_HOT!P25</f>
        <v>0</v>
      </c>
      <c r="Q25" s="12">
        <f>VISUM_Arterial_OD!Q25-Arterial_Truck!Q25-Arterial_HOT!Q25</f>
        <v>0</v>
      </c>
      <c r="R25" s="12">
        <f>VISUM_Arterial_OD!R25-Arterial_Truck!R25-Arterial_HOT!R25</f>
        <v>0</v>
      </c>
      <c r="S25" s="12">
        <f>VISUM_Arterial_OD!S25-Arterial_Truck!S25-Arterial_HOT!S25</f>
        <v>0</v>
      </c>
      <c r="T25" s="12">
        <f>VISUM_Arterial_OD!T25-Arterial_Truck!T25-Arterial_HOT!T25</f>
        <v>0</v>
      </c>
      <c r="U25" s="12">
        <f>VISUM_Arterial_OD!U25-Arterial_Truck!U25-Arterial_HOT!U25</f>
        <v>0</v>
      </c>
      <c r="V25" s="12">
        <f>VISUM_Arterial_OD!V25-Arterial_Truck!V25-Arterial_HOT!V25</f>
        <v>0</v>
      </c>
      <c r="W25" s="12">
        <f>VISUM_Arterial_OD!W25-Arterial_Truck!W25-Arterial_HOT!W25</f>
        <v>0</v>
      </c>
      <c r="X25" s="12">
        <f>VISUM_Arterial_OD!X25-Arterial_Truck!X25-Arterial_HOT!X25</f>
        <v>0</v>
      </c>
      <c r="Y25" s="12">
        <f>VISUM_Arterial_OD!Y25-Arterial_Truck!Y25-Arterial_HOT!Y25</f>
        <v>0</v>
      </c>
      <c r="Z25" s="12">
        <f>VISUM_Arterial_OD!Z25-Arterial_Truck!Z25-Arterial_HOT!Z25</f>
        <v>0</v>
      </c>
      <c r="AA25" s="12">
        <f>VISUM_Arterial_OD!AA25-Arterial_Truck!AA25-Arterial_HOT!AA25</f>
        <v>0</v>
      </c>
      <c r="AB25" s="12">
        <f>VISUM_Arterial_OD!AB25-Arterial_Truck!AB25-Arterial_HOT!AB25</f>
        <v>0</v>
      </c>
      <c r="AC25" s="12">
        <f>VISUM_Arterial_OD!AC25-Arterial_Truck!AC25-Arterial_HOT!AC25</f>
        <v>0</v>
      </c>
      <c r="AD25" s="12">
        <f>VISUM_Arterial_OD!AD25-Arterial_Truck!AD25-Arterial_HOT!AD25</f>
        <v>0.51317559000000001</v>
      </c>
      <c r="AE25" s="12">
        <f>VISUM_Arterial_OD!AE25-Arterial_Truck!AE25-Arterial_HOT!AE25</f>
        <v>1.2232369300000001</v>
      </c>
      <c r="AF25" s="12">
        <f>VISUM_Arterial_OD!AF25-Arterial_Truck!AF25-Arterial_HOT!AF25</f>
        <v>0</v>
      </c>
      <c r="AG25" s="12">
        <f>VISUM_Arterial_OD!AG25-Arterial_Truck!AG25-Arterial_HOT!AG25</f>
        <v>0</v>
      </c>
      <c r="AH25" s="12">
        <f>VISUM_Arterial_OD!AH25-Arterial_Truck!AH25-Arterial_HOT!AH25</f>
        <v>0</v>
      </c>
      <c r="AI25" s="12">
        <f>VISUM_Arterial_OD!AI25-Arterial_Truck!AI25-Arterial_HOT!AI25</f>
        <v>0</v>
      </c>
      <c r="AJ25" s="12">
        <f>VISUM_Arterial_OD!AJ25-Arterial_Truck!AJ25-Arterial_HOT!AJ25</f>
        <v>0</v>
      </c>
      <c r="AK25" s="12">
        <f>VISUM_Arterial_OD!AK25-Arterial_Truck!AK25-Arterial_HOT!AK25</f>
        <v>0</v>
      </c>
      <c r="AL25" s="12">
        <f>VISUM_Arterial_OD!AL25-Arterial_Truck!AL25-Arterial_HOT!AL25</f>
        <v>0</v>
      </c>
      <c r="AM25" s="12">
        <f>VISUM_Arterial_OD!AM25-Arterial_Truck!AM25-Arterial_HOT!AM25</f>
        <v>0</v>
      </c>
      <c r="AN25" s="12">
        <f>VISUM_Arterial_OD!AN25-Arterial_Truck!AN25-Arterial_HOT!AN25</f>
        <v>0</v>
      </c>
      <c r="AO25" s="12">
        <f>VISUM_Arterial_OD!AO25-Arterial_Truck!AO25-Arterial_HOT!AO25</f>
        <v>0</v>
      </c>
      <c r="AP25" s="12">
        <f>VISUM_Arterial_OD!AP25-Arterial_Truck!AP25-Arterial_HOT!AP25</f>
        <v>0</v>
      </c>
      <c r="AQ25" s="12">
        <f>VISUM_Arterial_OD!AQ25-Arterial_Truck!AQ25-Arterial_HOT!AQ25</f>
        <v>0</v>
      </c>
      <c r="AR25" s="12">
        <f>VISUM_Arterial_OD!AR25-Arterial_Truck!AR25-Arterial_HOT!AR25</f>
        <v>0</v>
      </c>
      <c r="AS25" s="12">
        <f>VISUM_Arterial_OD!AS25-Arterial_Truck!AS25-Arterial_HOT!AS25</f>
        <v>0</v>
      </c>
      <c r="AT25" s="12">
        <f>VISUM_Arterial_OD!AT25-Arterial_Truck!AT25-Arterial_HOT!AT25</f>
        <v>0</v>
      </c>
      <c r="AU25" s="12">
        <f>VISUM_Arterial_OD!AU25-Arterial_Truck!AU25-Arterial_HOT!AU25</f>
        <v>0</v>
      </c>
      <c r="AV25" s="12">
        <f>VISUM_Arterial_OD!AV25-Arterial_Truck!AV25-Arterial_HOT!AV25</f>
        <v>0</v>
      </c>
      <c r="AW25" s="12">
        <f>VISUM_Arterial_OD!AW25-Arterial_Truck!AW25-Arterial_HOT!AW25</f>
        <v>0</v>
      </c>
      <c r="AX25" s="12">
        <f>VISUM_Arterial_OD!AX25-Arterial_Truck!AX25-Arterial_HOT!AX25</f>
        <v>0</v>
      </c>
      <c r="AY25" s="12">
        <f>VISUM_Arterial_OD!AY25-Arterial_Truck!AY25-Arterial_HOT!AY25</f>
        <v>0</v>
      </c>
      <c r="AZ25" s="12">
        <f>VISUM_Arterial_OD!AZ25-Arterial_Truck!AZ25-Arterial_HOT!AZ25</f>
        <v>0</v>
      </c>
      <c r="BA25" s="12">
        <f>VISUM_Arterial_OD!BA25-Arterial_Truck!BA25-Arterial_HOT!BA25</f>
        <v>0</v>
      </c>
      <c r="BB25" s="12">
        <f>VISUM_Arterial_OD!BB25-Arterial_Truck!BB25-Arterial_HOT!BB25</f>
        <v>0</v>
      </c>
      <c r="BC25" s="12">
        <f>VISUM_Arterial_OD!BC25-Arterial_Truck!BC25-Arterial_HOT!BC25</f>
        <v>0</v>
      </c>
      <c r="BD25" s="12">
        <f>VISUM_Arterial_OD!BD25-Arterial_Truck!BD25-Arterial_HOT!BD25</f>
        <v>0</v>
      </c>
      <c r="BE25" s="12">
        <f>VISUM_Arterial_OD!BE25-Arterial_Truck!BE25-Arterial_HOT!BE25</f>
        <v>0</v>
      </c>
      <c r="BF25" s="12">
        <f>VISUM_Arterial_OD!BF25-Arterial_Truck!BF25-Arterial_HOT!BF25</f>
        <v>0</v>
      </c>
      <c r="BG25" s="12">
        <f>VISUM_Arterial_OD!BG25-Arterial_Truck!BG25-Arterial_HOT!BG25</f>
        <v>124.56858728</v>
      </c>
      <c r="BH25" s="12">
        <f>VISUM_Arterial_OD!BH25-Arterial_Truck!BH25-Arterial_HOT!BH25</f>
        <v>124.07915535000001</v>
      </c>
      <c r="BI25" s="12">
        <f>VISUM_Arterial_OD!BI25-Arterial_Truck!BI25-Arterial_HOT!BI25</f>
        <v>0</v>
      </c>
      <c r="BJ25" s="12">
        <f>VISUM_Arterial_OD!BJ25-Arterial_Truck!BJ25-Arterial_HOT!BJ25</f>
        <v>0</v>
      </c>
      <c r="BK25" s="12">
        <f>VISUM_Arterial_OD!BK25-Arterial_Truck!BK25-Arterial_HOT!BK25</f>
        <v>0</v>
      </c>
      <c r="BL25" s="12">
        <f>VISUM_Arterial_OD!BL25-Arterial_Truck!BL25-Arterial_HOT!BL25</f>
        <v>0</v>
      </c>
      <c r="BM25" s="12">
        <f>VISUM_Arterial_OD!BM25-Arterial_Truck!BM25-Arterial_HOT!BM25</f>
        <v>0</v>
      </c>
      <c r="BN25" s="12">
        <f>VISUM_Arterial_OD!BN25-Arterial_Truck!BN25-Arterial_HOT!BN25</f>
        <v>0</v>
      </c>
      <c r="BO25" s="12">
        <f>VISUM_Arterial_OD!BO25-Arterial_Truck!BO25-Arterial_HOT!BO25</f>
        <v>0</v>
      </c>
      <c r="BP25" s="12">
        <f>VISUM_Arterial_OD!BP25-Arterial_Truck!BP25-Arterial_HOT!BP25</f>
        <v>0</v>
      </c>
      <c r="BQ25" s="12">
        <f>VISUM_Arterial_OD!BQ25-Arterial_Truck!BQ25-Arterial_HOT!BQ25</f>
        <v>0</v>
      </c>
    </row>
    <row r="26" spans="1:69" x14ac:dyDescent="0.25">
      <c r="A26" s="5">
        <f>IF(VLOOKUP(B26,Arterial_Zone_Link_Mapping!$A:$C,2,FALSE)&lt;&gt;"",VLOOKUP(B26,Arterial_Zone_Link_Mapping!$A:$C,2,FALSE),"")</f>
        <v>128</v>
      </c>
      <c r="B26" s="5">
        <v>47</v>
      </c>
      <c r="C26" s="12">
        <f>VISUM_Arterial_OD!C26-Arterial_Truck!C26-Arterial_HOT!C26</f>
        <v>9.4496769500000006</v>
      </c>
      <c r="D26" s="12">
        <f>VISUM_Arterial_OD!D26-Arterial_Truck!D26-Arterial_HOT!D26</f>
        <v>16.230479410000001</v>
      </c>
      <c r="E26" s="12">
        <f>VISUM_Arterial_OD!E26-Arterial_Truck!E26-Arterial_HOT!E26</f>
        <v>0</v>
      </c>
      <c r="F26" s="12">
        <f>VISUM_Arterial_OD!F26-Arterial_Truck!F26-Arterial_HOT!F26</f>
        <v>0</v>
      </c>
      <c r="G26" s="12">
        <f>VISUM_Arterial_OD!G26-Arterial_Truck!G26-Arterial_HOT!G26</f>
        <v>0</v>
      </c>
      <c r="H26" s="12">
        <f>VISUM_Arterial_OD!H26-Arterial_Truck!H26-Arterial_HOT!H26</f>
        <v>0</v>
      </c>
      <c r="I26" s="12">
        <f>VISUM_Arterial_OD!I26-Arterial_Truck!I26-Arterial_HOT!I26</f>
        <v>0</v>
      </c>
      <c r="J26" s="12">
        <f>VISUM_Arterial_OD!J26-Arterial_Truck!J26-Arterial_HOT!J26</f>
        <v>122.09004134</v>
      </c>
      <c r="K26" s="12">
        <f>VISUM_Arterial_OD!K26-Arterial_Truck!K26-Arterial_HOT!K26</f>
        <v>27.23049863</v>
      </c>
      <c r="L26" s="12">
        <f>VISUM_Arterial_OD!L26-Arterial_Truck!L26-Arterial_HOT!L26</f>
        <v>68.777386340000007</v>
      </c>
      <c r="M26" s="12">
        <f>VISUM_Arterial_OD!M26-Arterial_Truck!M26-Arterial_HOT!M26</f>
        <v>0</v>
      </c>
      <c r="N26" s="12">
        <f>VISUM_Arterial_OD!N26-Arterial_Truck!N26-Arterial_HOT!N26</f>
        <v>0</v>
      </c>
      <c r="O26" s="12">
        <f>VISUM_Arterial_OD!O26-Arterial_Truck!O26-Arterial_HOT!O26</f>
        <v>344.12561377999998</v>
      </c>
      <c r="P26" s="12">
        <f>VISUM_Arterial_OD!P26-Arterial_Truck!P26-Arterial_HOT!P26</f>
        <v>10.987222979999999</v>
      </c>
      <c r="Q26" s="12">
        <f>VISUM_Arterial_OD!Q26-Arterial_Truck!Q26-Arterial_HOT!Q26</f>
        <v>0</v>
      </c>
      <c r="R26" s="12">
        <f>VISUM_Arterial_OD!R26-Arterial_Truck!R26-Arterial_HOT!R26</f>
        <v>0</v>
      </c>
      <c r="S26" s="12">
        <f>VISUM_Arterial_OD!S26-Arterial_Truck!S26-Arterial_HOT!S26</f>
        <v>43.590430360000006</v>
      </c>
      <c r="T26" s="12">
        <f>VISUM_Arterial_OD!T26-Arterial_Truck!T26-Arterial_HOT!T26</f>
        <v>0</v>
      </c>
      <c r="U26" s="12">
        <f>VISUM_Arterial_OD!U26-Arterial_Truck!U26-Arterial_HOT!U26</f>
        <v>0</v>
      </c>
      <c r="V26" s="12">
        <f>VISUM_Arterial_OD!V26-Arterial_Truck!V26-Arterial_HOT!V26</f>
        <v>0</v>
      </c>
      <c r="W26" s="12">
        <f>VISUM_Arterial_OD!W26-Arterial_Truck!W26-Arterial_HOT!W26</f>
        <v>0</v>
      </c>
      <c r="X26" s="12">
        <f>VISUM_Arterial_OD!X26-Arterial_Truck!X26-Arterial_HOT!X26</f>
        <v>0</v>
      </c>
      <c r="Y26" s="12">
        <f>VISUM_Arterial_OD!Y26-Arterial_Truck!Y26-Arterial_HOT!Y26</f>
        <v>0</v>
      </c>
      <c r="Z26" s="12">
        <f>VISUM_Arterial_OD!Z26-Arterial_Truck!Z26-Arterial_HOT!Z26</f>
        <v>0</v>
      </c>
      <c r="AA26" s="12">
        <f>VISUM_Arterial_OD!AA26-Arterial_Truck!AA26-Arterial_HOT!AA26</f>
        <v>0</v>
      </c>
      <c r="AB26" s="12">
        <f>VISUM_Arterial_OD!AB26-Arterial_Truck!AB26-Arterial_HOT!AB26</f>
        <v>77.599322940000008</v>
      </c>
      <c r="AC26" s="12">
        <f>VISUM_Arterial_OD!AC26-Arterial_Truck!AC26-Arterial_HOT!AC26</f>
        <v>2.0273038799999998</v>
      </c>
      <c r="AD26" s="12">
        <f>VISUM_Arterial_OD!AD26-Arterial_Truck!AD26-Arterial_HOT!AD26</f>
        <v>0</v>
      </c>
      <c r="AE26" s="12">
        <f>VISUM_Arterial_OD!AE26-Arterial_Truck!AE26-Arterial_HOT!AE26</f>
        <v>0</v>
      </c>
      <c r="AF26" s="12">
        <f>VISUM_Arterial_OD!AF26-Arterial_Truck!AF26-Arterial_HOT!AF26</f>
        <v>0</v>
      </c>
      <c r="AG26" s="12">
        <f>VISUM_Arterial_OD!AG26-Arterial_Truck!AG26-Arterial_HOT!AG26</f>
        <v>0</v>
      </c>
      <c r="AH26" s="12">
        <f>VISUM_Arterial_OD!AH26-Arterial_Truck!AH26-Arterial_HOT!AH26</f>
        <v>0</v>
      </c>
      <c r="AI26" s="12">
        <f>VISUM_Arterial_OD!AI26-Arterial_Truck!AI26-Arterial_HOT!AI26</f>
        <v>0</v>
      </c>
      <c r="AJ26" s="12">
        <f>VISUM_Arterial_OD!AJ26-Arterial_Truck!AJ26-Arterial_HOT!AJ26</f>
        <v>0</v>
      </c>
      <c r="AK26" s="12">
        <f>VISUM_Arterial_OD!AK26-Arterial_Truck!AK26-Arterial_HOT!AK26</f>
        <v>0</v>
      </c>
      <c r="AL26" s="12">
        <f>VISUM_Arterial_OD!AL26-Arterial_Truck!AL26-Arterial_HOT!AL26</f>
        <v>198.59864099000001</v>
      </c>
      <c r="AM26" s="12">
        <f>VISUM_Arterial_OD!AM26-Arterial_Truck!AM26-Arterial_HOT!AM26</f>
        <v>0</v>
      </c>
      <c r="AN26" s="12">
        <f>VISUM_Arterial_OD!AN26-Arterial_Truck!AN26-Arterial_HOT!AN26</f>
        <v>167.68843960000001</v>
      </c>
      <c r="AO26" s="12">
        <f>VISUM_Arterial_OD!AO26-Arterial_Truck!AO26-Arterial_HOT!AO26</f>
        <v>0</v>
      </c>
      <c r="AP26" s="12">
        <f>VISUM_Arterial_OD!AP26-Arterial_Truck!AP26-Arterial_HOT!AP26</f>
        <v>0</v>
      </c>
      <c r="AQ26" s="12">
        <f>VISUM_Arterial_OD!AQ26-Arterial_Truck!AQ26-Arterial_HOT!AQ26</f>
        <v>0</v>
      </c>
      <c r="AR26" s="12">
        <f>VISUM_Arterial_OD!AR26-Arterial_Truck!AR26-Arterial_HOT!AR26</f>
        <v>0</v>
      </c>
      <c r="AS26" s="12">
        <f>VISUM_Arterial_OD!AS26-Arterial_Truck!AS26-Arterial_HOT!AS26</f>
        <v>0</v>
      </c>
      <c r="AT26" s="12">
        <f>VISUM_Arterial_OD!AT26-Arterial_Truck!AT26-Arterial_HOT!AT26</f>
        <v>0</v>
      </c>
      <c r="AU26" s="12">
        <f>VISUM_Arterial_OD!AU26-Arterial_Truck!AU26-Arterial_HOT!AU26</f>
        <v>0</v>
      </c>
      <c r="AV26" s="12">
        <f>VISUM_Arterial_OD!AV26-Arterial_Truck!AV26-Arterial_HOT!AV26</f>
        <v>0</v>
      </c>
      <c r="AW26" s="12">
        <f>VISUM_Arterial_OD!AW26-Arterial_Truck!AW26-Arterial_HOT!AW26</f>
        <v>0</v>
      </c>
      <c r="AX26" s="12">
        <f>VISUM_Arterial_OD!AX26-Arterial_Truck!AX26-Arterial_HOT!AX26</f>
        <v>11.369007219999999</v>
      </c>
      <c r="AY26" s="12">
        <f>VISUM_Arterial_OD!AY26-Arterial_Truck!AY26-Arterial_HOT!AY26</f>
        <v>0</v>
      </c>
      <c r="AZ26" s="12">
        <f>VISUM_Arterial_OD!AZ26-Arterial_Truck!AZ26-Arterial_HOT!AZ26</f>
        <v>0</v>
      </c>
      <c r="BA26" s="12">
        <f>VISUM_Arterial_OD!BA26-Arterial_Truck!BA26-Arterial_HOT!BA26</f>
        <v>0</v>
      </c>
      <c r="BB26" s="12">
        <f>VISUM_Arterial_OD!BB26-Arterial_Truck!BB26-Arterial_HOT!BB26</f>
        <v>0</v>
      </c>
      <c r="BC26" s="12">
        <f>VISUM_Arterial_OD!BC26-Arterial_Truck!BC26-Arterial_HOT!BC26</f>
        <v>0</v>
      </c>
      <c r="BD26" s="12">
        <f>VISUM_Arterial_OD!BD26-Arterial_Truck!BD26-Arterial_HOT!BD26</f>
        <v>0</v>
      </c>
      <c r="BE26" s="12">
        <f>VISUM_Arterial_OD!BE26-Arterial_Truck!BE26-Arterial_HOT!BE26</f>
        <v>0</v>
      </c>
      <c r="BF26" s="12">
        <f>VISUM_Arterial_OD!BF26-Arterial_Truck!BF26-Arterial_HOT!BF26</f>
        <v>0</v>
      </c>
      <c r="BG26" s="12">
        <f>VISUM_Arterial_OD!BG26-Arterial_Truck!BG26-Arterial_HOT!BG26</f>
        <v>0</v>
      </c>
      <c r="BH26" s="12">
        <f>VISUM_Arterial_OD!BH26-Arterial_Truck!BH26-Arterial_HOT!BH26</f>
        <v>0</v>
      </c>
      <c r="BI26" s="12">
        <f>VISUM_Arterial_OD!BI26-Arterial_Truck!BI26-Arterial_HOT!BI26</f>
        <v>0</v>
      </c>
      <c r="BJ26" s="12">
        <f>VISUM_Arterial_OD!BJ26-Arterial_Truck!BJ26-Arterial_HOT!BJ26</f>
        <v>0</v>
      </c>
      <c r="BK26" s="12">
        <f>VISUM_Arterial_OD!BK26-Arterial_Truck!BK26-Arterial_HOT!BK26</f>
        <v>0</v>
      </c>
      <c r="BL26" s="12">
        <f>VISUM_Arterial_OD!BL26-Arterial_Truck!BL26-Arterial_HOT!BL26</f>
        <v>0</v>
      </c>
      <c r="BM26" s="12">
        <f>VISUM_Arterial_OD!BM26-Arterial_Truck!BM26-Arterial_HOT!BM26</f>
        <v>0</v>
      </c>
      <c r="BN26" s="12">
        <f>VISUM_Arterial_OD!BN26-Arterial_Truck!BN26-Arterial_HOT!BN26</f>
        <v>0</v>
      </c>
      <c r="BO26" s="12">
        <f>VISUM_Arterial_OD!BO26-Arterial_Truck!BO26-Arterial_HOT!BO26</f>
        <v>6.0592049100000001</v>
      </c>
      <c r="BP26" s="12">
        <f>VISUM_Arterial_OD!BP26-Arterial_Truck!BP26-Arterial_HOT!BP26</f>
        <v>4.8051908499999998</v>
      </c>
      <c r="BQ26" s="12">
        <f>VISUM_Arterial_OD!BQ26-Arterial_Truck!BQ26-Arterial_HOT!BQ26</f>
        <v>0</v>
      </c>
    </row>
    <row r="27" spans="1:69" x14ac:dyDescent="0.25">
      <c r="A27" s="5">
        <f>IF(VLOOKUP(B27,Arterial_Zone_Link_Mapping!$A:$C,2,FALSE)&lt;&gt;"",VLOOKUP(B27,Arterial_Zone_Link_Mapping!$A:$C,2,FALSE),"")</f>
        <v>135</v>
      </c>
      <c r="B27" s="5">
        <v>49</v>
      </c>
      <c r="C27" s="12">
        <f>VISUM_Arterial_OD!C27-Arterial_Truck!C27-Arterial_HOT!C27</f>
        <v>0</v>
      </c>
      <c r="D27" s="12">
        <f>VISUM_Arterial_OD!D27-Arterial_Truck!D27-Arterial_HOT!D27</f>
        <v>0</v>
      </c>
      <c r="E27" s="12">
        <f>VISUM_Arterial_OD!E27-Arterial_Truck!E27-Arterial_HOT!E27</f>
        <v>0</v>
      </c>
      <c r="F27" s="12">
        <f>VISUM_Arterial_OD!F27-Arterial_Truck!F27-Arterial_HOT!F27</f>
        <v>0</v>
      </c>
      <c r="G27" s="12">
        <f>VISUM_Arterial_OD!G27-Arterial_Truck!G27-Arterial_HOT!G27</f>
        <v>92.14919587</v>
      </c>
      <c r="H27" s="12">
        <f>VISUM_Arterial_OD!H27-Arterial_Truck!H27-Arterial_HOT!H27</f>
        <v>0</v>
      </c>
      <c r="I27" s="12">
        <f>VISUM_Arterial_OD!I27-Arterial_Truck!I27-Arterial_HOT!I27</f>
        <v>0</v>
      </c>
      <c r="J27" s="12">
        <f>VISUM_Arterial_OD!J27-Arterial_Truck!J27-Arterial_HOT!J27</f>
        <v>0</v>
      </c>
      <c r="K27" s="12">
        <f>VISUM_Arterial_OD!K27-Arterial_Truck!K27-Arterial_HOT!K27</f>
        <v>0</v>
      </c>
      <c r="L27" s="12">
        <f>VISUM_Arterial_OD!L27-Arterial_Truck!L27-Arterial_HOT!L27</f>
        <v>0</v>
      </c>
      <c r="M27" s="12">
        <f>VISUM_Arterial_OD!M27-Arterial_Truck!M27-Arterial_HOT!M27</f>
        <v>0</v>
      </c>
      <c r="N27" s="12">
        <f>VISUM_Arterial_OD!N27-Arterial_Truck!N27-Arterial_HOT!N27</f>
        <v>0</v>
      </c>
      <c r="O27" s="12">
        <f>VISUM_Arterial_OD!O27-Arterial_Truck!O27-Arterial_HOT!O27</f>
        <v>0</v>
      </c>
      <c r="P27" s="12">
        <f>VISUM_Arterial_OD!P27-Arterial_Truck!P27-Arterial_HOT!P27</f>
        <v>0</v>
      </c>
      <c r="Q27" s="12">
        <f>VISUM_Arterial_OD!Q27-Arterial_Truck!Q27-Arterial_HOT!Q27</f>
        <v>0.81539558000000001</v>
      </c>
      <c r="R27" s="12">
        <f>VISUM_Arterial_OD!R27-Arterial_Truck!R27-Arterial_HOT!R27</f>
        <v>0</v>
      </c>
      <c r="S27" s="12">
        <f>VISUM_Arterial_OD!S27-Arterial_Truck!S27-Arterial_HOT!S27</f>
        <v>0</v>
      </c>
      <c r="T27" s="12">
        <f>VISUM_Arterial_OD!T27-Arterial_Truck!T27-Arterial_HOT!T27</f>
        <v>0</v>
      </c>
      <c r="U27" s="12">
        <f>VISUM_Arterial_OD!U27-Arterial_Truck!U27-Arterial_HOT!U27</f>
        <v>252.19779906999997</v>
      </c>
      <c r="V27" s="12">
        <f>VISUM_Arterial_OD!V27-Arterial_Truck!V27-Arterial_HOT!V27</f>
        <v>97.815562419999992</v>
      </c>
      <c r="W27" s="12">
        <f>VISUM_Arterial_OD!W27-Arterial_Truck!W27-Arterial_HOT!W27</f>
        <v>13.388379410000001</v>
      </c>
      <c r="X27" s="12">
        <f>VISUM_Arterial_OD!X27-Arterial_Truck!X27-Arterial_HOT!X27</f>
        <v>31.275174560000004</v>
      </c>
      <c r="Y27" s="12">
        <f>VISUM_Arterial_OD!Y27-Arterial_Truck!Y27-Arterial_HOT!Y27</f>
        <v>0</v>
      </c>
      <c r="Z27" s="12">
        <f>VISUM_Arterial_OD!Z27-Arterial_Truck!Z27-Arterial_HOT!Z27</f>
        <v>0</v>
      </c>
      <c r="AA27" s="12">
        <f>VISUM_Arterial_OD!AA27-Arterial_Truck!AA27-Arterial_HOT!AA27</f>
        <v>0</v>
      </c>
      <c r="AB27" s="12">
        <f>VISUM_Arterial_OD!AB27-Arterial_Truck!AB27-Arterial_HOT!AB27</f>
        <v>0</v>
      </c>
      <c r="AC27" s="12">
        <f>VISUM_Arterial_OD!AC27-Arterial_Truck!AC27-Arterial_HOT!AC27</f>
        <v>0</v>
      </c>
      <c r="AD27" s="12">
        <f>VISUM_Arterial_OD!AD27-Arterial_Truck!AD27-Arterial_HOT!AD27</f>
        <v>0</v>
      </c>
      <c r="AE27" s="12">
        <f>VISUM_Arterial_OD!AE27-Arterial_Truck!AE27-Arterial_HOT!AE27</f>
        <v>0</v>
      </c>
      <c r="AF27" s="12">
        <f>VISUM_Arterial_OD!AF27-Arterial_Truck!AF27-Arterial_HOT!AF27</f>
        <v>0</v>
      </c>
      <c r="AG27" s="12">
        <f>VISUM_Arterial_OD!AG27-Arterial_Truck!AG27-Arterial_HOT!AG27</f>
        <v>0</v>
      </c>
      <c r="AH27" s="12">
        <f>VISUM_Arterial_OD!AH27-Arterial_Truck!AH27-Arterial_HOT!AH27</f>
        <v>0</v>
      </c>
      <c r="AI27" s="12">
        <f>VISUM_Arterial_OD!AI27-Arterial_Truck!AI27-Arterial_HOT!AI27</f>
        <v>0</v>
      </c>
      <c r="AJ27" s="12">
        <f>VISUM_Arterial_OD!AJ27-Arterial_Truck!AJ27-Arterial_HOT!AJ27</f>
        <v>0</v>
      </c>
      <c r="AK27" s="12">
        <f>VISUM_Arterial_OD!AK27-Arterial_Truck!AK27-Arterial_HOT!AK27</f>
        <v>0</v>
      </c>
      <c r="AL27" s="12">
        <f>VISUM_Arterial_OD!AL27-Arterial_Truck!AL27-Arterial_HOT!AL27</f>
        <v>0</v>
      </c>
      <c r="AM27" s="12">
        <f>VISUM_Arterial_OD!AM27-Arterial_Truck!AM27-Arterial_HOT!AM27</f>
        <v>0</v>
      </c>
      <c r="AN27" s="12">
        <f>VISUM_Arterial_OD!AN27-Arterial_Truck!AN27-Arterial_HOT!AN27</f>
        <v>0</v>
      </c>
      <c r="AO27" s="12">
        <f>VISUM_Arterial_OD!AO27-Arterial_Truck!AO27-Arterial_HOT!AO27</f>
        <v>0</v>
      </c>
      <c r="AP27" s="12">
        <f>VISUM_Arterial_OD!AP27-Arterial_Truck!AP27-Arterial_HOT!AP27</f>
        <v>0</v>
      </c>
      <c r="AQ27" s="12">
        <f>VISUM_Arterial_OD!AQ27-Arterial_Truck!AQ27-Arterial_HOT!AQ27</f>
        <v>0</v>
      </c>
      <c r="AR27" s="12">
        <f>VISUM_Arterial_OD!AR27-Arterial_Truck!AR27-Arterial_HOT!AR27</f>
        <v>0</v>
      </c>
      <c r="AS27" s="12">
        <f>VISUM_Arterial_OD!AS27-Arterial_Truck!AS27-Arterial_HOT!AS27</f>
        <v>0</v>
      </c>
      <c r="AT27" s="12">
        <f>VISUM_Arterial_OD!AT27-Arterial_Truck!AT27-Arterial_HOT!AT27</f>
        <v>0</v>
      </c>
      <c r="AU27" s="12">
        <f>VISUM_Arterial_OD!AU27-Arterial_Truck!AU27-Arterial_HOT!AU27</f>
        <v>0</v>
      </c>
      <c r="AV27" s="12">
        <f>VISUM_Arterial_OD!AV27-Arterial_Truck!AV27-Arterial_HOT!AV27</f>
        <v>0</v>
      </c>
      <c r="AW27" s="12">
        <f>VISUM_Arterial_OD!AW27-Arterial_Truck!AW27-Arterial_HOT!AW27</f>
        <v>0</v>
      </c>
      <c r="AX27" s="12">
        <f>VISUM_Arterial_OD!AX27-Arterial_Truck!AX27-Arterial_HOT!AX27</f>
        <v>0</v>
      </c>
      <c r="AY27" s="12">
        <f>VISUM_Arterial_OD!AY27-Arterial_Truck!AY27-Arterial_HOT!AY27</f>
        <v>0</v>
      </c>
      <c r="AZ27" s="12">
        <f>VISUM_Arterial_OD!AZ27-Arterial_Truck!AZ27-Arterial_HOT!AZ27</f>
        <v>0</v>
      </c>
      <c r="BA27" s="12">
        <f>VISUM_Arterial_OD!BA27-Arterial_Truck!BA27-Arterial_HOT!BA27</f>
        <v>0</v>
      </c>
      <c r="BB27" s="12">
        <f>VISUM_Arterial_OD!BB27-Arterial_Truck!BB27-Arterial_HOT!BB27</f>
        <v>0</v>
      </c>
      <c r="BC27" s="12">
        <f>VISUM_Arterial_OD!BC27-Arterial_Truck!BC27-Arterial_HOT!BC27</f>
        <v>0</v>
      </c>
      <c r="BD27" s="12">
        <f>VISUM_Arterial_OD!BD27-Arterial_Truck!BD27-Arterial_HOT!BD27</f>
        <v>0</v>
      </c>
      <c r="BE27" s="12">
        <f>VISUM_Arterial_OD!BE27-Arterial_Truck!BE27-Arterial_HOT!BE27</f>
        <v>41.005874089999999</v>
      </c>
      <c r="BF27" s="12">
        <f>VISUM_Arterial_OD!BF27-Arterial_Truck!BF27-Arterial_HOT!BF27</f>
        <v>0</v>
      </c>
      <c r="BG27" s="12">
        <f>VISUM_Arterial_OD!BG27-Arterial_Truck!BG27-Arterial_HOT!BG27</f>
        <v>0</v>
      </c>
      <c r="BH27" s="12">
        <f>VISUM_Arterial_OD!BH27-Arterial_Truck!BH27-Arterial_HOT!BH27</f>
        <v>0</v>
      </c>
      <c r="BI27" s="12">
        <f>VISUM_Arterial_OD!BI27-Arterial_Truck!BI27-Arterial_HOT!BI27</f>
        <v>0</v>
      </c>
      <c r="BJ27" s="12">
        <f>VISUM_Arterial_OD!BJ27-Arterial_Truck!BJ27-Arterial_HOT!BJ27</f>
        <v>0</v>
      </c>
      <c r="BK27" s="12">
        <f>VISUM_Arterial_OD!BK27-Arterial_Truck!BK27-Arterial_HOT!BK27</f>
        <v>0</v>
      </c>
      <c r="BL27" s="12">
        <f>VISUM_Arterial_OD!BL27-Arterial_Truck!BL27-Arterial_HOT!BL27</f>
        <v>0</v>
      </c>
      <c r="BM27" s="12">
        <f>VISUM_Arterial_OD!BM27-Arterial_Truck!BM27-Arterial_HOT!BM27</f>
        <v>0</v>
      </c>
      <c r="BN27" s="12">
        <f>VISUM_Arterial_OD!BN27-Arterial_Truck!BN27-Arterial_HOT!BN27</f>
        <v>0</v>
      </c>
      <c r="BO27" s="12">
        <f>VISUM_Arterial_OD!BO27-Arterial_Truck!BO27-Arterial_HOT!BO27</f>
        <v>0</v>
      </c>
      <c r="BP27" s="12">
        <f>VISUM_Arterial_OD!BP27-Arterial_Truck!BP27-Arterial_HOT!BP27</f>
        <v>0</v>
      </c>
      <c r="BQ27" s="12">
        <f>VISUM_Arterial_OD!BQ27-Arterial_Truck!BQ27-Arterial_HOT!BQ27</f>
        <v>0</v>
      </c>
    </row>
    <row r="28" spans="1:69" x14ac:dyDescent="0.25">
      <c r="A28" s="5">
        <f>IF(VLOOKUP(B28,Arterial_Zone_Link_Mapping!$A:$C,2,FALSE)&lt;&gt;"",VLOOKUP(B28,Arterial_Zone_Link_Mapping!$A:$C,2,FALSE),"")</f>
        <v>95</v>
      </c>
      <c r="B28" s="5">
        <v>50</v>
      </c>
      <c r="C28" s="12">
        <f>VISUM_Arterial_OD!C28-Arterial_Truck!C28-Arterial_HOT!C28</f>
        <v>11.283337790000001</v>
      </c>
      <c r="D28" s="12">
        <f>VISUM_Arterial_OD!D28-Arterial_Truck!D28-Arterial_HOT!D28</f>
        <v>11.560899409999999</v>
      </c>
      <c r="E28" s="12">
        <f>VISUM_Arterial_OD!E28-Arterial_Truck!E28-Arterial_HOT!E28</f>
        <v>0</v>
      </c>
      <c r="F28" s="12">
        <f>VISUM_Arterial_OD!F28-Arterial_Truck!F28-Arterial_HOT!F28</f>
        <v>0</v>
      </c>
      <c r="G28" s="12">
        <f>VISUM_Arterial_OD!G28-Arterial_Truck!G28-Arterial_HOT!G28</f>
        <v>0</v>
      </c>
      <c r="H28" s="12">
        <f>VISUM_Arterial_OD!H28-Arterial_Truck!H28-Arterial_HOT!H28</f>
        <v>0</v>
      </c>
      <c r="I28" s="12">
        <f>VISUM_Arterial_OD!I28-Arterial_Truck!I28-Arterial_HOT!I28</f>
        <v>0</v>
      </c>
      <c r="J28" s="12">
        <f>VISUM_Arterial_OD!J28-Arterial_Truck!J28-Arterial_HOT!J28</f>
        <v>66.854356490000001</v>
      </c>
      <c r="K28" s="12">
        <f>VISUM_Arterial_OD!K28-Arterial_Truck!K28-Arterial_HOT!K28</f>
        <v>11.221797110000001</v>
      </c>
      <c r="L28" s="12">
        <f>VISUM_Arterial_OD!L28-Arterial_Truck!L28-Arterial_HOT!L28</f>
        <v>12.67936761</v>
      </c>
      <c r="M28" s="12">
        <f>VISUM_Arterial_OD!M28-Arterial_Truck!M28-Arterial_HOT!M28</f>
        <v>0</v>
      </c>
      <c r="N28" s="12">
        <f>VISUM_Arterial_OD!N28-Arterial_Truck!N28-Arterial_HOT!N28</f>
        <v>0</v>
      </c>
      <c r="O28" s="12">
        <f>VISUM_Arterial_OD!O28-Arterial_Truck!O28-Arterial_HOT!O28</f>
        <v>61.835682220000002</v>
      </c>
      <c r="P28" s="12">
        <f>VISUM_Arterial_OD!P28-Arterial_Truck!P28-Arterial_HOT!P28</f>
        <v>5.6850021899999996</v>
      </c>
      <c r="Q28" s="12">
        <f>VISUM_Arterial_OD!Q28-Arterial_Truck!Q28-Arterial_HOT!Q28</f>
        <v>0</v>
      </c>
      <c r="R28" s="12">
        <f>VISUM_Arterial_OD!R28-Arterial_Truck!R28-Arterial_HOT!R28</f>
        <v>0</v>
      </c>
      <c r="S28" s="12">
        <f>VISUM_Arterial_OD!S28-Arterial_Truck!S28-Arterial_HOT!S28</f>
        <v>26.22620525</v>
      </c>
      <c r="T28" s="12">
        <f>VISUM_Arterial_OD!T28-Arterial_Truck!T28-Arterial_HOT!T28</f>
        <v>0</v>
      </c>
      <c r="U28" s="12">
        <f>VISUM_Arterial_OD!U28-Arterial_Truck!U28-Arterial_HOT!U28</f>
        <v>0</v>
      </c>
      <c r="V28" s="12">
        <f>VISUM_Arterial_OD!V28-Arterial_Truck!V28-Arterial_HOT!V28</f>
        <v>0</v>
      </c>
      <c r="W28" s="12">
        <f>VISUM_Arterial_OD!W28-Arterial_Truck!W28-Arterial_HOT!W28</f>
        <v>0</v>
      </c>
      <c r="X28" s="12">
        <f>VISUM_Arterial_OD!X28-Arterial_Truck!X28-Arterial_HOT!X28</f>
        <v>0</v>
      </c>
      <c r="Y28" s="12">
        <f>VISUM_Arterial_OD!Y28-Arterial_Truck!Y28-Arterial_HOT!Y28</f>
        <v>0</v>
      </c>
      <c r="Z28" s="12">
        <f>VISUM_Arterial_OD!Z28-Arterial_Truck!Z28-Arterial_HOT!Z28</f>
        <v>38.799661470000004</v>
      </c>
      <c r="AA28" s="12">
        <f>VISUM_Arterial_OD!AA28-Arterial_Truck!AA28-Arterial_HOT!AA28</f>
        <v>0</v>
      </c>
      <c r="AB28" s="12">
        <f>VISUM_Arterial_OD!AB28-Arterial_Truck!AB28-Arterial_HOT!AB28</f>
        <v>0</v>
      </c>
      <c r="AC28" s="12">
        <f>VISUM_Arterial_OD!AC28-Arterial_Truck!AC28-Arterial_HOT!AC28</f>
        <v>5.9004362800000001</v>
      </c>
      <c r="AD28" s="12">
        <f>VISUM_Arterial_OD!AD28-Arterial_Truck!AD28-Arterial_HOT!AD28</f>
        <v>0</v>
      </c>
      <c r="AE28" s="12">
        <f>VISUM_Arterial_OD!AE28-Arterial_Truck!AE28-Arterial_HOT!AE28</f>
        <v>0</v>
      </c>
      <c r="AF28" s="12">
        <f>VISUM_Arterial_OD!AF28-Arterial_Truck!AF28-Arterial_HOT!AF28</f>
        <v>0</v>
      </c>
      <c r="AG28" s="12">
        <f>VISUM_Arterial_OD!AG28-Arterial_Truck!AG28-Arterial_HOT!AG28</f>
        <v>0</v>
      </c>
      <c r="AH28" s="12">
        <f>VISUM_Arterial_OD!AH28-Arterial_Truck!AH28-Arterial_HOT!AH28</f>
        <v>0</v>
      </c>
      <c r="AI28" s="12">
        <f>VISUM_Arterial_OD!AI28-Arterial_Truck!AI28-Arterial_HOT!AI28</f>
        <v>0</v>
      </c>
      <c r="AJ28" s="12">
        <f>VISUM_Arterial_OD!AJ28-Arterial_Truck!AJ28-Arterial_HOT!AJ28</f>
        <v>0</v>
      </c>
      <c r="AK28" s="12">
        <f>VISUM_Arterial_OD!AK28-Arterial_Truck!AK28-Arterial_HOT!AK28</f>
        <v>0</v>
      </c>
      <c r="AL28" s="12">
        <f>VISUM_Arterial_OD!AL28-Arterial_Truck!AL28-Arterial_HOT!AL28</f>
        <v>54.827813429999999</v>
      </c>
      <c r="AM28" s="12">
        <f>VISUM_Arterial_OD!AM28-Arterial_Truck!AM28-Arterial_HOT!AM28</f>
        <v>0</v>
      </c>
      <c r="AN28" s="12">
        <f>VISUM_Arterial_OD!AN28-Arterial_Truck!AN28-Arterial_HOT!AN28</f>
        <v>100.81686852</v>
      </c>
      <c r="AO28" s="12">
        <f>VISUM_Arterial_OD!AO28-Arterial_Truck!AO28-Arterial_HOT!AO28</f>
        <v>0</v>
      </c>
      <c r="AP28" s="12">
        <f>VISUM_Arterial_OD!AP28-Arterial_Truck!AP28-Arterial_HOT!AP28</f>
        <v>0</v>
      </c>
      <c r="AQ28" s="12">
        <f>VISUM_Arterial_OD!AQ28-Arterial_Truck!AQ28-Arterial_HOT!AQ28</f>
        <v>0</v>
      </c>
      <c r="AR28" s="12">
        <f>VISUM_Arterial_OD!AR28-Arterial_Truck!AR28-Arterial_HOT!AR28</f>
        <v>0</v>
      </c>
      <c r="AS28" s="12">
        <f>VISUM_Arterial_OD!AS28-Arterial_Truck!AS28-Arterial_HOT!AS28</f>
        <v>0</v>
      </c>
      <c r="AT28" s="12">
        <f>VISUM_Arterial_OD!AT28-Arterial_Truck!AT28-Arterial_HOT!AT28</f>
        <v>0</v>
      </c>
      <c r="AU28" s="12">
        <f>VISUM_Arterial_OD!AU28-Arterial_Truck!AU28-Arterial_HOT!AU28</f>
        <v>0</v>
      </c>
      <c r="AV28" s="12">
        <f>VISUM_Arterial_OD!AV28-Arterial_Truck!AV28-Arterial_HOT!AV28</f>
        <v>0</v>
      </c>
      <c r="AW28" s="12">
        <f>VISUM_Arterial_OD!AW28-Arterial_Truck!AW28-Arterial_HOT!AW28</f>
        <v>0</v>
      </c>
      <c r="AX28" s="12">
        <f>VISUM_Arterial_OD!AX28-Arterial_Truck!AX28-Arterial_HOT!AX28</f>
        <v>11.02977203</v>
      </c>
      <c r="AY28" s="12">
        <f>VISUM_Arterial_OD!AY28-Arterial_Truck!AY28-Arterial_HOT!AY28</f>
        <v>0</v>
      </c>
      <c r="AZ28" s="12">
        <f>VISUM_Arterial_OD!AZ28-Arterial_Truck!AZ28-Arterial_HOT!AZ28</f>
        <v>0</v>
      </c>
      <c r="BA28" s="12">
        <f>VISUM_Arterial_OD!BA28-Arterial_Truck!BA28-Arterial_HOT!BA28</f>
        <v>0</v>
      </c>
      <c r="BB28" s="12">
        <f>VISUM_Arterial_OD!BB28-Arterial_Truck!BB28-Arterial_HOT!BB28</f>
        <v>0</v>
      </c>
      <c r="BC28" s="12">
        <f>VISUM_Arterial_OD!BC28-Arterial_Truck!BC28-Arterial_HOT!BC28</f>
        <v>0</v>
      </c>
      <c r="BD28" s="12">
        <f>VISUM_Arterial_OD!BD28-Arterial_Truck!BD28-Arterial_HOT!BD28</f>
        <v>0</v>
      </c>
      <c r="BE28" s="12">
        <f>VISUM_Arterial_OD!BE28-Arterial_Truck!BE28-Arterial_HOT!BE28</f>
        <v>0</v>
      </c>
      <c r="BF28" s="12">
        <f>VISUM_Arterial_OD!BF28-Arterial_Truck!BF28-Arterial_HOT!BF28</f>
        <v>0</v>
      </c>
      <c r="BG28" s="12">
        <f>VISUM_Arterial_OD!BG28-Arterial_Truck!BG28-Arterial_HOT!BG28</f>
        <v>0</v>
      </c>
      <c r="BH28" s="12">
        <f>VISUM_Arterial_OD!BH28-Arterial_Truck!BH28-Arterial_HOT!BH28</f>
        <v>0</v>
      </c>
      <c r="BI28" s="12">
        <f>VISUM_Arterial_OD!BI28-Arterial_Truck!BI28-Arterial_HOT!BI28</f>
        <v>0</v>
      </c>
      <c r="BJ28" s="12">
        <f>VISUM_Arterial_OD!BJ28-Arterial_Truck!BJ28-Arterial_HOT!BJ28</f>
        <v>0</v>
      </c>
      <c r="BK28" s="12">
        <f>VISUM_Arterial_OD!BK28-Arterial_Truck!BK28-Arterial_HOT!BK28</f>
        <v>0</v>
      </c>
      <c r="BL28" s="12">
        <f>VISUM_Arterial_OD!BL28-Arterial_Truck!BL28-Arterial_HOT!BL28</f>
        <v>0</v>
      </c>
      <c r="BM28" s="12">
        <f>VISUM_Arterial_OD!BM28-Arterial_Truck!BM28-Arterial_HOT!BM28</f>
        <v>0</v>
      </c>
      <c r="BN28" s="12">
        <f>VISUM_Arterial_OD!BN28-Arterial_Truck!BN28-Arterial_HOT!BN28</f>
        <v>0</v>
      </c>
      <c r="BO28" s="12">
        <f>VISUM_Arterial_OD!BO28-Arterial_Truck!BO28-Arterial_HOT!BO28</f>
        <v>7.2349622800000004</v>
      </c>
      <c r="BP28" s="12">
        <f>VISUM_Arterial_OD!BP28-Arterial_Truck!BP28-Arterial_HOT!BP28</f>
        <v>5.7376130500000002</v>
      </c>
      <c r="BQ28" s="12">
        <f>VISUM_Arterial_OD!BQ28-Arterial_Truck!BQ28-Arterial_HOT!BQ28</f>
        <v>0</v>
      </c>
    </row>
    <row r="29" spans="1:69" x14ac:dyDescent="0.25">
      <c r="A29" s="5">
        <f>IF(VLOOKUP(B29,Arterial_Zone_Link_Mapping!$A:$C,2,FALSE)&lt;&gt;"",VLOOKUP(B29,Arterial_Zone_Link_Mapping!$A:$C,2,FALSE),"")</f>
        <v>23</v>
      </c>
      <c r="B29" s="5">
        <v>51</v>
      </c>
      <c r="C29" s="12">
        <f>VISUM_Arterial_OD!C29-Arterial_Truck!C29-Arterial_HOT!C29</f>
        <v>5.0104379999999997</v>
      </c>
      <c r="D29" s="12">
        <f>VISUM_Arterial_OD!D29-Arterial_Truck!D29-Arterial_HOT!D29</f>
        <v>0.10024077000000001</v>
      </c>
      <c r="E29" s="12">
        <f>VISUM_Arterial_OD!E29-Arterial_Truck!E29-Arterial_HOT!E29</f>
        <v>0</v>
      </c>
      <c r="F29" s="12">
        <f>VISUM_Arterial_OD!F29-Arterial_Truck!F29-Arterial_HOT!F29</f>
        <v>0</v>
      </c>
      <c r="G29" s="12">
        <f>VISUM_Arterial_OD!G29-Arterial_Truck!G29-Arterial_HOT!G29</f>
        <v>0</v>
      </c>
      <c r="H29" s="12">
        <f>VISUM_Arterial_OD!H29-Arterial_Truck!H29-Arterial_HOT!H29</f>
        <v>0</v>
      </c>
      <c r="I29" s="12">
        <f>VISUM_Arterial_OD!I29-Arterial_Truck!I29-Arterial_HOT!I29</f>
        <v>0</v>
      </c>
      <c r="J29" s="12">
        <f>VISUM_Arterial_OD!J29-Arterial_Truck!J29-Arterial_HOT!J29</f>
        <v>8.7231760499999993</v>
      </c>
      <c r="K29" s="12">
        <f>VISUM_Arterial_OD!K29-Arterial_Truck!K29-Arterial_HOT!K29</f>
        <v>91.998405489999996</v>
      </c>
      <c r="L29" s="12">
        <f>VISUM_Arterial_OD!L29-Arterial_Truck!L29-Arterial_HOT!L29</f>
        <v>20.628227580000001</v>
      </c>
      <c r="M29" s="12">
        <f>VISUM_Arterial_OD!M29-Arterial_Truck!M29-Arterial_HOT!M29</f>
        <v>0</v>
      </c>
      <c r="N29" s="12">
        <f>VISUM_Arterial_OD!N29-Arterial_Truck!N29-Arterial_HOT!N29</f>
        <v>0</v>
      </c>
      <c r="O29" s="12">
        <f>VISUM_Arterial_OD!O29-Arterial_Truck!O29-Arterial_HOT!O29</f>
        <v>13.424525490000001</v>
      </c>
      <c r="P29" s="12">
        <f>VISUM_Arterial_OD!P29-Arterial_Truck!P29-Arterial_HOT!P29</f>
        <v>53.349534399999996</v>
      </c>
      <c r="Q29" s="12">
        <f>VISUM_Arterial_OD!Q29-Arterial_Truck!Q29-Arterial_HOT!Q29</f>
        <v>0</v>
      </c>
      <c r="R29" s="12">
        <f>VISUM_Arterial_OD!R29-Arterial_Truck!R29-Arterial_HOT!R29</f>
        <v>0</v>
      </c>
      <c r="S29" s="12">
        <f>VISUM_Arterial_OD!S29-Arterial_Truck!S29-Arterial_HOT!S29</f>
        <v>7.4211605699999996</v>
      </c>
      <c r="T29" s="12">
        <f>VISUM_Arterial_OD!T29-Arterial_Truck!T29-Arterial_HOT!T29</f>
        <v>0</v>
      </c>
      <c r="U29" s="12">
        <f>VISUM_Arterial_OD!U29-Arterial_Truck!U29-Arterial_HOT!U29</f>
        <v>0</v>
      </c>
      <c r="V29" s="12">
        <f>VISUM_Arterial_OD!V29-Arterial_Truck!V29-Arterial_HOT!V29</f>
        <v>0</v>
      </c>
      <c r="W29" s="12">
        <f>VISUM_Arterial_OD!W29-Arterial_Truck!W29-Arterial_HOT!W29</f>
        <v>0</v>
      </c>
      <c r="X29" s="12">
        <f>VISUM_Arterial_OD!X29-Arterial_Truck!X29-Arterial_HOT!X29</f>
        <v>0</v>
      </c>
      <c r="Y29" s="12">
        <f>VISUM_Arterial_OD!Y29-Arterial_Truck!Y29-Arterial_HOT!Y29</f>
        <v>0</v>
      </c>
      <c r="Z29" s="12">
        <f>VISUM_Arterial_OD!Z29-Arterial_Truck!Z29-Arterial_HOT!Z29</f>
        <v>9.6642283400000011</v>
      </c>
      <c r="AA29" s="12">
        <f>VISUM_Arterial_OD!AA29-Arterial_Truck!AA29-Arterial_HOT!AA29</f>
        <v>0</v>
      </c>
      <c r="AB29" s="12">
        <f>VISUM_Arterial_OD!AB29-Arterial_Truck!AB29-Arterial_HOT!AB29</f>
        <v>3.1527308600000001</v>
      </c>
      <c r="AC29" s="12">
        <f>VISUM_Arterial_OD!AC29-Arterial_Truck!AC29-Arterial_HOT!AC29</f>
        <v>0</v>
      </c>
      <c r="AD29" s="12">
        <f>VISUM_Arterial_OD!AD29-Arterial_Truck!AD29-Arterial_HOT!AD29</f>
        <v>0</v>
      </c>
      <c r="AE29" s="12">
        <f>VISUM_Arterial_OD!AE29-Arterial_Truck!AE29-Arterial_HOT!AE29</f>
        <v>0</v>
      </c>
      <c r="AF29" s="12">
        <f>VISUM_Arterial_OD!AF29-Arterial_Truck!AF29-Arterial_HOT!AF29</f>
        <v>0</v>
      </c>
      <c r="AG29" s="12">
        <f>VISUM_Arterial_OD!AG29-Arterial_Truck!AG29-Arterial_HOT!AG29</f>
        <v>0</v>
      </c>
      <c r="AH29" s="12">
        <f>VISUM_Arterial_OD!AH29-Arterial_Truck!AH29-Arterial_HOT!AH29</f>
        <v>0</v>
      </c>
      <c r="AI29" s="12">
        <f>VISUM_Arterial_OD!AI29-Arterial_Truck!AI29-Arterial_HOT!AI29</f>
        <v>0</v>
      </c>
      <c r="AJ29" s="12">
        <f>VISUM_Arterial_OD!AJ29-Arterial_Truck!AJ29-Arterial_HOT!AJ29</f>
        <v>0</v>
      </c>
      <c r="AK29" s="12">
        <f>VISUM_Arterial_OD!AK29-Arterial_Truck!AK29-Arterial_HOT!AK29</f>
        <v>0</v>
      </c>
      <c r="AL29" s="12">
        <f>VISUM_Arterial_OD!AL29-Arterial_Truck!AL29-Arterial_HOT!AL29</f>
        <v>9.9441732500000004</v>
      </c>
      <c r="AM29" s="12">
        <f>VISUM_Arterial_OD!AM29-Arterial_Truck!AM29-Arterial_HOT!AM29</f>
        <v>0</v>
      </c>
      <c r="AN29" s="12">
        <f>VISUM_Arterial_OD!AN29-Arterial_Truck!AN29-Arterial_HOT!AN29</f>
        <v>0.17332251000000001</v>
      </c>
      <c r="AO29" s="12">
        <f>VISUM_Arterial_OD!AO29-Arterial_Truck!AO29-Arterial_HOT!AO29</f>
        <v>0</v>
      </c>
      <c r="AP29" s="12">
        <f>VISUM_Arterial_OD!AP29-Arterial_Truck!AP29-Arterial_HOT!AP29</f>
        <v>0</v>
      </c>
      <c r="AQ29" s="12">
        <f>VISUM_Arterial_OD!AQ29-Arterial_Truck!AQ29-Arterial_HOT!AQ29</f>
        <v>0</v>
      </c>
      <c r="AR29" s="12">
        <f>VISUM_Arterial_OD!AR29-Arterial_Truck!AR29-Arterial_HOT!AR29</f>
        <v>0</v>
      </c>
      <c r="AS29" s="12">
        <f>VISUM_Arterial_OD!AS29-Arterial_Truck!AS29-Arterial_HOT!AS29</f>
        <v>19.22289546</v>
      </c>
      <c r="AT29" s="12">
        <f>VISUM_Arterial_OD!AT29-Arterial_Truck!AT29-Arterial_HOT!AT29</f>
        <v>0</v>
      </c>
      <c r="AU29" s="12">
        <f>VISUM_Arterial_OD!AU29-Arterial_Truck!AU29-Arterial_HOT!AU29</f>
        <v>8.4268391099999995</v>
      </c>
      <c r="AV29" s="12">
        <f>VISUM_Arterial_OD!AV29-Arterial_Truck!AV29-Arterial_HOT!AV29</f>
        <v>0</v>
      </c>
      <c r="AW29" s="12">
        <f>VISUM_Arterial_OD!AW29-Arterial_Truck!AW29-Arterial_HOT!AW29</f>
        <v>0</v>
      </c>
      <c r="AX29" s="12">
        <f>VISUM_Arterial_OD!AX29-Arterial_Truck!AX29-Arterial_HOT!AX29</f>
        <v>0</v>
      </c>
      <c r="AY29" s="12">
        <f>VISUM_Arterial_OD!AY29-Arterial_Truck!AY29-Arterial_HOT!AY29</f>
        <v>0</v>
      </c>
      <c r="AZ29" s="12">
        <f>VISUM_Arterial_OD!AZ29-Arterial_Truck!AZ29-Arterial_HOT!AZ29</f>
        <v>0</v>
      </c>
      <c r="BA29" s="12">
        <f>VISUM_Arterial_OD!BA29-Arterial_Truck!BA29-Arterial_HOT!BA29</f>
        <v>0</v>
      </c>
      <c r="BB29" s="12">
        <f>VISUM_Arterial_OD!BB29-Arterial_Truck!BB29-Arterial_HOT!BB29</f>
        <v>0</v>
      </c>
      <c r="BC29" s="12">
        <f>VISUM_Arterial_OD!BC29-Arterial_Truck!BC29-Arterial_HOT!BC29</f>
        <v>0</v>
      </c>
      <c r="BD29" s="12">
        <f>VISUM_Arterial_OD!BD29-Arterial_Truck!BD29-Arterial_HOT!BD29</f>
        <v>0</v>
      </c>
      <c r="BE29" s="12">
        <f>VISUM_Arterial_OD!BE29-Arterial_Truck!BE29-Arterial_HOT!BE29</f>
        <v>0</v>
      </c>
      <c r="BF29" s="12">
        <f>VISUM_Arterial_OD!BF29-Arterial_Truck!BF29-Arterial_HOT!BF29</f>
        <v>0</v>
      </c>
      <c r="BG29" s="12">
        <f>VISUM_Arterial_OD!BG29-Arterial_Truck!BG29-Arterial_HOT!BG29</f>
        <v>0</v>
      </c>
      <c r="BH29" s="12">
        <f>VISUM_Arterial_OD!BH29-Arterial_Truck!BH29-Arterial_HOT!BH29</f>
        <v>0</v>
      </c>
      <c r="BI29" s="12">
        <f>VISUM_Arterial_OD!BI29-Arterial_Truck!BI29-Arterial_HOT!BI29</f>
        <v>0</v>
      </c>
      <c r="BJ29" s="12">
        <f>VISUM_Arterial_OD!BJ29-Arterial_Truck!BJ29-Arterial_HOT!BJ29</f>
        <v>0</v>
      </c>
      <c r="BK29" s="12">
        <f>VISUM_Arterial_OD!BK29-Arterial_Truck!BK29-Arterial_HOT!BK29</f>
        <v>0</v>
      </c>
      <c r="BL29" s="12">
        <f>VISUM_Arterial_OD!BL29-Arterial_Truck!BL29-Arterial_HOT!BL29</f>
        <v>0</v>
      </c>
      <c r="BM29" s="12">
        <f>VISUM_Arterial_OD!BM29-Arterial_Truck!BM29-Arterial_HOT!BM29</f>
        <v>0</v>
      </c>
      <c r="BN29" s="12">
        <f>VISUM_Arterial_OD!BN29-Arterial_Truck!BN29-Arterial_HOT!BN29</f>
        <v>0</v>
      </c>
      <c r="BO29" s="12">
        <f>VISUM_Arterial_OD!BO29-Arterial_Truck!BO29-Arterial_HOT!BO29</f>
        <v>10.502244320000001</v>
      </c>
      <c r="BP29" s="12">
        <f>VISUM_Arterial_OD!BP29-Arterial_Truck!BP29-Arterial_HOT!BP29</f>
        <v>0</v>
      </c>
      <c r="BQ29" s="12">
        <f>VISUM_Arterial_OD!BQ29-Arterial_Truck!BQ29-Arterial_HOT!BQ29</f>
        <v>5.0072253599999996</v>
      </c>
    </row>
    <row r="30" spans="1:69" x14ac:dyDescent="0.25">
      <c r="A30" s="5">
        <f>IF(VLOOKUP(B30,Arterial_Zone_Link_Mapping!$A:$C,2,FALSE)&lt;&gt;"",VLOOKUP(B30,Arterial_Zone_Link_Mapping!$A:$C,2,FALSE),"")</f>
        <v>474</v>
      </c>
      <c r="B30" s="5">
        <v>52</v>
      </c>
      <c r="C30" s="12">
        <f>VISUM_Arterial_OD!C30-Arterial_Truck!C30-Arterial_HOT!C30</f>
        <v>0</v>
      </c>
      <c r="D30" s="12">
        <f>VISUM_Arterial_OD!D30-Arterial_Truck!D30-Arterial_HOT!D30</f>
        <v>0</v>
      </c>
      <c r="E30" s="12">
        <f>VISUM_Arterial_OD!E30-Arterial_Truck!E30-Arterial_HOT!E30</f>
        <v>0</v>
      </c>
      <c r="F30" s="12">
        <f>VISUM_Arterial_OD!F30-Arterial_Truck!F30-Arterial_HOT!F30</f>
        <v>0</v>
      </c>
      <c r="G30" s="12">
        <f>VISUM_Arterial_OD!G30-Arterial_Truck!G30-Arterial_HOT!G30</f>
        <v>0</v>
      </c>
      <c r="H30" s="12">
        <f>VISUM_Arterial_OD!H30-Arterial_Truck!H30-Arterial_HOT!H30</f>
        <v>0</v>
      </c>
      <c r="I30" s="12">
        <f>VISUM_Arterial_OD!I30-Arterial_Truck!I30-Arterial_HOT!I30</f>
        <v>0</v>
      </c>
      <c r="J30" s="12">
        <f>VISUM_Arterial_OD!J30-Arterial_Truck!J30-Arterial_HOT!J30</f>
        <v>0</v>
      </c>
      <c r="K30" s="12">
        <f>VISUM_Arterial_OD!K30-Arterial_Truck!K30-Arterial_HOT!K30</f>
        <v>0</v>
      </c>
      <c r="L30" s="12">
        <f>VISUM_Arterial_OD!L30-Arterial_Truck!L30-Arterial_HOT!L30</f>
        <v>0</v>
      </c>
      <c r="M30" s="12">
        <f>VISUM_Arterial_OD!M30-Arterial_Truck!M30-Arterial_HOT!M30</f>
        <v>1.24585733</v>
      </c>
      <c r="N30" s="12">
        <f>VISUM_Arterial_OD!N30-Arterial_Truck!N30-Arterial_HOT!N30</f>
        <v>0</v>
      </c>
      <c r="O30" s="12">
        <f>VISUM_Arterial_OD!O30-Arterial_Truck!O30-Arterial_HOT!O30</f>
        <v>0</v>
      </c>
      <c r="P30" s="12">
        <f>VISUM_Arterial_OD!P30-Arterial_Truck!P30-Arterial_HOT!P30</f>
        <v>0</v>
      </c>
      <c r="Q30" s="12">
        <f>VISUM_Arterial_OD!Q30-Arterial_Truck!Q30-Arterial_HOT!Q30</f>
        <v>0</v>
      </c>
      <c r="R30" s="12">
        <f>VISUM_Arterial_OD!R30-Arterial_Truck!R30-Arterial_HOT!R30</f>
        <v>0</v>
      </c>
      <c r="S30" s="12">
        <f>VISUM_Arterial_OD!S30-Arterial_Truck!S30-Arterial_HOT!S30</f>
        <v>0</v>
      </c>
      <c r="T30" s="12">
        <f>VISUM_Arterial_OD!T30-Arterial_Truck!T30-Arterial_HOT!T30</f>
        <v>0</v>
      </c>
      <c r="U30" s="12">
        <f>VISUM_Arterial_OD!U30-Arterial_Truck!U30-Arterial_HOT!U30</f>
        <v>0</v>
      </c>
      <c r="V30" s="12">
        <f>VISUM_Arterial_OD!V30-Arterial_Truck!V30-Arterial_HOT!V30</f>
        <v>0</v>
      </c>
      <c r="W30" s="12">
        <f>VISUM_Arterial_OD!W30-Arterial_Truck!W30-Arterial_HOT!W30</f>
        <v>0</v>
      </c>
      <c r="X30" s="12">
        <f>VISUM_Arterial_OD!X30-Arterial_Truck!X30-Arterial_HOT!X30</f>
        <v>0</v>
      </c>
      <c r="Y30" s="12">
        <f>VISUM_Arterial_OD!Y30-Arterial_Truck!Y30-Arterial_HOT!Y30</f>
        <v>16.142236569999998</v>
      </c>
      <c r="Z30" s="12">
        <f>VISUM_Arterial_OD!Z30-Arterial_Truck!Z30-Arterial_HOT!Z30</f>
        <v>0</v>
      </c>
      <c r="AA30" s="12">
        <f>VISUM_Arterial_OD!AA30-Arterial_Truck!AA30-Arterial_HOT!AA30</f>
        <v>0</v>
      </c>
      <c r="AB30" s="12">
        <f>VISUM_Arterial_OD!AB30-Arterial_Truck!AB30-Arterial_HOT!AB30</f>
        <v>0</v>
      </c>
      <c r="AC30" s="12">
        <f>VISUM_Arterial_OD!AC30-Arterial_Truck!AC30-Arterial_HOT!AC30</f>
        <v>0</v>
      </c>
      <c r="AD30" s="12">
        <f>VISUM_Arterial_OD!AD30-Arterial_Truck!AD30-Arterial_HOT!AD30</f>
        <v>0</v>
      </c>
      <c r="AE30" s="12">
        <f>VISUM_Arterial_OD!AE30-Arterial_Truck!AE30-Arterial_HOT!AE30</f>
        <v>0</v>
      </c>
      <c r="AF30" s="12">
        <f>VISUM_Arterial_OD!AF30-Arterial_Truck!AF30-Arterial_HOT!AF30</f>
        <v>0</v>
      </c>
      <c r="AG30" s="12">
        <f>VISUM_Arterial_OD!AG30-Arterial_Truck!AG30-Arterial_HOT!AG30</f>
        <v>0</v>
      </c>
      <c r="AH30" s="12">
        <f>VISUM_Arterial_OD!AH30-Arterial_Truck!AH30-Arterial_HOT!AH30</f>
        <v>0</v>
      </c>
      <c r="AI30" s="12">
        <f>VISUM_Arterial_OD!AI30-Arterial_Truck!AI30-Arterial_HOT!AI30</f>
        <v>0</v>
      </c>
      <c r="AJ30" s="12">
        <f>VISUM_Arterial_OD!AJ30-Arterial_Truck!AJ30-Arterial_HOT!AJ30</f>
        <v>0</v>
      </c>
      <c r="AK30" s="12">
        <f>VISUM_Arterial_OD!AK30-Arterial_Truck!AK30-Arterial_HOT!AK30</f>
        <v>0</v>
      </c>
      <c r="AL30" s="12">
        <f>VISUM_Arterial_OD!AL30-Arterial_Truck!AL30-Arterial_HOT!AL30</f>
        <v>0</v>
      </c>
      <c r="AM30" s="12">
        <f>VISUM_Arterial_OD!AM30-Arterial_Truck!AM30-Arterial_HOT!AM30</f>
        <v>0</v>
      </c>
      <c r="AN30" s="12">
        <f>VISUM_Arterial_OD!AN30-Arterial_Truck!AN30-Arterial_HOT!AN30</f>
        <v>0</v>
      </c>
      <c r="AO30" s="12">
        <f>VISUM_Arterial_OD!AO30-Arterial_Truck!AO30-Arterial_HOT!AO30</f>
        <v>0</v>
      </c>
      <c r="AP30" s="12">
        <f>VISUM_Arterial_OD!AP30-Arterial_Truck!AP30-Arterial_HOT!AP30</f>
        <v>0</v>
      </c>
      <c r="AQ30" s="12">
        <f>VISUM_Arterial_OD!AQ30-Arterial_Truck!AQ30-Arterial_HOT!AQ30</f>
        <v>0</v>
      </c>
      <c r="AR30" s="12">
        <f>VISUM_Arterial_OD!AR30-Arterial_Truck!AR30-Arterial_HOT!AR30</f>
        <v>0</v>
      </c>
      <c r="AS30" s="12">
        <f>VISUM_Arterial_OD!AS30-Arterial_Truck!AS30-Arterial_HOT!AS30</f>
        <v>0</v>
      </c>
      <c r="AT30" s="12">
        <f>VISUM_Arterial_OD!AT30-Arterial_Truck!AT30-Arterial_HOT!AT30</f>
        <v>0</v>
      </c>
      <c r="AU30" s="12">
        <f>VISUM_Arterial_OD!AU30-Arterial_Truck!AU30-Arterial_HOT!AU30</f>
        <v>0</v>
      </c>
      <c r="AV30" s="12">
        <f>VISUM_Arterial_OD!AV30-Arterial_Truck!AV30-Arterial_HOT!AV30</f>
        <v>0</v>
      </c>
      <c r="AW30" s="12">
        <f>VISUM_Arterial_OD!AW30-Arterial_Truck!AW30-Arterial_HOT!AW30</f>
        <v>0</v>
      </c>
      <c r="AX30" s="12">
        <f>VISUM_Arterial_OD!AX30-Arterial_Truck!AX30-Arterial_HOT!AX30</f>
        <v>0</v>
      </c>
      <c r="AY30" s="12">
        <f>VISUM_Arterial_OD!AY30-Arterial_Truck!AY30-Arterial_HOT!AY30</f>
        <v>0</v>
      </c>
      <c r="AZ30" s="12">
        <f>VISUM_Arterial_OD!AZ30-Arterial_Truck!AZ30-Arterial_HOT!AZ30</f>
        <v>0</v>
      </c>
      <c r="BA30" s="12">
        <f>VISUM_Arterial_OD!BA30-Arterial_Truck!BA30-Arterial_HOT!BA30</f>
        <v>0</v>
      </c>
      <c r="BB30" s="12">
        <f>VISUM_Arterial_OD!BB30-Arterial_Truck!BB30-Arterial_HOT!BB30</f>
        <v>0</v>
      </c>
      <c r="BC30" s="12">
        <f>VISUM_Arterial_OD!BC30-Arterial_Truck!BC30-Arterial_HOT!BC30</f>
        <v>0</v>
      </c>
      <c r="BD30" s="12">
        <f>VISUM_Arterial_OD!BD30-Arterial_Truck!BD30-Arterial_HOT!BD30</f>
        <v>0</v>
      </c>
      <c r="BE30" s="12">
        <f>VISUM_Arterial_OD!BE30-Arterial_Truck!BE30-Arterial_HOT!BE30</f>
        <v>0</v>
      </c>
      <c r="BF30" s="12">
        <f>VISUM_Arterial_OD!BF30-Arterial_Truck!BF30-Arterial_HOT!BF30</f>
        <v>0</v>
      </c>
      <c r="BG30" s="12">
        <f>VISUM_Arterial_OD!BG30-Arterial_Truck!BG30-Arterial_HOT!BG30</f>
        <v>1.99055446</v>
      </c>
      <c r="BH30" s="12">
        <f>VISUM_Arterial_OD!BH30-Arterial_Truck!BH30-Arterial_HOT!BH30</f>
        <v>0</v>
      </c>
      <c r="BI30" s="12">
        <f>VISUM_Arterial_OD!BI30-Arterial_Truck!BI30-Arterial_HOT!BI30</f>
        <v>0</v>
      </c>
      <c r="BJ30" s="12">
        <f>VISUM_Arterial_OD!BJ30-Arterial_Truck!BJ30-Arterial_HOT!BJ30</f>
        <v>0</v>
      </c>
      <c r="BK30" s="12">
        <f>VISUM_Arterial_OD!BK30-Arterial_Truck!BK30-Arterial_HOT!BK30</f>
        <v>0</v>
      </c>
      <c r="BL30" s="12">
        <f>VISUM_Arterial_OD!BL30-Arterial_Truck!BL30-Arterial_HOT!BL30</f>
        <v>0</v>
      </c>
      <c r="BM30" s="12">
        <f>VISUM_Arterial_OD!BM30-Arterial_Truck!BM30-Arterial_HOT!BM30</f>
        <v>0</v>
      </c>
      <c r="BN30" s="12">
        <f>VISUM_Arterial_OD!BN30-Arterial_Truck!BN30-Arterial_HOT!BN30</f>
        <v>0</v>
      </c>
      <c r="BO30" s="12">
        <f>VISUM_Arterial_OD!BO30-Arterial_Truck!BO30-Arterial_HOT!BO30</f>
        <v>0</v>
      </c>
      <c r="BP30" s="12">
        <f>VISUM_Arterial_OD!BP30-Arterial_Truck!BP30-Arterial_HOT!BP30</f>
        <v>0</v>
      </c>
      <c r="BQ30" s="12">
        <f>VISUM_Arterial_OD!BQ30-Arterial_Truck!BQ30-Arterial_HOT!BQ30</f>
        <v>0</v>
      </c>
    </row>
    <row r="31" spans="1:69" x14ac:dyDescent="0.25">
      <c r="A31" s="5">
        <f>IF(VLOOKUP(B31,Arterial_Zone_Link_Mapping!$A:$C,2,FALSE)&lt;&gt;"",VLOOKUP(B31,Arterial_Zone_Link_Mapping!$A:$C,2,FALSE),"")</f>
        <v>473</v>
      </c>
      <c r="B31" s="5">
        <v>53</v>
      </c>
      <c r="C31" s="12">
        <f>VISUM_Arterial_OD!C31-Arterial_Truck!C31-Arterial_HOT!C31</f>
        <v>0</v>
      </c>
      <c r="D31" s="12">
        <f>VISUM_Arterial_OD!D31-Arterial_Truck!D31-Arterial_HOT!D31</f>
        <v>0</v>
      </c>
      <c r="E31" s="12">
        <f>VISUM_Arterial_OD!E31-Arterial_Truck!E31-Arterial_HOT!E31</f>
        <v>0</v>
      </c>
      <c r="F31" s="12">
        <f>VISUM_Arterial_OD!F31-Arterial_Truck!F31-Arterial_HOT!F31</f>
        <v>0</v>
      </c>
      <c r="G31" s="12">
        <f>VISUM_Arterial_OD!G31-Arterial_Truck!G31-Arterial_HOT!G31</f>
        <v>0</v>
      </c>
      <c r="H31" s="12">
        <f>VISUM_Arterial_OD!H31-Arterial_Truck!H31-Arterial_HOT!H31</f>
        <v>0</v>
      </c>
      <c r="I31" s="12">
        <f>VISUM_Arterial_OD!I31-Arterial_Truck!I31-Arterial_HOT!I31</f>
        <v>0</v>
      </c>
      <c r="J31" s="12">
        <f>VISUM_Arterial_OD!J31-Arterial_Truck!J31-Arterial_HOT!J31</f>
        <v>0</v>
      </c>
      <c r="K31" s="12">
        <f>VISUM_Arterial_OD!K31-Arterial_Truck!K31-Arterial_HOT!K31</f>
        <v>0</v>
      </c>
      <c r="L31" s="12">
        <f>VISUM_Arterial_OD!L31-Arterial_Truck!L31-Arterial_HOT!L31</f>
        <v>0</v>
      </c>
      <c r="M31" s="12">
        <f>VISUM_Arterial_OD!M31-Arterial_Truck!M31-Arterial_HOT!M31</f>
        <v>6.2260022299999997</v>
      </c>
      <c r="N31" s="12">
        <f>VISUM_Arterial_OD!N31-Arterial_Truck!N31-Arterial_HOT!N31</f>
        <v>0.47454825</v>
      </c>
      <c r="O31" s="12">
        <f>VISUM_Arterial_OD!O31-Arterial_Truck!O31-Arterial_HOT!O31</f>
        <v>0</v>
      </c>
      <c r="P31" s="12">
        <f>VISUM_Arterial_OD!P31-Arterial_Truck!P31-Arterial_HOT!P31</f>
        <v>0</v>
      </c>
      <c r="Q31" s="12">
        <f>VISUM_Arterial_OD!Q31-Arterial_Truck!Q31-Arterial_HOT!Q31</f>
        <v>0</v>
      </c>
      <c r="R31" s="12">
        <f>VISUM_Arterial_OD!R31-Arterial_Truck!R31-Arterial_HOT!R31</f>
        <v>0</v>
      </c>
      <c r="S31" s="12">
        <f>VISUM_Arterial_OD!S31-Arterial_Truck!S31-Arterial_HOT!S31</f>
        <v>0</v>
      </c>
      <c r="T31" s="12">
        <f>VISUM_Arterial_OD!T31-Arterial_Truck!T31-Arterial_HOT!T31</f>
        <v>0</v>
      </c>
      <c r="U31" s="12">
        <f>VISUM_Arterial_OD!U31-Arterial_Truck!U31-Arterial_HOT!U31</f>
        <v>0</v>
      </c>
      <c r="V31" s="12">
        <f>VISUM_Arterial_OD!V31-Arterial_Truck!V31-Arterial_HOT!V31</f>
        <v>0</v>
      </c>
      <c r="W31" s="12">
        <f>VISUM_Arterial_OD!W31-Arterial_Truck!W31-Arterial_HOT!W31</f>
        <v>0</v>
      </c>
      <c r="X31" s="12">
        <f>VISUM_Arterial_OD!X31-Arterial_Truck!X31-Arterial_HOT!X31</f>
        <v>0</v>
      </c>
      <c r="Y31" s="12">
        <f>VISUM_Arterial_OD!Y31-Arterial_Truck!Y31-Arterial_HOT!Y31</f>
        <v>1.12039753</v>
      </c>
      <c r="Z31" s="12">
        <f>VISUM_Arterial_OD!Z31-Arterial_Truck!Z31-Arterial_HOT!Z31</f>
        <v>0</v>
      </c>
      <c r="AA31" s="12">
        <f>VISUM_Arterial_OD!AA31-Arterial_Truck!AA31-Arterial_HOT!AA31</f>
        <v>0</v>
      </c>
      <c r="AB31" s="12">
        <f>VISUM_Arterial_OD!AB31-Arterial_Truck!AB31-Arterial_HOT!AB31</f>
        <v>0</v>
      </c>
      <c r="AC31" s="12">
        <f>VISUM_Arterial_OD!AC31-Arterial_Truck!AC31-Arterial_HOT!AC31</f>
        <v>0</v>
      </c>
      <c r="AD31" s="12">
        <f>VISUM_Arterial_OD!AD31-Arterial_Truck!AD31-Arterial_HOT!AD31</f>
        <v>0</v>
      </c>
      <c r="AE31" s="12">
        <f>VISUM_Arterial_OD!AE31-Arterial_Truck!AE31-Arterial_HOT!AE31</f>
        <v>0</v>
      </c>
      <c r="AF31" s="12">
        <f>VISUM_Arterial_OD!AF31-Arterial_Truck!AF31-Arterial_HOT!AF31</f>
        <v>0</v>
      </c>
      <c r="AG31" s="12">
        <f>VISUM_Arterial_OD!AG31-Arterial_Truck!AG31-Arterial_HOT!AG31</f>
        <v>0</v>
      </c>
      <c r="AH31" s="12">
        <f>VISUM_Arterial_OD!AH31-Arterial_Truck!AH31-Arterial_HOT!AH31</f>
        <v>0</v>
      </c>
      <c r="AI31" s="12">
        <f>VISUM_Arterial_OD!AI31-Arterial_Truck!AI31-Arterial_HOT!AI31</f>
        <v>0</v>
      </c>
      <c r="AJ31" s="12">
        <f>VISUM_Arterial_OD!AJ31-Arterial_Truck!AJ31-Arterial_HOT!AJ31</f>
        <v>0</v>
      </c>
      <c r="AK31" s="12">
        <f>VISUM_Arterial_OD!AK31-Arterial_Truck!AK31-Arterial_HOT!AK31</f>
        <v>0</v>
      </c>
      <c r="AL31" s="12">
        <f>VISUM_Arterial_OD!AL31-Arterial_Truck!AL31-Arterial_HOT!AL31</f>
        <v>0</v>
      </c>
      <c r="AM31" s="12">
        <f>VISUM_Arterial_OD!AM31-Arterial_Truck!AM31-Arterial_HOT!AM31</f>
        <v>0</v>
      </c>
      <c r="AN31" s="12">
        <f>VISUM_Arterial_OD!AN31-Arterial_Truck!AN31-Arterial_HOT!AN31</f>
        <v>0</v>
      </c>
      <c r="AO31" s="12">
        <f>VISUM_Arterial_OD!AO31-Arterial_Truck!AO31-Arterial_HOT!AO31</f>
        <v>0</v>
      </c>
      <c r="AP31" s="12">
        <f>VISUM_Arterial_OD!AP31-Arterial_Truck!AP31-Arterial_HOT!AP31</f>
        <v>0</v>
      </c>
      <c r="AQ31" s="12">
        <f>VISUM_Arterial_OD!AQ31-Arterial_Truck!AQ31-Arterial_HOT!AQ31</f>
        <v>0</v>
      </c>
      <c r="AR31" s="12">
        <f>VISUM_Arterial_OD!AR31-Arterial_Truck!AR31-Arterial_HOT!AR31</f>
        <v>0</v>
      </c>
      <c r="AS31" s="12">
        <f>VISUM_Arterial_OD!AS31-Arterial_Truck!AS31-Arterial_HOT!AS31</f>
        <v>0</v>
      </c>
      <c r="AT31" s="12">
        <f>VISUM_Arterial_OD!AT31-Arterial_Truck!AT31-Arterial_HOT!AT31</f>
        <v>0</v>
      </c>
      <c r="AU31" s="12">
        <f>VISUM_Arterial_OD!AU31-Arterial_Truck!AU31-Arterial_HOT!AU31</f>
        <v>0</v>
      </c>
      <c r="AV31" s="12">
        <f>VISUM_Arterial_OD!AV31-Arterial_Truck!AV31-Arterial_HOT!AV31</f>
        <v>0</v>
      </c>
      <c r="AW31" s="12">
        <f>VISUM_Arterial_OD!AW31-Arterial_Truck!AW31-Arterial_HOT!AW31</f>
        <v>0</v>
      </c>
      <c r="AX31" s="12">
        <f>VISUM_Arterial_OD!AX31-Arterial_Truck!AX31-Arterial_HOT!AX31</f>
        <v>0</v>
      </c>
      <c r="AY31" s="12">
        <f>VISUM_Arterial_OD!AY31-Arterial_Truck!AY31-Arterial_HOT!AY31</f>
        <v>0</v>
      </c>
      <c r="AZ31" s="12">
        <f>VISUM_Arterial_OD!AZ31-Arterial_Truck!AZ31-Arterial_HOT!AZ31</f>
        <v>0</v>
      </c>
      <c r="BA31" s="12">
        <f>VISUM_Arterial_OD!BA31-Arterial_Truck!BA31-Arterial_HOT!BA31</f>
        <v>0</v>
      </c>
      <c r="BB31" s="12">
        <f>VISUM_Arterial_OD!BB31-Arterial_Truck!BB31-Arterial_HOT!BB31</f>
        <v>0</v>
      </c>
      <c r="BC31" s="12">
        <f>VISUM_Arterial_OD!BC31-Arterial_Truck!BC31-Arterial_HOT!BC31</f>
        <v>0</v>
      </c>
      <c r="BD31" s="12">
        <f>VISUM_Arterial_OD!BD31-Arterial_Truck!BD31-Arterial_HOT!BD31</f>
        <v>0</v>
      </c>
      <c r="BE31" s="12">
        <f>VISUM_Arterial_OD!BE31-Arterial_Truck!BE31-Arterial_HOT!BE31</f>
        <v>0</v>
      </c>
      <c r="BF31" s="12">
        <f>VISUM_Arterial_OD!BF31-Arterial_Truck!BF31-Arterial_HOT!BF31</f>
        <v>0</v>
      </c>
      <c r="BG31" s="12">
        <f>VISUM_Arterial_OD!BG31-Arterial_Truck!BG31-Arterial_HOT!BG31</f>
        <v>2.3559922599999998</v>
      </c>
      <c r="BH31" s="12">
        <f>VISUM_Arterial_OD!BH31-Arterial_Truck!BH31-Arterial_HOT!BH31</f>
        <v>0</v>
      </c>
      <c r="BI31" s="12">
        <f>VISUM_Arterial_OD!BI31-Arterial_Truck!BI31-Arterial_HOT!BI31</f>
        <v>0</v>
      </c>
      <c r="BJ31" s="12">
        <f>VISUM_Arterial_OD!BJ31-Arterial_Truck!BJ31-Arterial_HOT!BJ31</f>
        <v>0</v>
      </c>
      <c r="BK31" s="12">
        <f>VISUM_Arterial_OD!BK31-Arterial_Truck!BK31-Arterial_HOT!BK31</f>
        <v>0</v>
      </c>
      <c r="BL31" s="12">
        <f>VISUM_Arterial_OD!BL31-Arterial_Truck!BL31-Arterial_HOT!BL31</f>
        <v>0</v>
      </c>
      <c r="BM31" s="12">
        <f>VISUM_Arterial_OD!BM31-Arterial_Truck!BM31-Arterial_HOT!BM31</f>
        <v>0</v>
      </c>
      <c r="BN31" s="12">
        <f>VISUM_Arterial_OD!BN31-Arterial_Truck!BN31-Arterial_HOT!BN31</f>
        <v>0</v>
      </c>
      <c r="BO31" s="12">
        <f>VISUM_Arterial_OD!BO31-Arterial_Truck!BO31-Arterial_HOT!BO31</f>
        <v>0</v>
      </c>
      <c r="BP31" s="12">
        <f>VISUM_Arterial_OD!BP31-Arterial_Truck!BP31-Arterial_HOT!BP31</f>
        <v>0</v>
      </c>
      <c r="BQ31" s="12">
        <f>VISUM_Arterial_OD!BQ31-Arterial_Truck!BQ31-Arterial_HOT!BQ31</f>
        <v>0</v>
      </c>
    </row>
    <row r="32" spans="1:69" x14ac:dyDescent="0.25">
      <c r="A32" s="5" t="str">
        <f>IF(VLOOKUP(B32,Arterial_Zone_Link_Mapping!$A:$C,2,FALSE)&lt;&gt;"",VLOOKUP(B32,Arterial_Zone_Link_Mapping!$A:$C,2,FALSE),"")</f>
        <v/>
      </c>
      <c r="B32" s="5">
        <v>54</v>
      </c>
      <c r="C32" s="12">
        <f>VISUM_Arterial_OD!C32-Arterial_Truck!C32-Arterial_HOT!C32</f>
        <v>0</v>
      </c>
      <c r="D32" s="12">
        <f>VISUM_Arterial_OD!D32-Arterial_Truck!D32-Arterial_HOT!D32</f>
        <v>0</v>
      </c>
      <c r="E32" s="12">
        <f>VISUM_Arterial_OD!E32-Arterial_Truck!E32-Arterial_HOT!E32</f>
        <v>0</v>
      </c>
      <c r="F32" s="12">
        <f>VISUM_Arterial_OD!F32-Arterial_Truck!F32-Arterial_HOT!F32</f>
        <v>0</v>
      </c>
      <c r="G32" s="12">
        <f>VISUM_Arterial_OD!G32-Arterial_Truck!G32-Arterial_HOT!G32</f>
        <v>0</v>
      </c>
      <c r="H32" s="12">
        <f>VISUM_Arterial_OD!H32-Arterial_Truck!H32-Arterial_HOT!H32</f>
        <v>0</v>
      </c>
      <c r="I32" s="12">
        <f>VISUM_Arterial_OD!I32-Arterial_Truck!I32-Arterial_HOT!I32</f>
        <v>0</v>
      </c>
      <c r="J32" s="12">
        <f>VISUM_Arterial_OD!J32-Arterial_Truck!J32-Arterial_HOT!J32</f>
        <v>0</v>
      </c>
      <c r="K32" s="12">
        <f>VISUM_Arterial_OD!K32-Arterial_Truck!K32-Arterial_HOT!K32</f>
        <v>0</v>
      </c>
      <c r="L32" s="12">
        <f>VISUM_Arterial_OD!L32-Arterial_Truck!L32-Arterial_HOT!L32</f>
        <v>0</v>
      </c>
      <c r="M32" s="12">
        <f>VISUM_Arterial_OD!M32-Arterial_Truck!M32-Arterial_HOT!M32</f>
        <v>0</v>
      </c>
      <c r="N32" s="12">
        <f>VISUM_Arterial_OD!N32-Arterial_Truck!N32-Arterial_HOT!N32</f>
        <v>0</v>
      </c>
      <c r="O32" s="12">
        <f>VISUM_Arterial_OD!O32-Arterial_Truck!O32-Arterial_HOT!O32</f>
        <v>0</v>
      </c>
      <c r="P32" s="12">
        <f>VISUM_Arterial_OD!P32-Arterial_Truck!P32-Arterial_HOT!P32</f>
        <v>0</v>
      </c>
      <c r="Q32" s="12">
        <f>VISUM_Arterial_OD!Q32-Arterial_Truck!Q32-Arterial_HOT!Q32</f>
        <v>0</v>
      </c>
      <c r="R32" s="12">
        <f>VISUM_Arterial_OD!R32-Arterial_Truck!R32-Arterial_HOT!R32</f>
        <v>0</v>
      </c>
      <c r="S32" s="12">
        <f>VISUM_Arterial_OD!S32-Arterial_Truck!S32-Arterial_HOT!S32</f>
        <v>0</v>
      </c>
      <c r="T32" s="12">
        <f>VISUM_Arterial_OD!T32-Arterial_Truck!T32-Arterial_HOT!T32</f>
        <v>0</v>
      </c>
      <c r="U32" s="12">
        <f>VISUM_Arterial_OD!U32-Arterial_Truck!U32-Arterial_HOT!U32</f>
        <v>0</v>
      </c>
      <c r="V32" s="12">
        <f>VISUM_Arterial_OD!V32-Arterial_Truck!V32-Arterial_HOT!V32</f>
        <v>0</v>
      </c>
      <c r="W32" s="12">
        <f>VISUM_Arterial_OD!W32-Arterial_Truck!W32-Arterial_HOT!W32</f>
        <v>0</v>
      </c>
      <c r="X32" s="12">
        <f>VISUM_Arterial_OD!X32-Arterial_Truck!X32-Arterial_HOT!X32</f>
        <v>0</v>
      </c>
      <c r="Y32" s="12">
        <f>VISUM_Arterial_OD!Y32-Arterial_Truck!Y32-Arterial_HOT!Y32</f>
        <v>0</v>
      </c>
      <c r="Z32" s="12">
        <f>VISUM_Arterial_OD!Z32-Arterial_Truck!Z32-Arterial_HOT!Z32</f>
        <v>0</v>
      </c>
      <c r="AA32" s="12">
        <f>VISUM_Arterial_OD!AA32-Arterial_Truck!AA32-Arterial_HOT!AA32</f>
        <v>0</v>
      </c>
      <c r="AB32" s="12">
        <f>VISUM_Arterial_OD!AB32-Arterial_Truck!AB32-Arterial_HOT!AB32</f>
        <v>0</v>
      </c>
      <c r="AC32" s="12">
        <f>VISUM_Arterial_OD!AC32-Arterial_Truck!AC32-Arterial_HOT!AC32</f>
        <v>0</v>
      </c>
      <c r="AD32" s="12">
        <f>VISUM_Arterial_OD!AD32-Arterial_Truck!AD32-Arterial_HOT!AD32</f>
        <v>0</v>
      </c>
      <c r="AE32" s="12">
        <f>VISUM_Arterial_OD!AE32-Arterial_Truck!AE32-Arterial_HOT!AE32</f>
        <v>0</v>
      </c>
      <c r="AF32" s="12">
        <f>VISUM_Arterial_OD!AF32-Arterial_Truck!AF32-Arterial_HOT!AF32</f>
        <v>0</v>
      </c>
      <c r="AG32" s="12">
        <f>VISUM_Arterial_OD!AG32-Arterial_Truck!AG32-Arterial_HOT!AG32</f>
        <v>0</v>
      </c>
      <c r="AH32" s="12">
        <f>VISUM_Arterial_OD!AH32-Arterial_Truck!AH32-Arterial_HOT!AH32</f>
        <v>0</v>
      </c>
      <c r="AI32" s="12">
        <f>VISUM_Arterial_OD!AI32-Arterial_Truck!AI32-Arterial_HOT!AI32</f>
        <v>0</v>
      </c>
      <c r="AJ32" s="12">
        <f>VISUM_Arterial_OD!AJ32-Arterial_Truck!AJ32-Arterial_HOT!AJ32</f>
        <v>0</v>
      </c>
      <c r="AK32" s="12">
        <f>VISUM_Arterial_OD!AK32-Arterial_Truck!AK32-Arterial_HOT!AK32</f>
        <v>0</v>
      </c>
      <c r="AL32" s="12">
        <f>VISUM_Arterial_OD!AL32-Arterial_Truck!AL32-Arterial_HOT!AL32</f>
        <v>0</v>
      </c>
      <c r="AM32" s="12">
        <f>VISUM_Arterial_OD!AM32-Arterial_Truck!AM32-Arterial_HOT!AM32</f>
        <v>0</v>
      </c>
      <c r="AN32" s="12">
        <f>VISUM_Arterial_OD!AN32-Arterial_Truck!AN32-Arterial_HOT!AN32</f>
        <v>0</v>
      </c>
      <c r="AO32" s="12">
        <f>VISUM_Arterial_OD!AO32-Arterial_Truck!AO32-Arterial_HOT!AO32</f>
        <v>0</v>
      </c>
      <c r="AP32" s="12">
        <f>VISUM_Arterial_OD!AP32-Arterial_Truck!AP32-Arterial_HOT!AP32</f>
        <v>0</v>
      </c>
      <c r="AQ32" s="12">
        <f>VISUM_Arterial_OD!AQ32-Arterial_Truck!AQ32-Arterial_HOT!AQ32</f>
        <v>0</v>
      </c>
      <c r="AR32" s="12">
        <f>VISUM_Arterial_OD!AR32-Arterial_Truck!AR32-Arterial_HOT!AR32</f>
        <v>0</v>
      </c>
      <c r="AS32" s="12">
        <f>VISUM_Arterial_OD!AS32-Arterial_Truck!AS32-Arterial_HOT!AS32</f>
        <v>0</v>
      </c>
      <c r="AT32" s="12">
        <f>VISUM_Arterial_OD!AT32-Arterial_Truck!AT32-Arterial_HOT!AT32</f>
        <v>0</v>
      </c>
      <c r="AU32" s="12">
        <f>VISUM_Arterial_OD!AU32-Arterial_Truck!AU32-Arterial_HOT!AU32</f>
        <v>0</v>
      </c>
      <c r="AV32" s="12">
        <f>VISUM_Arterial_OD!AV32-Arterial_Truck!AV32-Arterial_HOT!AV32</f>
        <v>0</v>
      </c>
      <c r="AW32" s="12">
        <f>VISUM_Arterial_OD!AW32-Arterial_Truck!AW32-Arterial_HOT!AW32</f>
        <v>0</v>
      </c>
      <c r="AX32" s="12">
        <f>VISUM_Arterial_OD!AX32-Arterial_Truck!AX32-Arterial_HOT!AX32</f>
        <v>0</v>
      </c>
      <c r="AY32" s="12">
        <f>VISUM_Arterial_OD!AY32-Arterial_Truck!AY32-Arterial_HOT!AY32</f>
        <v>0</v>
      </c>
      <c r="AZ32" s="12">
        <f>VISUM_Arterial_OD!AZ32-Arterial_Truck!AZ32-Arterial_HOT!AZ32</f>
        <v>0</v>
      </c>
      <c r="BA32" s="12">
        <f>VISUM_Arterial_OD!BA32-Arterial_Truck!BA32-Arterial_HOT!BA32</f>
        <v>0</v>
      </c>
      <c r="BB32" s="12">
        <f>VISUM_Arterial_OD!BB32-Arterial_Truck!BB32-Arterial_HOT!BB32</f>
        <v>0</v>
      </c>
      <c r="BC32" s="12">
        <f>VISUM_Arterial_OD!BC32-Arterial_Truck!BC32-Arterial_HOT!BC32</f>
        <v>0</v>
      </c>
      <c r="BD32" s="12">
        <f>VISUM_Arterial_OD!BD32-Arterial_Truck!BD32-Arterial_HOT!BD32</f>
        <v>0</v>
      </c>
      <c r="BE32" s="12">
        <f>VISUM_Arterial_OD!BE32-Arterial_Truck!BE32-Arterial_HOT!BE32</f>
        <v>0</v>
      </c>
      <c r="BF32" s="12">
        <f>VISUM_Arterial_OD!BF32-Arterial_Truck!BF32-Arterial_HOT!BF32</f>
        <v>0</v>
      </c>
      <c r="BG32" s="12">
        <f>VISUM_Arterial_OD!BG32-Arterial_Truck!BG32-Arterial_HOT!BG32</f>
        <v>0</v>
      </c>
      <c r="BH32" s="12">
        <f>VISUM_Arterial_OD!BH32-Arterial_Truck!BH32-Arterial_HOT!BH32</f>
        <v>0</v>
      </c>
      <c r="BI32" s="12">
        <f>VISUM_Arterial_OD!BI32-Arterial_Truck!BI32-Arterial_HOT!BI32</f>
        <v>0</v>
      </c>
      <c r="BJ32" s="12">
        <f>VISUM_Arterial_OD!BJ32-Arterial_Truck!BJ32-Arterial_HOT!BJ32</f>
        <v>0</v>
      </c>
      <c r="BK32" s="12">
        <f>VISUM_Arterial_OD!BK32-Arterial_Truck!BK32-Arterial_HOT!BK32</f>
        <v>0</v>
      </c>
      <c r="BL32" s="12">
        <f>VISUM_Arterial_OD!BL32-Arterial_Truck!BL32-Arterial_HOT!BL32</f>
        <v>0</v>
      </c>
      <c r="BM32" s="12">
        <f>VISUM_Arterial_OD!BM32-Arterial_Truck!BM32-Arterial_HOT!BM32</f>
        <v>0</v>
      </c>
      <c r="BN32" s="12">
        <f>VISUM_Arterial_OD!BN32-Arterial_Truck!BN32-Arterial_HOT!BN32</f>
        <v>0</v>
      </c>
      <c r="BO32" s="12">
        <f>VISUM_Arterial_OD!BO32-Arterial_Truck!BO32-Arterial_HOT!BO32</f>
        <v>0</v>
      </c>
      <c r="BP32" s="12">
        <f>VISUM_Arterial_OD!BP32-Arterial_Truck!BP32-Arterial_HOT!BP32</f>
        <v>0</v>
      </c>
      <c r="BQ32" s="12">
        <f>VISUM_Arterial_OD!BQ32-Arterial_Truck!BQ32-Arterial_HOT!BQ32</f>
        <v>0</v>
      </c>
    </row>
    <row r="33" spans="1:69" x14ac:dyDescent="0.25">
      <c r="A33" s="5" t="str">
        <f>IF(VLOOKUP(B33,Arterial_Zone_Link_Mapping!$A:$C,2,FALSE)&lt;&gt;"",VLOOKUP(B33,Arterial_Zone_Link_Mapping!$A:$C,2,FALSE),"")</f>
        <v/>
      </c>
      <c r="B33" s="5">
        <v>55</v>
      </c>
      <c r="C33" s="12">
        <f>VISUM_Arterial_OD!C33-Arterial_Truck!C33-Arterial_HOT!C33</f>
        <v>0</v>
      </c>
      <c r="D33" s="12">
        <f>VISUM_Arterial_OD!D33-Arterial_Truck!D33-Arterial_HOT!D33</f>
        <v>0</v>
      </c>
      <c r="E33" s="12">
        <f>VISUM_Arterial_OD!E33-Arterial_Truck!E33-Arterial_HOT!E33</f>
        <v>0</v>
      </c>
      <c r="F33" s="12">
        <f>VISUM_Arterial_OD!F33-Arterial_Truck!F33-Arterial_HOT!F33</f>
        <v>0</v>
      </c>
      <c r="G33" s="12">
        <f>VISUM_Arterial_OD!G33-Arterial_Truck!G33-Arterial_HOT!G33</f>
        <v>0</v>
      </c>
      <c r="H33" s="12">
        <f>VISUM_Arterial_OD!H33-Arterial_Truck!H33-Arterial_HOT!H33</f>
        <v>0</v>
      </c>
      <c r="I33" s="12">
        <f>VISUM_Arterial_OD!I33-Arterial_Truck!I33-Arterial_HOT!I33</f>
        <v>0</v>
      </c>
      <c r="J33" s="12">
        <f>VISUM_Arterial_OD!J33-Arterial_Truck!J33-Arterial_HOT!J33</f>
        <v>0</v>
      </c>
      <c r="K33" s="12">
        <f>VISUM_Arterial_OD!K33-Arterial_Truck!K33-Arterial_HOT!K33</f>
        <v>0</v>
      </c>
      <c r="L33" s="12">
        <f>VISUM_Arterial_OD!L33-Arterial_Truck!L33-Arterial_HOT!L33</f>
        <v>0</v>
      </c>
      <c r="M33" s="12">
        <f>VISUM_Arterial_OD!M33-Arterial_Truck!M33-Arterial_HOT!M33</f>
        <v>0</v>
      </c>
      <c r="N33" s="12">
        <f>VISUM_Arterial_OD!N33-Arterial_Truck!N33-Arterial_HOT!N33</f>
        <v>0</v>
      </c>
      <c r="O33" s="12">
        <f>VISUM_Arterial_OD!O33-Arterial_Truck!O33-Arterial_HOT!O33</f>
        <v>0</v>
      </c>
      <c r="P33" s="12">
        <f>VISUM_Arterial_OD!P33-Arterial_Truck!P33-Arterial_HOT!P33</f>
        <v>0</v>
      </c>
      <c r="Q33" s="12">
        <f>VISUM_Arterial_OD!Q33-Arterial_Truck!Q33-Arterial_HOT!Q33</f>
        <v>0</v>
      </c>
      <c r="R33" s="12">
        <f>VISUM_Arterial_OD!R33-Arterial_Truck!R33-Arterial_HOT!R33</f>
        <v>0</v>
      </c>
      <c r="S33" s="12">
        <f>VISUM_Arterial_OD!S33-Arterial_Truck!S33-Arterial_HOT!S33</f>
        <v>0</v>
      </c>
      <c r="T33" s="12">
        <f>VISUM_Arterial_OD!T33-Arterial_Truck!T33-Arterial_HOT!T33</f>
        <v>0</v>
      </c>
      <c r="U33" s="12">
        <f>VISUM_Arterial_OD!U33-Arterial_Truck!U33-Arterial_HOT!U33</f>
        <v>0</v>
      </c>
      <c r="V33" s="12">
        <f>VISUM_Arterial_OD!V33-Arterial_Truck!V33-Arterial_HOT!V33</f>
        <v>0</v>
      </c>
      <c r="W33" s="12">
        <f>VISUM_Arterial_OD!W33-Arterial_Truck!W33-Arterial_HOT!W33</f>
        <v>0</v>
      </c>
      <c r="X33" s="12">
        <f>VISUM_Arterial_OD!X33-Arterial_Truck!X33-Arterial_HOT!X33</f>
        <v>0</v>
      </c>
      <c r="Y33" s="12">
        <f>VISUM_Arterial_OD!Y33-Arterial_Truck!Y33-Arterial_HOT!Y33</f>
        <v>0</v>
      </c>
      <c r="Z33" s="12">
        <f>VISUM_Arterial_OD!Z33-Arterial_Truck!Z33-Arterial_HOT!Z33</f>
        <v>0</v>
      </c>
      <c r="AA33" s="12">
        <f>VISUM_Arterial_OD!AA33-Arterial_Truck!AA33-Arterial_HOT!AA33</f>
        <v>0</v>
      </c>
      <c r="AB33" s="12">
        <f>VISUM_Arterial_OD!AB33-Arterial_Truck!AB33-Arterial_HOT!AB33</f>
        <v>0</v>
      </c>
      <c r="AC33" s="12">
        <f>VISUM_Arterial_OD!AC33-Arterial_Truck!AC33-Arterial_HOT!AC33</f>
        <v>0</v>
      </c>
      <c r="AD33" s="12">
        <f>VISUM_Arterial_OD!AD33-Arterial_Truck!AD33-Arterial_HOT!AD33</f>
        <v>0</v>
      </c>
      <c r="AE33" s="12">
        <f>VISUM_Arterial_OD!AE33-Arterial_Truck!AE33-Arterial_HOT!AE33</f>
        <v>0</v>
      </c>
      <c r="AF33" s="12">
        <f>VISUM_Arterial_OD!AF33-Arterial_Truck!AF33-Arterial_HOT!AF33</f>
        <v>0</v>
      </c>
      <c r="AG33" s="12">
        <f>VISUM_Arterial_OD!AG33-Arterial_Truck!AG33-Arterial_HOT!AG33</f>
        <v>0</v>
      </c>
      <c r="AH33" s="12">
        <f>VISUM_Arterial_OD!AH33-Arterial_Truck!AH33-Arterial_HOT!AH33</f>
        <v>0</v>
      </c>
      <c r="AI33" s="12">
        <f>VISUM_Arterial_OD!AI33-Arterial_Truck!AI33-Arterial_HOT!AI33</f>
        <v>0</v>
      </c>
      <c r="AJ33" s="12">
        <f>VISUM_Arterial_OD!AJ33-Arterial_Truck!AJ33-Arterial_HOT!AJ33</f>
        <v>0</v>
      </c>
      <c r="AK33" s="12">
        <f>VISUM_Arterial_OD!AK33-Arterial_Truck!AK33-Arterial_HOT!AK33</f>
        <v>0</v>
      </c>
      <c r="AL33" s="12">
        <f>VISUM_Arterial_OD!AL33-Arterial_Truck!AL33-Arterial_HOT!AL33</f>
        <v>0</v>
      </c>
      <c r="AM33" s="12">
        <f>VISUM_Arterial_OD!AM33-Arterial_Truck!AM33-Arterial_HOT!AM33</f>
        <v>0</v>
      </c>
      <c r="AN33" s="12">
        <f>VISUM_Arterial_OD!AN33-Arterial_Truck!AN33-Arterial_HOT!AN33</f>
        <v>0</v>
      </c>
      <c r="AO33" s="12">
        <f>VISUM_Arterial_OD!AO33-Arterial_Truck!AO33-Arterial_HOT!AO33</f>
        <v>0</v>
      </c>
      <c r="AP33" s="12">
        <f>VISUM_Arterial_OD!AP33-Arterial_Truck!AP33-Arterial_HOT!AP33</f>
        <v>0</v>
      </c>
      <c r="AQ33" s="12">
        <f>VISUM_Arterial_OD!AQ33-Arterial_Truck!AQ33-Arterial_HOT!AQ33</f>
        <v>0</v>
      </c>
      <c r="AR33" s="12">
        <f>VISUM_Arterial_OD!AR33-Arterial_Truck!AR33-Arterial_HOT!AR33</f>
        <v>0</v>
      </c>
      <c r="AS33" s="12">
        <f>VISUM_Arterial_OD!AS33-Arterial_Truck!AS33-Arterial_HOT!AS33</f>
        <v>0</v>
      </c>
      <c r="AT33" s="12">
        <f>VISUM_Arterial_OD!AT33-Arterial_Truck!AT33-Arterial_HOT!AT33</f>
        <v>0</v>
      </c>
      <c r="AU33" s="12">
        <f>VISUM_Arterial_OD!AU33-Arterial_Truck!AU33-Arterial_HOT!AU33</f>
        <v>0</v>
      </c>
      <c r="AV33" s="12">
        <f>VISUM_Arterial_OD!AV33-Arterial_Truck!AV33-Arterial_HOT!AV33</f>
        <v>0</v>
      </c>
      <c r="AW33" s="12">
        <f>VISUM_Arterial_OD!AW33-Arterial_Truck!AW33-Arterial_HOT!AW33</f>
        <v>0</v>
      </c>
      <c r="AX33" s="12">
        <f>VISUM_Arterial_OD!AX33-Arterial_Truck!AX33-Arterial_HOT!AX33</f>
        <v>0</v>
      </c>
      <c r="AY33" s="12">
        <f>VISUM_Arterial_OD!AY33-Arterial_Truck!AY33-Arterial_HOT!AY33</f>
        <v>0</v>
      </c>
      <c r="AZ33" s="12">
        <f>VISUM_Arterial_OD!AZ33-Arterial_Truck!AZ33-Arterial_HOT!AZ33</f>
        <v>0</v>
      </c>
      <c r="BA33" s="12">
        <f>VISUM_Arterial_OD!BA33-Arterial_Truck!BA33-Arterial_HOT!BA33</f>
        <v>0</v>
      </c>
      <c r="BB33" s="12">
        <f>VISUM_Arterial_OD!BB33-Arterial_Truck!BB33-Arterial_HOT!BB33</f>
        <v>0</v>
      </c>
      <c r="BC33" s="12">
        <f>VISUM_Arterial_OD!BC33-Arterial_Truck!BC33-Arterial_HOT!BC33</f>
        <v>0</v>
      </c>
      <c r="BD33" s="12">
        <f>VISUM_Arterial_OD!BD33-Arterial_Truck!BD33-Arterial_HOT!BD33</f>
        <v>0</v>
      </c>
      <c r="BE33" s="12">
        <f>VISUM_Arterial_OD!BE33-Arterial_Truck!BE33-Arterial_HOT!BE33</f>
        <v>0</v>
      </c>
      <c r="BF33" s="12">
        <f>VISUM_Arterial_OD!BF33-Arterial_Truck!BF33-Arterial_HOT!BF33</f>
        <v>0</v>
      </c>
      <c r="BG33" s="12">
        <f>VISUM_Arterial_OD!BG33-Arterial_Truck!BG33-Arterial_HOT!BG33</f>
        <v>0</v>
      </c>
      <c r="BH33" s="12">
        <f>VISUM_Arterial_OD!BH33-Arterial_Truck!BH33-Arterial_HOT!BH33</f>
        <v>0</v>
      </c>
      <c r="BI33" s="12">
        <f>VISUM_Arterial_OD!BI33-Arterial_Truck!BI33-Arterial_HOT!BI33</f>
        <v>0</v>
      </c>
      <c r="BJ33" s="12">
        <f>VISUM_Arterial_OD!BJ33-Arterial_Truck!BJ33-Arterial_HOT!BJ33</f>
        <v>0</v>
      </c>
      <c r="BK33" s="12">
        <f>VISUM_Arterial_OD!BK33-Arterial_Truck!BK33-Arterial_HOT!BK33</f>
        <v>0</v>
      </c>
      <c r="BL33" s="12">
        <f>VISUM_Arterial_OD!BL33-Arterial_Truck!BL33-Arterial_HOT!BL33</f>
        <v>0</v>
      </c>
      <c r="BM33" s="12">
        <f>VISUM_Arterial_OD!BM33-Arterial_Truck!BM33-Arterial_HOT!BM33</f>
        <v>0</v>
      </c>
      <c r="BN33" s="12">
        <f>VISUM_Arterial_OD!BN33-Arterial_Truck!BN33-Arterial_HOT!BN33</f>
        <v>0</v>
      </c>
      <c r="BO33" s="12">
        <f>VISUM_Arterial_OD!BO33-Arterial_Truck!BO33-Arterial_HOT!BO33</f>
        <v>0</v>
      </c>
      <c r="BP33" s="12">
        <f>VISUM_Arterial_OD!BP33-Arterial_Truck!BP33-Arterial_HOT!BP33</f>
        <v>0</v>
      </c>
      <c r="BQ33" s="12">
        <f>VISUM_Arterial_OD!BQ33-Arterial_Truck!BQ33-Arterial_HOT!BQ33</f>
        <v>0</v>
      </c>
    </row>
    <row r="34" spans="1:69" x14ac:dyDescent="0.25">
      <c r="A34" s="5">
        <f>IF(VLOOKUP(B34,Arterial_Zone_Link_Mapping!$A:$C,2,FALSE)&lt;&gt;"",VLOOKUP(B34,Arterial_Zone_Link_Mapping!$A:$C,2,FALSE),"")</f>
        <v>193</v>
      </c>
      <c r="B34" s="5">
        <v>56</v>
      </c>
      <c r="C34" s="12">
        <f>VISUM_Arterial_OD!C34-Arterial_Truck!C34-Arterial_HOT!C34</f>
        <v>0</v>
      </c>
      <c r="D34" s="12">
        <f>VISUM_Arterial_OD!D34-Arterial_Truck!D34-Arterial_HOT!D34</f>
        <v>0</v>
      </c>
      <c r="E34" s="12">
        <f>VISUM_Arterial_OD!E34-Arterial_Truck!E34-Arterial_HOT!E34</f>
        <v>0</v>
      </c>
      <c r="F34" s="12">
        <f>VISUM_Arterial_OD!F34-Arterial_Truck!F34-Arterial_HOT!F34</f>
        <v>0</v>
      </c>
      <c r="G34" s="12">
        <f>VISUM_Arterial_OD!G34-Arterial_Truck!G34-Arterial_HOT!G34</f>
        <v>0</v>
      </c>
      <c r="H34" s="12">
        <f>VISUM_Arterial_OD!H34-Arterial_Truck!H34-Arterial_HOT!H34</f>
        <v>0</v>
      </c>
      <c r="I34" s="12">
        <f>VISUM_Arterial_OD!I34-Arterial_Truck!I34-Arterial_HOT!I34</f>
        <v>0</v>
      </c>
      <c r="J34" s="12">
        <f>VISUM_Arterial_OD!J34-Arterial_Truck!J34-Arterial_HOT!J34</f>
        <v>0</v>
      </c>
      <c r="K34" s="12">
        <f>VISUM_Arterial_OD!K34-Arterial_Truck!K34-Arterial_HOT!K34</f>
        <v>0</v>
      </c>
      <c r="L34" s="12">
        <f>VISUM_Arterial_OD!L34-Arterial_Truck!L34-Arterial_HOT!L34</f>
        <v>0</v>
      </c>
      <c r="M34" s="12">
        <f>VISUM_Arterial_OD!M34-Arterial_Truck!M34-Arterial_HOT!M34</f>
        <v>0</v>
      </c>
      <c r="N34" s="12">
        <f>VISUM_Arterial_OD!N34-Arterial_Truck!N34-Arterial_HOT!N34</f>
        <v>0</v>
      </c>
      <c r="O34" s="12">
        <f>VISUM_Arterial_OD!O34-Arterial_Truck!O34-Arterial_HOT!O34</f>
        <v>0</v>
      </c>
      <c r="P34" s="12">
        <f>VISUM_Arterial_OD!P34-Arterial_Truck!P34-Arterial_HOT!P34</f>
        <v>0</v>
      </c>
      <c r="Q34" s="12">
        <f>VISUM_Arterial_OD!Q34-Arterial_Truck!Q34-Arterial_HOT!Q34</f>
        <v>0</v>
      </c>
      <c r="R34" s="12">
        <f>VISUM_Arterial_OD!R34-Arterial_Truck!R34-Arterial_HOT!R34</f>
        <v>817.17339000000004</v>
      </c>
      <c r="S34" s="12">
        <f>VISUM_Arterial_OD!S34-Arterial_Truck!S34-Arterial_HOT!S34</f>
        <v>0</v>
      </c>
      <c r="T34" s="12">
        <f>VISUM_Arterial_OD!T34-Arterial_Truck!T34-Arterial_HOT!T34</f>
        <v>172.74121299999999</v>
      </c>
      <c r="U34" s="12">
        <f>VISUM_Arterial_OD!U34-Arterial_Truck!U34-Arterial_HOT!U34</f>
        <v>0</v>
      </c>
      <c r="V34" s="12">
        <f>VISUM_Arterial_OD!V34-Arterial_Truck!V34-Arterial_HOT!V34</f>
        <v>0</v>
      </c>
      <c r="W34" s="12">
        <f>VISUM_Arterial_OD!W34-Arterial_Truck!W34-Arterial_HOT!W34</f>
        <v>0</v>
      </c>
      <c r="X34" s="12">
        <f>VISUM_Arterial_OD!X34-Arterial_Truck!X34-Arterial_HOT!X34</f>
        <v>0</v>
      </c>
      <c r="Y34" s="12">
        <f>VISUM_Arterial_OD!Y34-Arterial_Truck!Y34-Arterial_HOT!Y34</f>
        <v>0</v>
      </c>
      <c r="Z34" s="12">
        <f>VISUM_Arterial_OD!Z34-Arterial_Truck!Z34-Arterial_HOT!Z34</f>
        <v>0</v>
      </c>
      <c r="AA34" s="12">
        <f>VISUM_Arterial_OD!AA34-Arterial_Truck!AA34-Arterial_HOT!AA34</f>
        <v>0</v>
      </c>
      <c r="AB34" s="12">
        <f>VISUM_Arterial_OD!AB34-Arterial_Truck!AB34-Arterial_HOT!AB34</f>
        <v>0</v>
      </c>
      <c r="AC34" s="12">
        <f>VISUM_Arterial_OD!AC34-Arterial_Truck!AC34-Arterial_HOT!AC34</f>
        <v>0</v>
      </c>
      <c r="AD34" s="12">
        <f>VISUM_Arterial_OD!AD34-Arterial_Truck!AD34-Arterial_HOT!AD34</f>
        <v>0</v>
      </c>
      <c r="AE34" s="12">
        <f>VISUM_Arterial_OD!AE34-Arterial_Truck!AE34-Arterial_HOT!AE34</f>
        <v>0</v>
      </c>
      <c r="AF34" s="12">
        <f>VISUM_Arterial_OD!AF34-Arterial_Truck!AF34-Arterial_HOT!AF34</f>
        <v>0</v>
      </c>
      <c r="AG34" s="12">
        <f>VISUM_Arterial_OD!AG34-Arterial_Truck!AG34-Arterial_HOT!AG34</f>
        <v>0</v>
      </c>
      <c r="AH34" s="12">
        <f>VISUM_Arterial_OD!AH34-Arterial_Truck!AH34-Arterial_HOT!AH34</f>
        <v>0</v>
      </c>
      <c r="AI34" s="12">
        <f>VISUM_Arterial_OD!AI34-Arterial_Truck!AI34-Arterial_HOT!AI34</f>
        <v>0</v>
      </c>
      <c r="AJ34" s="12">
        <f>VISUM_Arterial_OD!AJ34-Arterial_Truck!AJ34-Arterial_HOT!AJ34</f>
        <v>0</v>
      </c>
      <c r="AK34" s="12">
        <f>VISUM_Arterial_OD!AK34-Arterial_Truck!AK34-Arterial_HOT!AK34</f>
        <v>0</v>
      </c>
      <c r="AL34" s="12">
        <f>VISUM_Arterial_OD!AL34-Arterial_Truck!AL34-Arterial_HOT!AL34</f>
        <v>0</v>
      </c>
      <c r="AM34" s="12">
        <f>VISUM_Arterial_OD!AM34-Arterial_Truck!AM34-Arterial_HOT!AM34</f>
        <v>0</v>
      </c>
      <c r="AN34" s="12">
        <f>VISUM_Arterial_OD!AN34-Arterial_Truck!AN34-Arterial_HOT!AN34</f>
        <v>0</v>
      </c>
      <c r="AO34" s="12">
        <f>VISUM_Arterial_OD!AO34-Arterial_Truck!AO34-Arterial_HOT!AO34</f>
        <v>0</v>
      </c>
      <c r="AP34" s="12">
        <f>VISUM_Arterial_OD!AP34-Arterial_Truck!AP34-Arterial_HOT!AP34</f>
        <v>0</v>
      </c>
      <c r="AQ34" s="12">
        <f>VISUM_Arterial_OD!AQ34-Arterial_Truck!AQ34-Arterial_HOT!AQ34</f>
        <v>0</v>
      </c>
      <c r="AR34" s="12">
        <f>VISUM_Arterial_OD!AR34-Arterial_Truck!AR34-Arterial_HOT!AR34</f>
        <v>0</v>
      </c>
      <c r="AS34" s="12">
        <f>VISUM_Arterial_OD!AS34-Arterial_Truck!AS34-Arterial_HOT!AS34</f>
        <v>0</v>
      </c>
      <c r="AT34" s="12">
        <f>VISUM_Arterial_OD!AT34-Arterial_Truck!AT34-Arterial_HOT!AT34</f>
        <v>0</v>
      </c>
      <c r="AU34" s="12">
        <f>VISUM_Arterial_OD!AU34-Arterial_Truck!AU34-Arterial_HOT!AU34</f>
        <v>0</v>
      </c>
      <c r="AV34" s="12">
        <f>VISUM_Arterial_OD!AV34-Arterial_Truck!AV34-Arterial_HOT!AV34</f>
        <v>0</v>
      </c>
      <c r="AW34" s="12">
        <f>VISUM_Arterial_OD!AW34-Arterial_Truck!AW34-Arterial_HOT!AW34</f>
        <v>0</v>
      </c>
      <c r="AX34" s="12">
        <f>VISUM_Arterial_OD!AX34-Arterial_Truck!AX34-Arterial_HOT!AX34</f>
        <v>0</v>
      </c>
      <c r="AY34" s="12">
        <f>VISUM_Arterial_OD!AY34-Arterial_Truck!AY34-Arterial_HOT!AY34</f>
        <v>0</v>
      </c>
      <c r="AZ34" s="12">
        <f>VISUM_Arterial_OD!AZ34-Arterial_Truck!AZ34-Arterial_HOT!AZ34</f>
        <v>0</v>
      </c>
      <c r="BA34" s="12">
        <f>VISUM_Arterial_OD!BA34-Arterial_Truck!BA34-Arterial_HOT!BA34</f>
        <v>0</v>
      </c>
      <c r="BB34" s="12">
        <f>VISUM_Arterial_OD!BB34-Arterial_Truck!BB34-Arterial_HOT!BB34</f>
        <v>0</v>
      </c>
      <c r="BC34" s="12">
        <f>VISUM_Arterial_OD!BC34-Arterial_Truck!BC34-Arterial_HOT!BC34</f>
        <v>0</v>
      </c>
      <c r="BD34" s="12">
        <f>VISUM_Arterial_OD!BD34-Arterial_Truck!BD34-Arterial_HOT!BD34</f>
        <v>0</v>
      </c>
      <c r="BE34" s="12">
        <f>VISUM_Arterial_OD!BE34-Arterial_Truck!BE34-Arterial_HOT!BE34</f>
        <v>0</v>
      </c>
      <c r="BF34" s="12">
        <f>VISUM_Arterial_OD!BF34-Arterial_Truck!BF34-Arterial_HOT!BF34</f>
        <v>0</v>
      </c>
      <c r="BG34" s="12">
        <f>VISUM_Arterial_OD!BG34-Arterial_Truck!BG34-Arterial_HOT!BG34</f>
        <v>0</v>
      </c>
      <c r="BH34" s="12">
        <f>VISUM_Arterial_OD!BH34-Arterial_Truck!BH34-Arterial_HOT!BH34</f>
        <v>0</v>
      </c>
      <c r="BI34" s="12">
        <f>VISUM_Arterial_OD!BI34-Arterial_Truck!BI34-Arterial_HOT!BI34</f>
        <v>0</v>
      </c>
      <c r="BJ34" s="12">
        <f>VISUM_Arterial_OD!BJ34-Arterial_Truck!BJ34-Arterial_HOT!BJ34</f>
        <v>0</v>
      </c>
      <c r="BK34" s="12">
        <f>VISUM_Arterial_OD!BK34-Arterial_Truck!BK34-Arterial_HOT!BK34</f>
        <v>0</v>
      </c>
      <c r="BL34" s="12">
        <f>VISUM_Arterial_OD!BL34-Arterial_Truck!BL34-Arterial_HOT!BL34</f>
        <v>0</v>
      </c>
      <c r="BM34" s="12">
        <f>VISUM_Arterial_OD!BM34-Arterial_Truck!BM34-Arterial_HOT!BM34</f>
        <v>0</v>
      </c>
      <c r="BN34" s="12">
        <f>VISUM_Arterial_OD!BN34-Arterial_Truck!BN34-Arterial_HOT!BN34</f>
        <v>0</v>
      </c>
      <c r="BO34" s="12">
        <f>VISUM_Arterial_OD!BO34-Arterial_Truck!BO34-Arterial_HOT!BO34</f>
        <v>0</v>
      </c>
      <c r="BP34" s="12">
        <f>VISUM_Arterial_OD!BP34-Arterial_Truck!BP34-Arterial_HOT!BP34</f>
        <v>0</v>
      </c>
      <c r="BQ34" s="12">
        <f>VISUM_Arterial_OD!BQ34-Arterial_Truck!BQ34-Arterial_HOT!BQ34</f>
        <v>0</v>
      </c>
    </row>
    <row r="35" spans="1:69" x14ac:dyDescent="0.25">
      <c r="A35" s="5">
        <f>IF(VLOOKUP(B35,Arterial_Zone_Link_Mapping!$A:$C,2,FALSE)&lt;&gt;"",VLOOKUP(B35,Arterial_Zone_Link_Mapping!$A:$C,2,FALSE),"")</f>
        <v>10290</v>
      </c>
      <c r="B35" s="5">
        <v>57</v>
      </c>
      <c r="C35" s="12">
        <f>VISUM_Arterial_OD!C35-Arterial_Truck!C35-Arterial_HOT!C35</f>
        <v>279.21127475000003</v>
      </c>
      <c r="D35" s="12">
        <f>VISUM_Arterial_OD!D35-Arterial_Truck!D35-Arterial_HOT!D35</f>
        <v>0</v>
      </c>
      <c r="E35" s="12">
        <f>VISUM_Arterial_OD!E35-Arterial_Truck!E35-Arterial_HOT!E35</f>
        <v>0</v>
      </c>
      <c r="F35" s="12">
        <f>VISUM_Arterial_OD!F35-Arterial_Truck!F35-Arterial_HOT!F35</f>
        <v>0</v>
      </c>
      <c r="G35" s="12">
        <f>VISUM_Arterial_OD!G35-Arterial_Truck!G35-Arterial_HOT!G35</f>
        <v>0</v>
      </c>
      <c r="H35" s="12">
        <f>VISUM_Arterial_OD!H35-Arterial_Truck!H35-Arterial_HOT!H35</f>
        <v>0</v>
      </c>
      <c r="I35" s="12">
        <f>VISUM_Arterial_OD!I35-Arterial_Truck!I35-Arterial_HOT!I35</f>
        <v>0</v>
      </c>
      <c r="J35" s="12">
        <f>VISUM_Arterial_OD!J35-Arterial_Truck!J35-Arterial_HOT!J35</f>
        <v>0</v>
      </c>
      <c r="K35" s="12">
        <f>VISUM_Arterial_OD!K35-Arterial_Truck!K35-Arterial_HOT!K35</f>
        <v>73.930961419999988</v>
      </c>
      <c r="L35" s="12">
        <f>VISUM_Arterial_OD!L35-Arterial_Truck!L35-Arterial_HOT!L35</f>
        <v>190.78205119</v>
      </c>
      <c r="M35" s="12">
        <f>VISUM_Arterial_OD!M35-Arterial_Truck!M35-Arterial_HOT!M35</f>
        <v>0</v>
      </c>
      <c r="N35" s="12">
        <f>VISUM_Arterial_OD!N35-Arterial_Truck!N35-Arterial_HOT!N35</f>
        <v>0</v>
      </c>
      <c r="O35" s="12">
        <f>VISUM_Arterial_OD!O35-Arterial_Truck!O35-Arterial_HOT!O35</f>
        <v>0</v>
      </c>
      <c r="P35" s="12">
        <f>VISUM_Arterial_OD!P35-Arterial_Truck!P35-Arterial_HOT!P35</f>
        <v>92.238331110000004</v>
      </c>
      <c r="Q35" s="12">
        <f>VISUM_Arterial_OD!Q35-Arterial_Truck!Q35-Arterial_HOT!Q35</f>
        <v>0</v>
      </c>
      <c r="R35" s="12">
        <f>VISUM_Arterial_OD!R35-Arterial_Truck!R35-Arterial_HOT!R35</f>
        <v>0</v>
      </c>
      <c r="S35" s="12">
        <f>VISUM_Arterial_OD!S35-Arterial_Truck!S35-Arterial_HOT!S35</f>
        <v>39.841974</v>
      </c>
      <c r="T35" s="12">
        <f>VISUM_Arterial_OD!T35-Arterial_Truck!T35-Arterial_HOT!T35</f>
        <v>0</v>
      </c>
      <c r="U35" s="12">
        <f>VISUM_Arterial_OD!U35-Arterial_Truck!U35-Arterial_HOT!U35</f>
        <v>0</v>
      </c>
      <c r="V35" s="12">
        <f>VISUM_Arterial_OD!V35-Arterial_Truck!V35-Arterial_HOT!V35</f>
        <v>0</v>
      </c>
      <c r="W35" s="12">
        <f>VISUM_Arterial_OD!W35-Arterial_Truck!W35-Arterial_HOT!W35</f>
        <v>0</v>
      </c>
      <c r="X35" s="12">
        <f>VISUM_Arterial_OD!X35-Arterial_Truck!X35-Arterial_HOT!X35</f>
        <v>0</v>
      </c>
      <c r="Y35" s="12">
        <f>VISUM_Arterial_OD!Y35-Arterial_Truck!Y35-Arterial_HOT!Y35</f>
        <v>0</v>
      </c>
      <c r="Z35" s="12">
        <f>VISUM_Arterial_OD!Z35-Arterial_Truck!Z35-Arterial_HOT!Z35</f>
        <v>240.87517628000001</v>
      </c>
      <c r="AA35" s="12">
        <f>VISUM_Arterial_OD!AA35-Arterial_Truck!AA35-Arterial_HOT!AA35</f>
        <v>0</v>
      </c>
      <c r="AB35" s="12">
        <f>VISUM_Arterial_OD!AB35-Arterial_Truck!AB35-Arterial_HOT!AB35</f>
        <v>119.27943239</v>
      </c>
      <c r="AC35" s="12">
        <f>VISUM_Arterial_OD!AC35-Arterial_Truck!AC35-Arterial_HOT!AC35</f>
        <v>8.2788578499999996</v>
      </c>
      <c r="AD35" s="12">
        <f>VISUM_Arterial_OD!AD35-Arterial_Truck!AD35-Arterial_HOT!AD35</f>
        <v>0</v>
      </c>
      <c r="AE35" s="12">
        <f>VISUM_Arterial_OD!AE35-Arterial_Truck!AE35-Arterial_HOT!AE35</f>
        <v>0</v>
      </c>
      <c r="AF35" s="12">
        <f>VISUM_Arterial_OD!AF35-Arterial_Truck!AF35-Arterial_HOT!AF35</f>
        <v>0</v>
      </c>
      <c r="AG35" s="12">
        <f>VISUM_Arterial_OD!AG35-Arterial_Truck!AG35-Arterial_HOT!AG35</f>
        <v>0</v>
      </c>
      <c r="AH35" s="12">
        <f>VISUM_Arterial_OD!AH35-Arterial_Truck!AH35-Arterial_HOT!AH35</f>
        <v>0</v>
      </c>
      <c r="AI35" s="12">
        <f>VISUM_Arterial_OD!AI35-Arterial_Truck!AI35-Arterial_HOT!AI35</f>
        <v>0</v>
      </c>
      <c r="AJ35" s="12">
        <f>VISUM_Arterial_OD!AJ35-Arterial_Truck!AJ35-Arterial_HOT!AJ35</f>
        <v>0</v>
      </c>
      <c r="AK35" s="12">
        <f>VISUM_Arterial_OD!AK35-Arterial_Truck!AK35-Arterial_HOT!AK35</f>
        <v>0</v>
      </c>
      <c r="AL35" s="12">
        <f>VISUM_Arterial_OD!AL35-Arterial_Truck!AL35-Arterial_HOT!AL35</f>
        <v>0</v>
      </c>
      <c r="AM35" s="12">
        <f>VISUM_Arterial_OD!AM35-Arterial_Truck!AM35-Arterial_HOT!AM35</f>
        <v>0</v>
      </c>
      <c r="AN35" s="12">
        <f>VISUM_Arterial_OD!AN35-Arterial_Truck!AN35-Arterial_HOT!AN35</f>
        <v>0</v>
      </c>
      <c r="AO35" s="12">
        <f>VISUM_Arterial_OD!AO35-Arterial_Truck!AO35-Arterial_HOT!AO35</f>
        <v>0</v>
      </c>
      <c r="AP35" s="12">
        <f>VISUM_Arterial_OD!AP35-Arterial_Truck!AP35-Arterial_HOT!AP35</f>
        <v>0</v>
      </c>
      <c r="AQ35" s="12">
        <f>VISUM_Arterial_OD!AQ35-Arterial_Truck!AQ35-Arterial_HOT!AQ35</f>
        <v>0</v>
      </c>
      <c r="AR35" s="12">
        <f>VISUM_Arterial_OD!AR35-Arterial_Truck!AR35-Arterial_HOT!AR35</f>
        <v>0</v>
      </c>
      <c r="AS35" s="12">
        <f>VISUM_Arterial_OD!AS35-Arterial_Truck!AS35-Arterial_HOT!AS35</f>
        <v>0</v>
      </c>
      <c r="AT35" s="12">
        <f>VISUM_Arterial_OD!AT35-Arterial_Truck!AT35-Arterial_HOT!AT35</f>
        <v>0</v>
      </c>
      <c r="AU35" s="12">
        <f>VISUM_Arterial_OD!AU35-Arterial_Truck!AU35-Arterial_HOT!AU35</f>
        <v>0</v>
      </c>
      <c r="AV35" s="12">
        <f>VISUM_Arterial_OD!AV35-Arterial_Truck!AV35-Arterial_HOT!AV35</f>
        <v>0</v>
      </c>
      <c r="AW35" s="12">
        <f>VISUM_Arterial_OD!AW35-Arterial_Truck!AW35-Arterial_HOT!AW35</f>
        <v>0</v>
      </c>
      <c r="AX35" s="12">
        <f>VISUM_Arterial_OD!AX35-Arterial_Truck!AX35-Arterial_HOT!AX35</f>
        <v>2.25102468</v>
      </c>
      <c r="AY35" s="12">
        <f>VISUM_Arterial_OD!AY35-Arterial_Truck!AY35-Arterial_HOT!AY35</f>
        <v>0</v>
      </c>
      <c r="AZ35" s="12">
        <f>VISUM_Arterial_OD!AZ35-Arterial_Truck!AZ35-Arterial_HOT!AZ35</f>
        <v>0</v>
      </c>
      <c r="BA35" s="12">
        <f>VISUM_Arterial_OD!BA35-Arterial_Truck!BA35-Arterial_HOT!BA35</f>
        <v>0</v>
      </c>
      <c r="BB35" s="12">
        <f>VISUM_Arterial_OD!BB35-Arterial_Truck!BB35-Arterial_HOT!BB35</f>
        <v>0</v>
      </c>
      <c r="BC35" s="12">
        <f>VISUM_Arterial_OD!BC35-Arterial_Truck!BC35-Arterial_HOT!BC35</f>
        <v>0</v>
      </c>
      <c r="BD35" s="12">
        <f>VISUM_Arterial_OD!BD35-Arterial_Truck!BD35-Arterial_HOT!BD35</f>
        <v>0</v>
      </c>
      <c r="BE35" s="12">
        <f>VISUM_Arterial_OD!BE35-Arterial_Truck!BE35-Arterial_HOT!BE35</f>
        <v>0</v>
      </c>
      <c r="BF35" s="12">
        <f>VISUM_Arterial_OD!BF35-Arterial_Truck!BF35-Arterial_HOT!BF35</f>
        <v>0</v>
      </c>
      <c r="BG35" s="12">
        <f>VISUM_Arterial_OD!BG35-Arterial_Truck!BG35-Arterial_HOT!BG35</f>
        <v>0</v>
      </c>
      <c r="BH35" s="12">
        <f>VISUM_Arterial_OD!BH35-Arterial_Truck!BH35-Arterial_HOT!BH35</f>
        <v>0</v>
      </c>
      <c r="BI35" s="12">
        <f>VISUM_Arterial_OD!BI35-Arterial_Truck!BI35-Arterial_HOT!BI35</f>
        <v>0</v>
      </c>
      <c r="BJ35" s="12">
        <f>VISUM_Arterial_OD!BJ35-Arterial_Truck!BJ35-Arterial_HOT!BJ35</f>
        <v>0</v>
      </c>
      <c r="BK35" s="12">
        <f>VISUM_Arterial_OD!BK35-Arterial_Truck!BK35-Arterial_HOT!BK35</f>
        <v>0</v>
      </c>
      <c r="BL35" s="12">
        <f>VISUM_Arterial_OD!BL35-Arterial_Truck!BL35-Arterial_HOT!BL35</f>
        <v>0</v>
      </c>
      <c r="BM35" s="12">
        <f>VISUM_Arterial_OD!BM35-Arterial_Truck!BM35-Arterial_HOT!BM35</f>
        <v>0</v>
      </c>
      <c r="BN35" s="12">
        <f>VISUM_Arterial_OD!BN35-Arterial_Truck!BN35-Arterial_HOT!BN35</f>
        <v>0</v>
      </c>
      <c r="BO35" s="12">
        <f>VISUM_Arterial_OD!BO35-Arterial_Truck!BO35-Arterial_HOT!BO35</f>
        <v>179.03241596999999</v>
      </c>
      <c r="BP35" s="12">
        <f>VISUM_Arterial_OD!BP35-Arterial_Truck!BP35-Arterial_HOT!BP35</f>
        <v>141.97981568</v>
      </c>
      <c r="BQ35" s="12">
        <f>VISUM_Arterial_OD!BQ35-Arterial_Truck!BQ35-Arterial_HOT!BQ35</f>
        <v>0</v>
      </c>
    </row>
    <row r="36" spans="1:69" x14ac:dyDescent="0.25">
      <c r="A36" s="5" t="str">
        <f>IF(VLOOKUP(B36,Arterial_Zone_Link_Mapping!$A:$C,2,FALSE)&lt;&gt;"",VLOOKUP(B36,Arterial_Zone_Link_Mapping!$A:$C,2,FALSE),"")</f>
        <v/>
      </c>
      <c r="B36" s="5">
        <v>58</v>
      </c>
      <c r="C36" s="12">
        <f>VISUM_Arterial_OD!C36-Arterial_Truck!C36-Arterial_HOT!C36</f>
        <v>0</v>
      </c>
      <c r="D36" s="12">
        <f>VISUM_Arterial_OD!D36-Arterial_Truck!D36-Arterial_HOT!D36</f>
        <v>0</v>
      </c>
      <c r="E36" s="12">
        <f>VISUM_Arterial_OD!E36-Arterial_Truck!E36-Arterial_HOT!E36</f>
        <v>0</v>
      </c>
      <c r="F36" s="12">
        <f>VISUM_Arterial_OD!F36-Arterial_Truck!F36-Arterial_HOT!F36</f>
        <v>0</v>
      </c>
      <c r="G36" s="12">
        <f>VISUM_Arterial_OD!G36-Arterial_Truck!G36-Arterial_HOT!G36</f>
        <v>0</v>
      </c>
      <c r="H36" s="12">
        <f>VISUM_Arterial_OD!H36-Arterial_Truck!H36-Arterial_HOT!H36</f>
        <v>0</v>
      </c>
      <c r="I36" s="12">
        <f>VISUM_Arterial_OD!I36-Arterial_Truck!I36-Arterial_HOT!I36</f>
        <v>0</v>
      </c>
      <c r="J36" s="12">
        <f>VISUM_Arterial_OD!J36-Arterial_Truck!J36-Arterial_HOT!J36</f>
        <v>0</v>
      </c>
      <c r="K36" s="12">
        <f>VISUM_Arterial_OD!K36-Arterial_Truck!K36-Arterial_HOT!K36</f>
        <v>0</v>
      </c>
      <c r="L36" s="12">
        <f>VISUM_Arterial_OD!L36-Arterial_Truck!L36-Arterial_HOT!L36</f>
        <v>0</v>
      </c>
      <c r="M36" s="12">
        <f>VISUM_Arterial_OD!M36-Arterial_Truck!M36-Arterial_HOT!M36</f>
        <v>0</v>
      </c>
      <c r="N36" s="12">
        <f>VISUM_Arterial_OD!N36-Arterial_Truck!N36-Arterial_HOT!N36</f>
        <v>0</v>
      </c>
      <c r="O36" s="12">
        <f>VISUM_Arterial_OD!O36-Arterial_Truck!O36-Arterial_HOT!O36</f>
        <v>0</v>
      </c>
      <c r="P36" s="12">
        <f>VISUM_Arterial_OD!P36-Arterial_Truck!P36-Arterial_HOT!P36</f>
        <v>0</v>
      </c>
      <c r="Q36" s="12">
        <f>VISUM_Arterial_OD!Q36-Arterial_Truck!Q36-Arterial_HOT!Q36</f>
        <v>0</v>
      </c>
      <c r="R36" s="12">
        <f>VISUM_Arterial_OD!R36-Arterial_Truck!R36-Arterial_HOT!R36</f>
        <v>0</v>
      </c>
      <c r="S36" s="12">
        <f>VISUM_Arterial_OD!S36-Arterial_Truck!S36-Arterial_HOT!S36</f>
        <v>0</v>
      </c>
      <c r="T36" s="12">
        <f>VISUM_Arterial_OD!T36-Arterial_Truck!T36-Arterial_HOT!T36</f>
        <v>0</v>
      </c>
      <c r="U36" s="12">
        <f>VISUM_Arterial_OD!U36-Arterial_Truck!U36-Arterial_HOT!U36</f>
        <v>0</v>
      </c>
      <c r="V36" s="12">
        <f>VISUM_Arterial_OD!V36-Arterial_Truck!V36-Arterial_HOT!V36</f>
        <v>0</v>
      </c>
      <c r="W36" s="12">
        <f>VISUM_Arterial_OD!W36-Arterial_Truck!W36-Arterial_HOT!W36</f>
        <v>0</v>
      </c>
      <c r="X36" s="12">
        <f>VISUM_Arterial_OD!X36-Arterial_Truck!X36-Arterial_HOT!X36</f>
        <v>0</v>
      </c>
      <c r="Y36" s="12">
        <f>VISUM_Arterial_OD!Y36-Arterial_Truck!Y36-Arterial_HOT!Y36</f>
        <v>0</v>
      </c>
      <c r="Z36" s="12">
        <f>VISUM_Arterial_OD!Z36-Arterial_Truck!Z36-Arterial_HOT!Z36</f>
        <v>0</v>
      </c>
      <c r="AA36" s="12">
        <f>VISUM_Arterial_OD!AA36-Arterial_Truck!AA36-Arterial_HOT!AA36</f>
        <v>0</v>
      </c>
      <c r="AB36" s="12">
        <f>VISUM_Arterial_OD!AB36-Arterial_Truck!AB36-Arterial_HOT!AB36</f>
        <v>0</v>
      </c>
      <c r="AC36" s="12">
        <f>VISUM_Arterial_OD!AC36-Arterial_Truck!AC36-Arterial_HOT!AC36</f>
        <v>0</v>
      </c>
      <c r="AD36" s="12">
        <f>VISUM_Arterial_OD!AD36-Arterial_Truck!AD36-Arterial_HOT!AD36</f>
        <v>0</v>
      </c>
      <c r="AE36" s="12">
        <f>VISUM_Arterial_OD!AE36-Arterial_Truck!AE36-Arterial_HOT!AE36</f>
        <v>0</v>
      </c>
      <c r="AF36" s="12">
        <f>VISUM_Arterial_OD!AF36-Arterial_Truck!AF36-Arterial_HOT!AF36</f>
        <v>0</v>
      </c>
      <c r="AG36" s="12">
        <f>VISUM_Arterial_OD!AG36-Arterial_Truck!AG36-Arterial_HOT!AG36</f>
        <v>0</v>
      </c>
      <c r="AH36" s="12">
        <f>VISUM_Arterial_OD!AH36-Arterial_Truck!AH36-Arterial_HOT!AH36</f>
        <v>0</v>
      </c>
      <c r="AI36" s="12">
        <f>VISUM_Arterial_OD!AI36-Arterial_Truck!AI36-Arterial_HOT!AI36</f>
        <v>0</v>
      </c>
      <c r="AJ36" s="12">
        <f>VISUM_Arterial_OD!AJ36-Arterial_Truck!AJ36-Arterial_HOT!AJ36</f>
        <v>0</v>
      </c>
      <c r="AK36" s="12">
        <f>VISUM_Arterial_OD!AK36-Arterial_Truck!AK36-Arterial_HOT!AK36</f>
        <v>0</v>
      </c>
      <c r="AL36" s="12">
        <f>VISUM_Arterial_OD!AL36-Arterial_Truck!AL36-Arterial_HOT!AL36</f>
        <v>0</v>
      </c>
      <c r="AM36" s="12">
        <f>VISUM_Arterial_OD!AM36-Arterial_Truck!AM36-Arterial_HOT!AM36</f>
        <v>0</v>
      </c>
      <c r="AN36" s="12">
        <f>VISUM_Arterial_OD!AN36-Arterial_Truck!AN36-Arterial_HOT!AN36</f>
        <v>0</v>
      </c>
      <c r="AO36" s="12">
        <f>VISUM_Arterial_OD!AO36-Arterial_Truck!AO36-Arterial_HOT!AO36</f>
        <v>0</v>
      </c>
      <c r="AP36" s="12">
        <f>VISUM_Arterial_OD!AP36-Arterial_Truck!AP36-Arterial_HOT!AP36</f>
        <v>0</v>
      </c>
      <c r="AQ36" s="12">
        <f>VISUM_Arterial_OD!AQ36-Arterial_Truck!AQ36-Arterial_HOT!AQ36</f>
        <v>0</v>
      </c>
      <c r="AR36" s="12">
        <f>VISUM_Arterial_OD!AR36-Arterial_Truck!AR36-Arterial_HOT!AR36</f>
        <v>0</v>
      </c>
      <c r="AS36" s="12">
        <f>VISUM_Arterial_OD!AS36-Arterial_Truck!AS36-Arterial_HOT!AS36</f>
        <v>0</v>
      </c>
      <c r="AT36" s="12">
        <f>VISUM_Arterial_OD!AT36-Arterial_Truck!AT36-Arterial_HOT!AT36</f>
        <v>0</v>
      </c>
      <c r="AU36" s="12">
        <f>VISUM_Arterial_OD!AU36-Arterial_Truck!AU36-Arterial_HOT!AU36</f>
        <v>0</v>
      </c>
      <c r="AV36" s="12">
        <f>VISUM_Arterial_OD!AV36-Arterial_Truck!AV36-Arterial_HOT!AV36</f>
        <v>0</v>
      </c>
      <c r="AW36" s="12">
        <f>VISUM_Arterial_OD!AW36-Arterial_Truck!AW36-Arterial_HOT!AW36</f>
        <v>0</v>
      </c>
      <c r="AX36" s="12">
        <f>VISUM_Arterial_OD!AX36-Arterial_Truck!AX36-Arterial_HOT!AX36</f>
        <v>0</v>
      </c>
      <c r="AY36" s="12">
        <f>VISUM_Arterial_OD!AY36-Arterial_Truck!AY36-Arterial_HOT!AY36</f>
        <v>0</v>
      </c>
      <c r="AZ36" s="12">
        <f>VISUM_Arterial_OD!AZ36-Arterial_Truck!AZ36-Arterial_HOT!AZ36</f>
        <v>0</v>
      </c>
      <c r="BA36" s="12">
        <f>VISUM_Arterial_OD!BA36-Arterial_Truck!BA36-Arterial_HOT!BA36</f>
        <v>0</v>
      </c>
      <c r="BB36" s="12">
        <f>VISUM_Arterial_OD!BB36-Arterial_Truck!BB36-Arterial_HOT!BB36</f>
        <v>0</v>
      </c>
      <c r="BC36" s="12">
        <f>VISUM_Arterial_OD!BC36-Arterial_Truck!BC36-Arterial_HOT!BC36</f>
        <v>0</v>
      </c>
      <c r="BD36" s="12">
        <f>VISUM_Arterial_OD!BD36-Arterial_Truck!BD36-Arterial_HOT!BD36</f>
        <v>0</v>
      </c>
      <c r="BE36" s="12">
        <f>VISUM_Arterial_OD!BE36-Arterial_Truck!BE36-Arterial_HOT!BE36</f>
        <v>0</v>
      </c>
      <c r="BF36" s="12">
        <f>VISUM_Arterial_OD!BF36-Arterial_Truck!BF36-Arterial_HOT!BF36</f>
        <v>0</v>
      </c>
      <c r="BG36" s="12">
        <f>VISUM_Arterial_OD!BG36-Arterial_Truck!BG36-Arterial_HOT!BG36</f>
        <v>0</v>
      </c>
      <c r="BH36" s="12">
        <f>VISUM_Arterial_OD!BH36-Arterial_Truck!BH36-Arterial_HOT!BH36</f>
        <v>0</v>
      </c>
      <c r="BI36" s="12">
        <f>VISUM_Arterial_OD!BI36-Arterial_Truck!BI36-Arterial_HOT!BI36</f>
        <v>0</v>
      </c>
      <c r="BJ36" s="12">
        <f>VISUM_Arterial_OD!BJ36-Arterial_Truck!BJ36-Arterial_HOT!BJ36</f>
        <v>0</v>
      </c>
      <c r="BK36" s="12">
        <f>VISUM_Arterial_OD!BK36-Arterial_Truck!BK36-Arterial_HOT!BK36</f>
        <v>0</v>
      </c>
      <c r="BL36" s="12">
        <f>VISUM_Arterial_OD!BL36-Arterial_Truck!BL36-Arterial_HOT!BL36</f>
        <v>0</v>
      </c>
      <c r="BM36" s="12">
        <f>VISUM_Arterial_OD!BM36-Arterial_Truck!BM36-Arterial_HOT!BM36</f>
        <v>0</v>
      </c>
      <c r="BN36" s="12">
        <f>VISUM_Arterial_OD!BN36-Arterial_Truck!BN36-Arterial_HOT!BN36</f>
        <v>0</v>
      </c>
      <c r="BO36" s="12">
        <f>VISUM_Arterial_OD!BO36-Arterial_Truck!BO36-Arterial_HOT!BO36</f>
        <v>0</v>
      </c>
      <c r="BP36" s="12">
        <f>VISUM_Arterial_OD!BP36-Arterial_Truck!BP36-Arterial_HOT!BP36</f>
        <v>0</v>
      </c>
      <c r="BQ36" s="12">
        <f>VISUM_Arterial_OD!BQ36-Arterial_Truck!BQ36-Arterial_HOT!BQ36</f>
        <v>0</v>
      </c>
    </row>
    <row r="37" spans="1:69" x14ac:dyDescent="0.25">
      <c r="A37" s="5">
        <f>IF(VLOOKUP(B37,Arterial_Zone_Link_Mapping!$A:$C,2,FALSE)&lt;&gt;"",VLOOKUP(B37,Arterial_Zone_Link_Mapping!$A:$C,2,FALSE),"")</f>
        <v>10619</v>
      </c>
      <c r="B37" s="5">
        <v>59</v>
      </c>
      <c r="C37" s="12">
        <f>VISUM_Arterial_OD!C37-Arterial_Truck!C37-Arterial_HOT!C37</f>
        <v>166.90492404</v>
      </c>
      <c r="D37" s="12">
        <f>VISUM_Arterial_OD!D37-Arterial_Truck!D37-Arterial_HOT!D37</f>
        <v>0</v>
      </c>
      <c r="E37" s="12">
        <f>VISUM_Arterial_OD!E37-Arterial_Truck!E37-Arterial_HOT!E37</f>
        <v>0</v>
      </c>
      <c r="F37" s="12">
        <f>VISUM_Arterial_OD!F37-Arterial_Truck!F37-Arterial_HOT!F37</f>
        <v>0</v>
      </c>
      <c r="G37" s="12">
        <f>VISUM_Arterial_OD!G37-Arterial_Truck!G37-Arterial_HOT!G37</f>
        <v>0</v>
      </c>
      <c r="H37" s="12">
        <f>VISUM_Arterial_OD!H37-Arterial_Truck!H37-Arterial_HOT!H37</f>
        <v>0</v>
      </c>
      <c r="I37" s="12">
        <f>VISUM_Arterial_OD!I37-Arterial_Truck!I37-Arterial_HOT!I37</f>
        <v>0</v>
      </c>
      <c r="J37" s="12">
        <f>VISUM_Arterial_OD!J37-Arterial_Truck!J37-Arterial_HOT!J37</f>
        <v>0</v>
      </c>
      <c r="K37" s="12">
        <f>VISUM_Arterial_OD!K37-Arterial_Truck!K37-Arterial_HOT!K37</f>
        <v>38.853680769999997</v>
      </c>
      <c r="L37" s="12">
        <f>VISUM_Arterial_OD!L37-Arterial_Truck!L37-Arterial_HOT!L37</f>
        <v>103.01109291</v>
      </c>
      <c r="M37" s="12">
        <f>VISUM_Arterial_OD!M37-Arterial_Truck!M37-Arterial_HOT!M37</f>
        <v>0</v>
      </c>
      <c r="N37" s="12">
        <f>VISUM_Arterial_OD!N37-Arterial_Truck!N37-Arterial_HOT!N37</f>
        <v>0</v>
      </c>
      <c r="O37" s="12">
        <f>VISUM_Arterial_OD!O37-Arterial_Truck!O37-Arterial_HOT!O37</f>
        <v>0</v>
      </c>
      <c r="P37" s="12">
        <f>VISUM_Arterial_OD!P37-Arterial_Truck!P37-Arterial_HOT!P37</f>
        <v>27.353479110000002</v>
      </c>
      <c r="Q37" s="12">
        <f>VISUM_Arterial_OD!Q37-Arterial_Truck!Q37-Arterial_HOT!Q37</f>
        <v>0</v>
      </c>
      <c r="R37" s="12">
        <f>VISUM_Arterial_OD!R37-Arterial_Truck!R37-Arterial_HOT!R37</f>
        <v>0</v>
      </c>
      <c r="S37" s="12">
        <f>VISUM_Arterial_OD!S37-Arterial_Truck!S37-Arterial_HOT!S37</f>
        <v>70.085379929999988</v>
      </c>
      <c r="T37" s="12">
        <f>VISUM_Arterial_OD!T37-Arterial_Truck!T37-Arterial_HOT!T37</f>
        <v>0</v>
      </c>
      <c r="U37" s="12">
        <f>VISUM_Arterial_OD!U37-Arterial_Truck!U37-Arterial_HOT!U37</f>
        <v>0</v>
      </c>
      <c r="V37" s="12">
        <f>VISUM_Arterial_OD!V37-Arterial_Truck!V37-Arterial_HOT!V37</f>
        <v>0</v>
      </c>
      <c r="W37" s="12">
        <f>VISUM_Arterial_OD!W37-Arterial_Truck!W37-Arterial_HOT!W37</f>
        <v>0</v>
      </c>
      <c r="X37" s="12">
        <f>VISUM_Arterial_OD!X37-Arterial_Truck!X37-Arterial_HOT!X37</f>
        <v>0</v>
      </c>
      <c r="Y37" s="12">
        <f>VISUM_Arterial_OD!Y37-Arterial_Truck!Y37-Arterial_HOT!Y37</f>
        <v>0</v>
      </c>
      <c r="Z37" s="12">
        <f>VISUM_Arterial_OD!Z37-Arterial_Truck!Z37-Arterial_HOT!Z37</f>
        <v>221.64528033000002</v>
      </c>
      <c r="AA37" s="12">
        <f>VISUM_Arterial_OD!AA37-Arterial_Truck!AA37-Arterial_HOT!AA37</f>
        <v>0</v>
      </c>
      <c r="AB37" s="12">
        <f>VISUM_Arterial_OD!AB37-Arterial_Truck!AB37-Arterial_HOT!AB37</f>
        <v>85.611992420000007</v>
      </c>
      <c r="AC37" s="12">
        <f>VISUM_Arterial_OD!AC37-Arterial_Truck!AC37-Arterial_HOT!AC37</f>
        <v>8.6321056599999988</v>
      </c>
      <c r="AD37" s="12">
        <f>VISUM_Arterial_OD!AD37-Arterial_Truck!AD37-Arterial_HOT!AD37</f>
        <v>0</v>
      </c>
      <c r="AE37" s="12">
        <f>VISUM_Arterial_OD!AE37-Arterial_Truck!AE37-Arterial_HOT!AE37</f>
        <v>0</v>
      </c>
      <c r="AF37" s="12">
        <f>VISUM_Arterial_OD!AF37-Arterial_Truck!AF37-Arterial_HOT!AF37</f>
        <v>0</v>
      </c>
      <c r="AG37" s="12">
        <f>VISUM_Arterial_OD!AG37-Arterial_Truck!AG37-Arterial_HOT!AG37</f>
        <v>0</v>
      </c>
      <c r="AH37" s="12">
        <f>VISUM_Arterial_OD!AH37-Arterial_Truck!AH37-Arterial_HOT!AH37</f>
        <v>0</v>
      </c>
      <c r="AI37" s="12">
        <f>VISUM_Arterial_OD!AI37-Arterial_Truck!AI37-Arterial_HOT!AI37</f>
        <v>0</v>
      </c>
      <c r="AJ37" s="12">
        <f>VISUM_Arterial_OD!AJ37-Arterial_Truck!AJ37-Arterial_HOT!AJ37</f>
        <v>0</v>
      </c>
      <c r="AK37" s="12">
        <f>VISUM_Arterial_OD!AK37-Arterial_Truck!AK37-Arterial_HOT!AK37</f>
        <v>0</v>
      </c>
      <c r="AL37" s="12">
        <f>VISUM_Arterial_OD!AL37-Arterial_Truck!AL37-Arterial_HOT!AL37</f>
        <v>0</v>
      </c>
      <c r="AM37" s="12">
        <f>VISUM_Arterial_OD!AM37-Arterial_Truck!AM37-Arterial_HOT!AM37</f>
        <v>0</v>
      </c>
      <c r="AN37" s="12">
        <f>VISUM_Arterial_OD!AN37-Arterial_Truck!AN37-Arterial_HOT!AN37</f>
        <v>0</v>
      </c>
      <c r="AO37" s="12">
        <f>VISUM_Arterial_OD!AO37-Arterial_Truck!AO37-Arterial_HOT!AO37</f>
        <v>0</v>
      </c>
      <c r="AP37" s="12">
        <f>VISUM_Arterial_OD!AP37-Arterial_Truck!AP37-Arterial_HOT!AP37</f>
        <v>0</v>
      </c>
      <c r="AQ37" s="12">
        <f>VISUM_Arterial_OD!AQ37-Arterial_Truck!AQ37-Arterial_HOT!AQ37</f>
        <v>0</v>
      </c>
      <c r="AR37" s="12">
        <f>VISUM_Arterial_OD!AR37-Arterial_Truck!AR37-Arterial_HOT!AR37</f>
        <v>0</v>
      </c>
      <c r="AS37" s="12">
        <f>VISUM_Arterial_OD!AS37-Arterial_Truck!AS37-Arterial_HOT!AS37</f>
        <v>0</v>
      </c>
      <c r="AT37" s="12">
        <f>VISUM_Arterial_OD!AT37-Arterial_Truck!AT37-Arterial_HOT!AT37</f>
        <v>0</v>
      </c>
      <c r="AU37" s="12">
        <f>VISUM_Arterial_OD!AU37-Arterial_Truck!AU37-Arterial_HOT!AU37</f>
        <v>0</v>
      </c>
      <c r="AV37" s="12">
        <f>VISUM_Arterial_OD!AV37-Arterial_Truck!AV37-Arterial_HOT!AV37</f>
        <v>0</v>
      </c>
      <c r="AW37" s="12">
        <f>VISUM_Arterial_OD!AW37-Arterial_Truck!AW37-Arterial_HOT!AW37</f>
        <v>0</v>
      </c>
      <c r="AX37" s="12">
        <f>VISUM_Arterial_OD!AX37-Arterial_Truck!AX37-Arterial_HOT!AX37</f>
        <v>17.211865270000001</v>
      </c>
      <c r="AY37" s="12">
        <f>VISUM_Arterial_OD!AY37-Arterial_Truck!AY37-Arterial_HOT!AY37</f>
        <v>0</v>
      </c>
      <c r="AZ37" s="12">
        <f>VISUM_Arterial_OD!AZ37-Arterial_Truck!AZ37-Arterial_HOT!AZ37</f>
        <v>0</v>
      </c>
      <c r="BA37" s="12">
        <f>VISUM_Arterial_OD!BA37-Arterial_Truck!BA37-Arterial_HOT!BA37</f>
        <v>0</v>
      </c>
      <c r="BB37" s="12">
        <f>VISUM_Arterial_OD!BB37-Arterial_Truck!BB37-Arterial_HOT!BB37</f>
        <v>0</v>
      </c>
      <c r="BC37" s="12">
        <f>VISUM_Arterial_OD!BC37-Arterial_Truck!BC37-Arterial_HOT!BC37</f>
        <v>0</v>
      </c>
      <c r="BD37" s="12">
        <f>VISUM_Arterial_OD!BD37-Arterial_Truck!BD37-Arterial_HOT!BD37</f>
        <v>0</v>
      </c>
      <c r="BE37" s="12">
        <f>VISUM_Arterial_OD!BE37-Arterial_Truck!BE37-Arterial_HOT!BE37</f>
        <v>0</v>
      </c>
      <c r="BF37" s="12">
        <f>VISUM_Arterial_OD!BF37-Arterial_Truck!BF37-Arterial_HOT!BF37</f>
        <v>0</v>
      </c>
      <c r="BG37" s="12">
        <f>VISUM_Arterial_OD!BG37-Arterial_Truck!BG37-Arterial_HOT!BG37</f>
        <v>0</v>
      </c>
      <c r="BH37" s="12">
        <f>VISUM_Arterial_OD!BH37-Arterial_Truck!BH37-Arterial_HOT!BH37</f>
        <v>0</v>
      </c>
      <c r="BI37" s="12">
        <f>VISUM_Arterial_OD!BI37-Arterial_Truck!BI37-Arterial_HOT!BI37</f>
        <v>0</v>
      </c>
      <c r="BJ37" s="12">
        <f>VISUM_Arterial_OD!BJ37-Arterial_Truck!BJ37-Arterial_HOT!BJ37</f>
        <v>0</v>
      </c>
      <c r="BK37" s="12">
        <f>VISUM_Arterial_OD!BK37-Arterial_Truck!BK37-Arterial_HOT!BK37</f>
        <v>0</v>
      </c>
      <c r="BL37" s="12">
        <f>VISUM_Arterial_OD!BL37-Arterial_Truck!BL37-Arterial_HOT!BL37</f>
        <v>0</v>
      </c>
      <c r="BM37" s="12">
        <f>VISUM_Arterial_OD!BM37-Arterial_Truck!BM37-Arterial_HOT!BM37</f>
        <v>0</v>
      </c>
      <c r="BN37" s="12">
        <f>VISUM_Arterial_OD!BN37-Arterial_Truck!BN37-Arterial_HOT!BN37</f>
        <v>0</v>
      </c>
      <c r="BO37" s="12">
        <f>VISUM_Arterial_OD!BO37-Arterial_Truck!BO37-Arterial_HOT!BO37</f>
        <v>107.02072080000001</v>
      </c>
      <c r="BP37" s="12">
        <f>VISUM_Arterial_OD!BP37-Arterial_Truck!BP37-Arterial_HOT!BP37</f>
        <v>84.871681629999998</v>
      </c>
      <c r="BQ37" s="12">
        <f>VISUM_Arterial_OD!BQ37-Arterial_Truck!BQ37-Arterial_HOT!BQ37</f>
        <v>0</v>
      </c>
    </row>
    <row r="38" spans="1:69" x14ac:dyDescent="0.25">
      <c r="A38" s="5" t="str">
        <f>IF(VLOOKUP(B38,Arterial_Zone_Link_Mapping!$A:$C,2,FALSE)&lt;&gt;"",VLOOKUP(B38,Arterial_Zone_Link_Mapping!$A:$C,2,FALSE),"")</f>
        <v/>
      </c>
      <c r="B38" s="5">
        <v>60</v>
      </c>
      <c r="C38" s="12">
        <f>VISUM_Arterial_OD!C38-Arterial_Truck!C38-Arterial_HOT!C38</f>
        <v>0</v>
      </c>
      <c r="D38" s="12">
        <f>VISUM_Arterial_OD!D38-Arterial_Truck!D38-Arterial_HOT!D38</f>
        <v>0</v>
      </c>
      <c r="E38" s="12">
        <f>VISUM_Arterial_OD!E38-Arterial_Truck!E38-Arterial_HOT!E38</f>
        <v>0</v>
      </c>
      <c r="F38" s="12">
        <f>VISUM_Arterial_OD!F38-Arterial_Truck!F38-Arterial_HOT!F38</f>
        <v>0</v>
      </c>
      <c r="G38" s="12">
        <f>VISUM_Arterial_OD!G38-Arterial_Truck!G38-Arterial_HOT!G38</f>
        <v>0</v>
      </c>
      <c r="H38" s="12">
        <f>VISUM_Arterial_OD!H38-Arterial_Truck!H38-Arterial_HOT!H38</f>
        <v>0</v>
      </c>
      <c r="I38" s="12">
        <f>VISUM_Arterial_OD!I38-Arterial_Truck!I38-Arterial_HOT!I38</f>
        <v>0</v>
      </c>
      <c r="J38" s="12">
        <f>VISUM_Arterial_OD!J38-Arterial_Truck!J38-Arterial_HOT!J38</f>
        <v>0</v>
      </c>
      <c r="K38" s="12">
        <f>VISUM_Arterial_OD!K38-Arterial_Truck!K38-Arterial_HOT!K38</f>
        <v>0</v>
      </c>
      <c r="L38" s="12">
        <f>VISUM_Arterial_OD!L38-Arterial_Truck!L38-Arterial_HOT!L38</f>
        <v>0</v>
      </c>
      <c r="M38" s="12">
        <f>VISUM_Arterial_OD!M38-Arterial_Truck!M38-Arterial_HOT!M38</f>
        <v>0</v>
      </c>
      <c r="N38" s="12">
        <f>VISUM_Arterial_OD!N38-Arterial_Truck!N38-Arterial_HOT!N38</f>
        <v>0</v>
      </c>
      <c r="O38" s="12">
        <f>VISUM_Arterial_OD!O38-Arterial_Truck!O38-Arterial_HOT!O38</f>
        <v>0</v>
      </c>
      <c r="P38" s="12">
        <f>VISUM_Arterial_OD!P38-Arterial_Truck!P38-Arterial_HOT!P38</f>
        <v>0</v>
      </c>
      <c r="Q38" s="12">
        <f>VISUM_Arterial_OD!Q38-Arterial_Truck!Q38-Arterial_HOT!Q38</f>
        <v>0</v>
      </c>
      <c r="R38" s="12">
        <f>VISUM_Arterial_OD!R38-Arterial_Truck!R38-Arterial_HOT!R38</f>
        <v>0</v>
      </c>
      <c r="S38" s="12">
        <f>VISUM_Arterial_OD!S38-Arterial_Truck!S38-Arterial_HOT!S38</f>
        <v>0</v>
      </c>
      <c r="T38" s="12">
        <f>VISUM_Arterial_OD!T38-Arterial_Truck!T38-Arterial_HOT!T38</f>
        <v>0</v>
      </c>
      <c r="U38" s="12">
        <f>VISUM_Arterial_OD!U38-Arterial_Truck!U38-Arterial_HOT!U38</f>
        <v>0</v>
      </c>
      <c r="V38" s="12">
        <f>VISUM_Arterial_OD!V38-Arterial_Truck!V38-Arterial_HOT!V38</f>
        <v>0</v>
      </c>
      <c r="W38" s="12">
        <f>VISUM_Arterial_OD!W38-Arterial_Truck!W38-Arterial_HOT!W38</f>
        <v>0</v>
      </c>
      <c r="X38" s="12">
        <f>VISUM_Arterial_OD!X38-Arterial_Truck!X38-Arterial_HOT!X38</f>
        <v>0</v>
      </c>
      <c r="Y38" s="12">
        <f>VISUM_Arterial_OD!Y38-Arterial_Truck!Y38-Arterial_HOT!Y38</f>
        <v>0</v>
      </c>
      <c r="Z38" s="12">
        <f>VISUM_Arterial_OD!Z38-Arterial_Truck!Z38-Arterial_HOT!Z38</f>
        <v>0</v>
      </c>
      <c r="AA38" s="12">
        <f>VISUM_Arterial_OD!AA38-Arterial_Truck!AA38-Arterial_HOT!AA38</f>
        <v>0</v>
      </c>
      <c r="AB38" s="12">
        <f>VISUM_Arterial_OD!AB38-Arterial_Truck!AB38-Arterial_HOT!AB38</f>
        <v>0</v>
      </c>
      <c r="AC38" s="12">
        <f>VISUM_Arterial_OD!AC38-Arterial_Truck!AC38-Arterial_HOT!AC38</f>
        <v>0</v>
      </c>
      <c r="AD38" s="12">
        <f>VISUM_Arterial_OD!AD38-Arterial_Truck!AD38-Arterial_HOT!AD38</f>
        <v>0</v>
      </c>
      <c r="AE38" s="12">
        <f>VISUM_Arterial_OD!AE38-Arterial_Truck!AE38-Arterial_HOT!AE38</f>
        <v>0</v>
      </c>
      <c r="AF38" s="12">
        <f>VISUM_Arterial_OD!AF38-Arterial_Truck!AF38-Arterial_HOT!AF38</f>
        <v>0</v>
      </c>
      <c r="AG38" s="12">
        <f>VISUM_Arterial_OD!AG38-Arterial_Truck!AG38-Arterial_HOT!AG38</f>
        <v>0</v>
      </c>
      <c r="AH38" s="12">
        <f>VISUM_Arterial_OD!AH38-Arterial_Truck!AH38-Arterial_HOT!AH38</f>
        <v>0</v>
      </c>
      <c r="AI38" s="12">
        <f>VISUM_Arterial_OD!AI38-Arterial_Truck!AI38-Arterial_HOT!AI38</f>
        <v>0</v>
      </c>
      <c r="AJ38" s="12">
        <f>VISUM_Arterial_OD!AJ38-Arterial_Truck!AJ38-Arterial_HOT!AJ38</f>
        <v>0</v>
      </c>
      <c r="AK38" s="12">
        <f>VISUM_Arterial_OD!AK38-Arterial_Truck!AK38-Arterial_HOT!AK38</f>
        <v>0</v>
      </c>
      <c r="AL38" s="12">
        <f>VISUM_Arterial_OD!AL38-Arterial_Truck!AL38-Arterial_HOT!AL38</f>
        <v>0</v>
      </c>
      <c r="AM38" s="12">
        <f>VISUM_Arterial_OD!AM38-Arterial_Truck!AM38-Arterial_HOT!AM38</f>
        <v>0</v>
      </c>
      <c r="AN38" s="12">
        <f>VISUM_Arterial_OD!AN38-Arterial_Truck!AN38-Arterial_HOT!AN38</f>
        <v>0</v>
      </c>
      <c r="AO38" s="12">
        <f>VISUM_Arterial_OD!AO38-Arterial_Truck!AO38-Arterial_HOT!AO38</f>
        <v>0</v>
      </c>
      <c r="AP38" s="12">
        <f>VISUM_Arterial_OD!AP38-Arterial_Truck!AP38-Arterial_HOT!AP38</f>
        <v>0</v>
      </c>
      <c r="AQ38" s="12">
        <f>VISUM_Arterial_OD!AQ38-Arterial_Truck!AQ38-Arterial_HOT!AQ38</f>
        <v>0</v>
      </c>
      <c r="AR38" s="12">
        <f>VISUM_Arterial_OD!AR38-Arterial_Truck!AR38-Arterial_HOT!AR38</f>
        <v>0</v>
      </c>
      <c r="AS38" s="12">
        <f>VISUM_Arterial_OD!AS38-Arterial_Truck!AS38-Arterial_HOT!AS38</f>
        <v>0</v>
      </c>
      <c r="AT38" s="12">
        <f>VISUM_Arterial_OD!AT38-Arterial_Truck!AT38-Arterial_HOT!AT38</f>
        <v>0</v>
      </c>
      <c r="AU38" s="12">
        <f>VISUM_Arterial_OD!AU38-Arterial_Truck!AU38-Arterial_HOT!AU38</f>
        <v>0</v>
      </c>
      <c r="AV38" s="12">
        <f>VISUM_Arterial_OD!AV38-Arterial_Truck!AV38-Arterial_HOT!AV38</f>
        <v>0</v>
      </c>
      <c r="AW38" s="12">
        <f>VISUM_Arterial_OD!AW38-Arterial_Truck!AW38-Arterial_HOT!AW38</f>
        <v>0</v>
      </c>
      <c r="AX38" s="12">
        <f>VISUM_Arterial_OD!AX38-Arterial_Truck!AX38-Arterial_HOT!AX38</f>
        <v>0</v>
      </c>
      <c r="AY38" s="12">
        <f>VISUM_Arterial_OD!AY38-Arterial_Truck!AY38-Arterial_HOT!AY38</f>
        <v>0</v>
      </c>
      <c r="AZ38" s="12">
        <f>VISUM_Arterial_OD!AZ38-Arterial_Truck!AZ38-Arterial_HOT!AZ38</f>
        <v>0</v>
      </c>
      <c r="BA38" s="12">
        <f>VISUM_Arterial_OD!BA38-Arterial_Truck!BA38-Arterial_HOT!BA38</f>
        <v>0</v>
      </c>
      <c r="BB38" s="12">
        <f>VISUM_Arterial_OD!BB38-Arterial_Truck!BB38-Arterial_HOT!BB38</f>
        <v>0</v>
      </c>
      <c r="BC38" s="12">
        <f>VISUM_Arterial_OD!BC38-Arterial_Truck!BC38-Arterial_HOT!BC38</f>
        <v>0</v>
      </c>
      <c r="BD38" s="12">
        <f>VISUM_Arterial_OD!BD38-Arterial_Truck!BD38-Arterial_HOT!BD38</f>
        <v>0</v>
      </c>
      <c r="BE38" s="12">
        <f>VISUM_Arterial_OD!BE38-Arterial_Truck!BE38-Arterial_HOT!BE38</f>
        <v>0</v>
      </c>
      <c r="BF38" s="12">
        <f>VISUM_Arterial_OD!BF38-Arterial_Truck!BF38-Arterial_HOT!BF38</f>
        <v>0</v>
      </c>
      <c r="BG38" s="12">
        <f>VISUM_Arterial_OD!BG38-Arterial_Truck!BG38-Arterial_HOT!BG38</f>
        <v>0</v>
      </c>
      <c r="BH38" s="12">
        <f>VISUM_Arterial_OD!BH38-Arterial_Truck!BH38-Arterial_HOT!BH38</f>
        <v>0</v>
      </c>
      <c r="BI38" s="12">
        <f>VISUM_Arterial_OD!BI38-Arterial_Truck!BI38-Arterial_HOT!BI38</f>
        <v>0</v>
      </c>
      <c r="BJ38" s="12">
        <f>VISUM_Arterial_OD!BJ38-Arterial_Truck!BJ38-Arterial_HOT!BJ38</f>
        <v>0</v>
      </c>
      <c r="BK38" s="12">
        <f>VISUM_Arterial_OD!BK38-Arterial_Truck!BK38-Arterial_HOT!BK38</f>
        <v>0</v>
      </c>
      <c r="BL38" s="12">
        <f>VISUM_Arterial_OD!BL38-Arterial_Truck!BL38-Arterial_HOT!BL38</f>
        <v>0</v>
      </c>
      <c r="BM38" s="12">
        <f>VISUM_Arterial_OD!BM38-Arterial_Truck!BM38-Arterial_HOT!BM38</f>
        <v>0</v>
      </c>
      <c r="BN38" s="12">
        <f>VISUM_Arterial_OD!BN38-Arterial_Truck!BN38-Arterial_HOT!BN38</f>
        <v>0</v>
      </c>
      <c r="BO38" s="12">
        <f>VISUM_Arterial_OD!BO38-Arterial_Truck!BO38-Arterial_HOT!BO38</f>
        <v>0</v>
      </c>
      <c r="BP38" s="12">
        <f>VISUM_Arterial_OD!BP38-Arterial_Truck!BP38-Arterial_HOT!BP38</f>
        <v>0</v>
      </c>
      <c r="BQ38" s="12">
        <f>VISUM_Arterial_OD!BQ38-Arterial_Truck!BQ38-Arterial_HOT!BQ38</f>
        <v>0</v>
      </c>
    </row>
    <row r="39" spans="1:69" x14ac:dyDescent="0.25">
      <c r="A39" s="5">
        <f>IF(VLOOKUP(B39,Arterial_Zone_Link_Mapping!$A:$C,2,FALSE)&lt;&gt;"",VLOOKUP(B39,Arterial_Zone_Link_Mapping!$A:$C,2,FALSE),"")</f>
        <v>10664</v>
      </c>
      <c r="B39" s="5">
        <v>61</v>
      </c>
      <c r="C39" s="12">
        <f>VISUM_Arterial_OD!C39-Arterial_Truck!C39-Arterial_HOT!C39</f>
        <v>0</v>
      </c>
      <c r="D39" s="12">
        <f>VISUM_Arterial_OD!D39-Arterial_Truck!D39-Arterial_HOT!D39</f>
        <v>44.543320530000003</v>
      </c>
      <c r="E39" s="12">
        <f>VISUM_Arterial_OD!E39-Arterial_Truck!E39-Arterial_HOT!E39</f>
        <v>0</v>
      </c>
      <c r="F39" s="12">
        <f>VISUM_Arterial_OD!F39-Arterial_Truck!F39-Arterial_HOT!F39</f>
        <v>0</v>
      </c>
      <c r="G39" s="12">
        <f>VISUM_Arterial_OD!G39-Arterial_Truck!G39-Arterial_HOT!G39</f>
        <v>0</v>
      </c>
      <c r="H39" s="12">
        <f>VISUM_Arterial_OD!H39-Arterial_Truck!H39-Arterial_HOT!H39</f>
        <v>0</v>
      </c>
      <c r="I39" s="12">
        <f>VISUM_Arterial_OD!I39-Arterial_Truck!I39-Arterial_HOT!I39</f>
        <v>0</v>
      </c>
      <c r="J39" s="12">
        <f>VISUM_Arterial_OD!J39-Arterial_Truck!J39-Arterial_HOT!J39</f>
        <v>877.44719683000005</v>
      </c>
      <c r="K39" s="12">
        <f>VISUM_Arterial_OD!K39-Arterial_Truck!K39-Arterial_HOT!K39</f>
        <v>0</v>
      </c>
      <c r="L39" s="12">
        <f>VISUM_Arterial_OD!L39-Arterial_Truck!L39-Arterial_HOT!L39</f>
        <v>0</v>
      </c>
      <c r="M39" s="12">
        <f>VISUM_Arterial_OD!M39-Arterial_Truck!M39-Arterial_HOT!M39</f>
        <v>0</v>
      </c>
      <c r="N39" s="12">
        <f>VISUM_Arterial_OD!N39-Arterial_Truck!N39-Arterial_HOT!N39</f>
        <v>0</v>
      </c>
      <c r="O39" s="12">
        <f>VISUM_Arterial_OD!O39-Arterial_Truck!O39-Arterial_HOT!O39</f>
        <v>620.20997227999999</v>
      </c>
      <c r="P39" s="12">
        <f>VISUM_Arterial_OD!P39-Arterial_Truck!P39-Arterial_HOT!P39</f>
        <v>0</v>
      </c>
      <c r="Q39" s="12">
        <f>VISUM_Arterial_OD!Q39-Arterial_Truck!Q39-Arterial_HOT!Q39</f>
        <v>0</v>
      </c>
      <c r="R39" s="12">
        <f>VISUM_Arterial_OD!R39-Arterial_Truck!R39-Arterial_HOT!R39</f>
        <v>0</v>
      </c>
      <c r="S39" s="12">
        <f>VISUM_Arterial_OD!S39-Arterial_Truck!S39-Arterial_HOT!S39</f>
        <v>0</v>
      </c>
      <c r="T39" s="12">
        <f>VISUM_Arterial_OD!T39-Arterial_Truck!T39-Arterial_HOT!T39</f>
        <v>0</v>
      </c>
      <c r="U39" s="12">
        <f>VISUM_Arterial_OD!U39-Arterial_Truck!U39-Arterial_HOT!U39</f>
        <v>0</v>
      </c>
      <c r="V39" s="12">
        <f>VISUM_Arterial_OD!V39-Arterial_Truck!V39-Arterial_HOT!V39</f>
        <v>0</v>
      </c>
      <c r="W39" s="12">
        <f>VISUM_Arterial_OD!W39-Arterial_Truck!W39-Arterial_HOT!W39</f>
        <v>0</v>
      </c>
      <c r="X39" s="12">
        <f>VISUM_Arterial_OD!X39-Arterial_Truck!X39-Arterial_HOT!X39</f>
        <v>0</v>
      </c>
      <c r="Y39" s="12">
        <f>VISUM_Arterial_OD!Y39-Arterial_Truck!Y39-Arterial_HOT!Y39</f>
        <v>0</v>
      </c>
      <c r="Z39" s="12">
        <f>VISUM_Arterial_OD!Z39-Arterial_Truck!Z39-Arterial_HOT!Z39</f>
        <v>0</v>
      </c>
      <c r="AA39" s="12">
        <f>VISUM_Arterial_OD!AA39-Arterial_Truck!AA39-Arterial_HOT!AA39</f>
        <v>0</v>
      </c>
      <c r="AB39" s="12">
        <f>VISUM_Arterial_OD!AB39-Arterial_Truck!AB39-Arterial_HOT!AB39</f>
        <v>0</v>
      </c>
      <c r="AC39" s="12">
        <f>VISUM_Arterial_OD!AC39-Arterial_Truck!AC39-Arterial_HOT!AC39</f>
        <v>0</v>
      </c>
      <c r="AD39" s="12">
        <f>VISUM_Arterial_OD!AD39-Arterial_Truck!AD39-Arterial_HOT!AD39</f>
        <v>0</v>
      </c>
      <c r="AE39" s="12">
        <f>VISUM_Arterial_OD!AE39-Arterial_Truck!AE39-Arterial_HOT!AE39</f>
        <v>0</v>
      </c>
      <c r="AF39" s="12">
        <f>VISUM_Arterial_OD!AF39-Arterial_Truck!AF39-Arterial_HOT!AF39</f>
        <v>0</v>
      </c>
      <c r="AG39" s="12">
        <f>VISUM_Arterial_OD!AG39-Arterial_Truck!AG39-Arterial_HOT!AG39</f>
        <v>0</v>
      </c>
      <c r="AH39" s="12">
        <f>VISUM_Arterial_OD!AH39-Arterial_Truck!AH39-Arterial_HOT!AH39</f>
        <v>0</v>
      </c>
      <c r="AI39" s="12">
        <f>VISUM_Arterial_OD!AI39-Arterial_Truck!AI39-Arterial_HOT!AI39</f>
        <v>0</v>
      </c>
      <c r="AJ39" s="12">
        <f>VISUM_Arterial_OD!AJ39-Arterial_Truck!AJ39-Arterial_HOT!AJ39</f>
        <v>0</v>
      </c>
      <c r="AK39" s="12">
        <f>VISUM_Arterial_OD!AK39-Arterial_Truck!AK39-Arterial_HOT!AK39</f>
        <v>0</v>
      </c>
      <c r="AL39" s="12">
        <f>VISUM_Arterial_OD!AL39-Arterial_Truck!AL39-Arterial_HOT!AL39</f>
        <v>0</v>
      </c>
      <c r="AM39" s="12">
        <f>VISUM_Arterial_OD!AM39-Arterial_Truck!AM39-Arterial_HOT!AM39</f>
        <v>0</v>
      </c>
      <c r="AN39" s="12">
        <f>VISUM_Arterial_OD!AN39-Arterial_Truck!AN39-Arterial_HOT!AN39</f>
        <v>0</v>
      </c>
      <c r="AO39" s="12">
        <f>VISUM_Arterial_OD!AO39-Arterial_Truck!AO39-Arterial_HOT!AO39</f>
        <v>0</v>
      </c>
      <c r="AP39" s="12">
        <f>VISUM_Arterial_OD!AP39-Arterial_Truck!AP39-Arterial_HOT!AP39</f>
        <v>0</v>
      </c>
      <c r="AQ39" s="12">
        <f>VISUM_Arterial_OD!AQ39-Arterial_Truck!AQ39-Arterial_HOT!AQ39</f>
        <v>0</v>
      </c>
      <c r="AR39" s="12">
        <f>VISUM_Arterial_OD!AR39-Arterial_Truck!AR39-Arterial_HOT!AR39</f>
        <v>0</v>
      </c>
      <c r="AS39" s="12">
        <f>VISUM_Arterial_OD!AS39-Arterial_Truck!AS39-Arterial_HOT!AS39</f>
        <v>0</v>
      </c>
      <c r="AT39" s="12">
        <f>VISUM_Arterial_OD!AT39-Arterial_Truck!AT39-Arterial_HOT!AT39</f>
        <v>0</v>
      </c>
      <c r="AU39" s="12">
        <f>VISUM_Arterial_OD!AU39-Arterial_Truck!AU39-Arterial_HOT!AU39</f>
        <v>0</v>
      </c>
      <c r="AV39" s="12">
        <f>VISUM_Arterial_OD!AV39-Arterial_Truck!AV39-Arterial_HOT!AV39</f>
        <v>0</v>
      </c>
      <c r="AW39" s="12">
        <f>VISUM_Arterial_OD!AW39-Arterial_Truck!AW39-Arterial_HOT!AW39</f>
        <v>0</v>
      </c>
      <c r="AX39" s="12">
        <f>VISUM_Arterial_OD!AX39-Arterial_Truck!AX39-Arterial_HOT!AX39</f>
        <v>0</v>
      </c>
      <c r="AY39" s="12">
        <f>VISUM_Arterial_OD!AY39-Arterial_Truck!AY39-Arterial_HOT!AY39</f>
        <v>0</v>
      </c>
      <c r="AZ39" s="12">
        <f>VISUM_Arterial_OD!AZ39-Arterial_Truck!AZ39-Arterial_HOT!AZ39</f>
        <v>0</v>
      </c>
      <c r="BA39" s="12">
        <f>VISUM_Arterial_OD!BA39-Arterial_Truck!BA39-Arterial_HOT!BA39</f>
        <v>0</v>
      </c>
      <c r="BB39" s="12">
        <f>VISUM_Arterial_OD!BB39-Arterial_Truck!BB39-Arterial_HOT!BB39</f>
        <v>0</v>
      </c>
      <c r="BC39" s="12">
        <f>VISUM_Arterial_OD!BC39-Arterial_Truck!BC39-Arterial_HOT!BC39</f>
        <v>0</v>
      </c>
      <c r="BD39" s="12">
        <f>VISUM_Arterial_OD!BD39-Arterial_Truck!BD39-Arterial_HOT!BD39</f>
        <v>0</v>
      </c>
      <c r="BE39" s="12">
        <f>VISUM_Arterial_OD!BE39-Arterial_Truck!BE39-Arterial_HOT!BE39</f>
        <v>0</v>
      </c>
      <c r="BF39" s="12">
        <f>VISUM_Arterial_OD!BF39-Arterial_Truck!BF39-Arterial_HOT!BF39</f>
        <v>0</v>
      </c>
      <c r="BG39" s="12">
        <f>VISUM_Arterial_OD!BG39-Arterial_Truck!BG39-Arterial_HOT!BG39</f>
        <v>0</v>
      </c>
      <c r="BH39" s="12">
        <f>VISUM_Arterial_OD!BH39-Arterial_Truck!BH39-Arterial_HOT!BH39</f>
        <v>0</v>
      </c>
      <c r="BI39" s="12">
        <f>VISUM_Arterial_OD!BI39-Arterial_Truck!BI39-Arterial_HOT!BI39</f>
        <v>0</v>
      </c>
      <c r="BJ39" s="12">
        <f>VISUM_Arterial_OD!BJ39-Arterial_Truck!BJ39-Arterial_HOT!BJ39</f>
        <v>0</v>
      </c>
      <c r="BK39" s="12">
        <f>VISUM_Arterial_OD!BK39-Arterial_Truck!BK39-Arterial_HOT!BK39</f>
        <v>0</v>
      </c>
      <c r="BL39" s="12">
        <f>VISUM_Arterial_OD!BL39-Arterial_Truck!BL39-Arterial_HOT!BL39</f>
        <v>0</v>
      </c>
      <c r="BM39" s="12">
        <f>VISUM_Arterial_OD!BM39-Arterial_Truck!BM39-Arterial_HOT!BM39</f>
        <v>0</v>
      </c>
      <c r="BN39" s="12">
        <f>VISUM_Arterial_OD!BN39-Arterial_Truck!BN39-Arterial_HOT!BN39</f>
        <v>0</v>
      </c>
      <c r="BO39" s="12">
        <f>VISUM_Arterial_OD!BO39-Arterial_Truck!BO39-Arterial_HOT!BO39</f>
        <v>0</v>
      </c>
      <c r="BP39" s="12">
        <f>VISUM_Arterial_OD!BP39-Arterial_Truck!BP39-Arterial_HOT!BP39</f>
        <v>0</v>
      </c>
      <c r="BQ39" s="12">
        <f>VISUM_Arterial_OD!BQ39-Arterial_Truck!BQ39-Arterial_HOT!BQ39</f>
        <v>0</v>
      </c>
    </row>
    <row r="40" spans="1:69" x14ac:dyDescent="0.25">
      <c r="A40" s="5" t="str">
        <f>IF(VLOOKUP(B40,Arterial_Zone_Link_Mapping!$A:$C,2,FALSE)&lt;&gt;"",VLOOKUP(B40,Arterial_Zone_Link_Mapping!$A:$C,2,FALSE),"")</f>
        <v/>
      </c>
      <c r="B40" s="5">
        <v>62</v>
      </c>
      <c r="C40" s="12">
        <f>VISUM_Arterial_OD!C40-Arterial_Truck!C40-Arterial_HOT!C40</f>
        <v>0</v>
      </c>
      <c r="D40" s="12">
        <f>VISUM_Arterial_OD!D40-Arterial_Truck!D40-Arterial_HOT!D40</f>
        <v>0</v>
      </c>
      <c r="E40" s="12">
        <f>VISUM_Arterial_OD!E40-Arterial_Truck!E40-Arterial_HOT!E40</f>
        <v>0</v>
      </c>
      <c r="F40" s="12">
        <f>VISUM_Arterial_OD!F40-Arterial_Truck!F40-Arterial_HOT!F40</f>
        <v>0</v>
      </c>
      <c r="G40" s="12">
        <f>VISUM_Arterial_OD!G40-Arterial_Truck!G40-Arterial_HOT!G40</f>
        <v>0</v>
      </c>
      <c r="H40" s="12">
        <f>VISUM_Arterial_OD!H40-Arterial_Truck!H40-Arterial_HOT!H40</f>
        <v>0</v>
      </c>
      <c r="I40" s="12">
        <f>VISUM_Arterial_OD!I40-Arterial_Truck!I40-Arterial_HOT!I40</f>
        <v>0</v>
      </c>
      <c r="J40" s="12">
        <f>VISUM_Arterial_OD!J40-Arterial_Truck!J40-Arterial_HOT!J40</f>
        <v>0</v>
      </c>
      <c r="K40" s="12">
        <f>VISUM_Arterial_OD!K40-Arterial_Truck!K40-Arterial_HOT!K40</f>
        <v>0</v>
      </c>
      <c r="L40" s="12">
        <f>VISUM_Arterial_OD!L40-Arterial_Truck!L40-Arterial_HOT!L40</f>
        <v>0</v>
      </c>
      <c r="M40" s="12">
        <f>VISUM_Arterial_OD!M40-Arterial_Truck!M40-Arterial_HOT!M40</f>
        <v>0</v>
      </c>
      <c r="N40" s="12">
        <f>VISUM_Arterial_OD!N40-Arterial_Truck!N40-Arterial_HOT!N40</f>
        <v>0</v>
      </c>
      <c r="O40" s="12">
        <f>VISUM_Arterial_OD!O40-Arterial_Truck!O40-Arterial_HOT!O40</f>
        <v>0</v>
      </c>
      <c r="P40" s="12">
        <f>VISUM_Arterial_OD!P40-Arterial_Truck!P40-Arterial_HOT!P40</f>
        <v>0</v>
      </c>
      <c r="Q40" s="12">
        <f>VISUM_Arterial_OD!Q40-Arterial_Truck!Q40-Arterial_HOT!Q40</f>
        <v>0</v>
      </c>
      <c r="R40" s="12">
        <f>VISUM_Arterial_OD!R40-Arterial_Truck!R40-Arterial_HOT!R40</f>
        <v>0</v>
      </c>
      <c r="S40" s="12">
        <f>VISUM_Arterial_OD!S40-Arterial_Truck!S40-Arterial_HOT!S40</f>
        <v>0</v>
      </c>
      <c r="T40" s="12">
        <f>VISUM_Arterial_OD!T40-Arterial_Truck!T40-Arterial_HOT!T40</f>
        <v>0</v>
      </c>
      <c r="U40" s="12">
        <f>VISUM_Arterial_OD!U40-Arterial_Truck!U40-Arterial_HOT!U40</f>
        <v>0</v>
      </c>
      <c r="V40" s="12">
        <f>VISUM_Arterial_OD!V40-Arterial_Truck!V40-Arterial_HOT!V40</f>
        <v>0</v>
      </c>
      <c r="W40" s="12">
        <f>VISUM_Arterial_OD!W40-Arterial_Truck!W40-Arterial_HOT!W40</f>
        <v>0</v>
      </c>
      <c r="X40" s="12">
        <f>VISUM_Arterial_OD!X40-Arterial_Truck!X40-Arterial_HOT!X40</f>
        <v>0</v>
      </c>
      <c r="Y40" s="12">
        <f>VISUM_Arterial_OD!Y40-Arterial_Truck!Y40-Arterial_HOT!Y40</f>
        <v>0</v>
      </c>
      <c r="Z40" s="12">
        <f>VISUM_Arterial_OD!Z40-Arterial_Truck!Z40-Arterial_HOT!Z40</f>
        <v>0</v>
      </c>
      <c r="AA40" s="12">
        <f>VISUM_Arterial_OD!AA40-Arterial_Truck!AA40-Arterial_HOT!AA40</f>
        <v>0</v>
      </c>
      <c r="AB40" s="12">
        <f>VISUM_Arterial_OD!AB40-Arterial_Truck!AB40-Arterial_HOT!AB40</f>
        <v>0</v>
      </c>
      <c r="AC40" s="12">
        <f>VISUM_Arterial_OD!AC40-Arterial_Truck!AC40-Arterial_HOT!AC40</f>
        <v>0</v>
      </c>
      <c r="AD40" s="12">
        <f>VISUM_Arterial_OD!AD40-Arterial_Truck!AD40-Arterial_HOT!AD40</f>
        <v>0</v>
      </c>
      <c r="AE40" s="12">
        <f>VISUM_Arterial_OD!AE40-Arterial_Truck!AE40-Arterial_HOT!AE40</f>
        <v>0</v>
      </c>
      <c r="AF40" s="12">
        <f>VISUM_Arterial_OD!AF40-Arterial_Truck!AF40-Arterial_HOT!AF40</f>
        <v>0</v>
      </c>
      <c r="AG40" s="12">
        <f>VISUM_Arterial_OD!AG40-Arterial_Truck!AG40-Arterial_HOT!AG40</f>
        <v>0</v>
      </c>
      <c r="AH40" s="12">
        <f>VISUM_Arterial_OD!AH40-Arterial_Truck!AH40-Arterial_HOT!AH40</f>
        <v>0</v>
      </c>
      <c r="AI40" s="12">
        <f>VISUM_Arterial_OD!AI40-Arterial_Truck!AI40-Arterial_HOT!AI40</f>
        <v>0</v>
      </c>
      <c r="AJ40" s="12">
        <f>VISUM_Arterial_OD!AJ40-Arterial_Truck!AJ40-Arterial_HOT!AJ40</f>
        <v>0</v>
      </c>
      <c r="AK40" s="12">
        <f>VISUM_Arterial_OD!AK40-Arterial_Truck!AK40-Arterial_HOT!AK40</f>
        <v>0</v>
      </c>
      <c r="AL40" s="12">
        <f>VISUM_Arterial_OD!AL40-Arterial_Truck!AL40-Arterial_HOT!AL40</f>
        <v>0</v>
      </c>
      <c r="AM40" s="12">
        <f>VISUM_Arterial_OD!AM40-Arterial_Truck!AM40-Arterial_HOT!AM40</f>
        <v>0</v>
      </c>
      <c r="AN40" s="12">
        <f>VISUM_Arterial_OD!AN40-Arterial_Truck!AN40-Arterial_HOT!AN40</f>
        <v>0</v>
      </c>
      <c r="AO40" s="12">
        <f>VISUM_Arterial_OD!AO40-Arterial_Truck!AO40-Arterial_HOT!AO40</f>
        <v>0</v>
      </c>
      <c r="AP40" s="12">
        <f>VISUM_Arterial_OD!AP40-Arterial_Truck!AP40-Arterial_HOT!AP40</f>
        <v>0</v>
      </c>
      <c r="AQ40" s="12">
        <f>VISUM_Arterial_OD!AQ40-Arterial_Truck!AQ40-Arterial_HOT!AQ40</f>
        <v>0</v>
      </c>
      <c r="AR40" s="12">
        <f>VISUM_Arterial_OD!AR40-Arterial_Truck!AR40-Arterial_HOT!AR40</f>
        <v>0</v>
      </c>
      <c r="AS40" s="12">
        <f>VISUM_Arterial_OD!AS40-Arterial_Truck!AS40-Arterial_HOT!AS40</f>
        <v>0</v>
      </c>
      <c r="AT40" s="12">
        <f>VISUM_Arterial_OD!AT40-Arterial_Truck!AT40-Arterial_HOT!AT40</f>
        <v>0</v>
      </c>
      <c r="AU40" s="12">
        <f>VISUM_Arterial_OD!AU40-Arterial_Truck!AU40-Arterial_HOT!AU40</f>
        <v>0</v>
      </c>
      <c r="AV40" s="12">
        <f>VISUM_Arterial_OD!AV40-Arterial_Truck!AV40-Arterial_HOT!AV40</f>
        <v>0</v>
      </c>
      <c r="AW40" s="12">
        <f>VISUM_Arterial_OD!AW40-Arterial_Truck!AW40-Arterial_HOT!AW40</f>
        <v>0</v>
      </c>
      <c r="AX40" s="12">
        <f>VISUM_Arterial_OD!AX40-Arterial_Truck!AX40-Arterial_HOT!AX40</f>
        <v>0</v>
      </c>
      <c r="AY40" s="12">
        <f>VISUM_Arterial_OD!AY40-Arterial_Truck!AY40-Arterial_HOT!AY40</f>
        <v>0</v>
      </c>
      <c r="AZ40" s="12">
        <f>VISUM_Arterial_OD!AZ40-Arterial_Truck!AZ40-Arterial_HOT!AZ40</f>
        <v>0</v>
      </c>
      <c r="BA40" s="12">
        <f>VISUM_Arterial_OD!BA40-Arterial_Truck!BA40-Arterial_HOT!BA40</f>
        <v>0</v>
      </c>
      <c r="BB40" s="12">
        <f>VISUM_Arterial_OD!BB40-Arterial_Truck!BB40-Arterial_HOT!BB40</f>
        <v>0</v>
      </c>
      <c r="BC40" s="12">
        <f>VISUM_Arterial_OD!BC40-Arterial_Truck!BC40-Arterial_HOT!BC40</f>
        <v>0</v>
      </c>
      <c r="BD40" s="12">
        <f>VISUM_Arterial_OD!BD40-Arterial_Truck!BD40-Arterial_HOT!BD40</f>
        <v>0</v>
      </c>
      <c r="BE40" s="12">
        <f>VISUM_Arterial_OD!BE40-Arterial_Truck!BE40-Arterial_HOT!BE40</f>
        <v>0</v>
      </c>
      <c r="BF40" s="12">
        <f>VISUM_Arterial_OD!BF40-Arterial_Truck!BF40-Arterial_HOT!BF40</f>
        <v>0</v>
      </c>
      <c r="BG40" s="12">
        <f>VISUM_Arterial_OD!BG40-Arterial_Truck!BG40-Arterial_HOT!BG40</f>
        <v>0</v>
      </c>
      <c r="BH40" s="12">
        <f>VISUM_Arterial_OD!BH40-Arterial_Truck!BH40-Arterial_HOT!BH40</f>
        <v>0</v>
      </c>
      <c r="BI40" s="12">
        <f>VISUM_Arterial_OD!BI40-Arterial_Truck!BI40-Arterial_HOT!BI40</f>
        <v>0</v>
      </c>
      <c r="BJ40" s="12">
        <f>VISUM_Arterial_OD!BJ40-Arterial_Truck!BJ40-Arterial_HOT!BJ40</f>
        <v>0</v>
      </c>
      <c r="BK40" s="12">
        <f>VISUM_Arterial_OD!BK40-Arterial_Truck!BK40-Arterial_HOT!BK40</f>
        <v>0</v>
      </c>
      <c r="BL40" s="12">
        <f>VISUM_Arterial_OD!BL40-Arterial_Truck!BL40-Arterial_HOT!BL40</f>
        <v>0</v>
      </c>
      <c r="BM40" s="12">
        <f>VISUM_Arterial_OD!BM40-Arterial_Truck!BM40-Arterial_HOT!BM40</f>
        <v>0</v>
      </c>
      <c r="BN40" s="12">
        <f>VISUM_Arterial_OD!BN40-Arterial_Truck!BN40-Arterial_HOT!BN40</f>
        <v>0</v>
      </c>
      <c r="BO40" s="12">
        <f>VISUM_Arterial_OD!BO40-Arterial_Truck!BO40-Arterial_HOT!BO40</f>
        <v>0</v>
      </c>
      <c r="BP40" s="12">
        <f>VISUM_Arterial_OD!BP40-Arterial_Truck!BP40-Arterial_HOT!BP40</f>
        <v>0</v>
      </c>
      <c r="BQ40" s="12">
        <f>VISUM_Arterial_OD!BQ40-Arterial_Truck!BQ40-Arterial_HOT!BQ40</f>
        <v>0</v>
      </c>
    </row>
    <row r="41" spans="1:69" x14ac:dyDescent="0.25">
      <c r="A41" s="5" t="str">
        <f>IF(VLOOKUP(B41,Arterial_Zone_Link_Mapping!$A:$C,2,FALSE)&lt;&gt;"",VLOOKUP(B41,Arterial_Zone_Link_Mapping!$A:$C,2,FALSE),"")</f>
        <v/>
      </c>
      <c r="B41" s="5">
        <v>63</v>
      </c>
      <c r="C41" s="12">
        <f>VISUM_Arterial_OD!C41-Arterial_Truck!C41-Arterial_HOT!C41</f>
        <v>0</v>
      </c>
      <c r="D41" s="12">
        <f>VISUM_Arterial_OD!D41-Arterial_Truck!D41-Arterial_HOT!D41</f>
        <v>0</v>
      </c>
      <c r="E41" s="12">
        <f>VISUM_Arterial_OD!E41-Arterial_Truck!E41-Arterial_HOT!E41</f>
        <v>0</v>
      </c>
      <c r="F41" s="12">
        <f>VISUM_Arterial_OD!F41-Arterial_Truck!F41-Arterial_HOT!F41</f>
        <v>0</v>
      </c>
      <c r="G41" s="12">
        <f>VISUM_Arterial_OD!G41-Arterial_Truck!G41-Arterial_HOT!G41</f>
        <v>0</v>
      </c>
      <c r="H41" s="12">
        <f>VISUM_Arterial_OD!H41-Arterial_Truck!H41-Arterial_HOT!H41</f>
        <v>0</v>
      </c>
      <c r="I41" s="12">
        <f>VISUM_Arterial_OD!I41-Arterial_Truck!I41-Arterial_HOT!I41</f>
        <v>0</v>
      </c>
      <c r="J41" s="12">
        <f>VISUM_Arterial_OD!J41-Arterial_Truck!J41-Arterial_HOT!J41</f>
        <v>0</v>
      </c>
      <c r="K41" s="12">
        <f>VISUM_Arterial_OD!K41-Arterial_Truck!K41-Arterial_HOT!K41</f>
        <v>0</v>
      </c>
      <c r="L41" s="12">
        <f>VISUM_Arterial_OD!L41-Arterial_Truck!L41-Arterial_HOT!L41</f>
        <v>0</v>
      </c>
      <c r="M41" s="12">
        <f>VISUM_Arterial_OD!M41-Arterial_Truck!M41-Arterial_HOT!M41</f>
        <v>0</v>
      </c>
      <c r="N41" s="12">
        <f>VISUM_Arterial_OD!N41-Arterial_Truck!N41-Arterial_HOT!N41</f>
        <v>0</v>
      </c>
      <c r="O41" s="12">
        <f>VISUM_Arterial_OD!O41-Arterial_Truck!O41-Arterial_HOT!O41</f>
        <v>0</v>
      </c>
      <c r="P41" s="12">
        <f>VISUM_Arterial_OD!P41-Arterial_Truck!P41-Arterial_HOT!P41</f>
        <v>0</v>
      </c>
      <c r="Q41" s="12">
        <f>VISUM_Arterial_OD!Q41-Arterial_Truck!Q41-Arterial_HOT!Q41</f>
        <v>0</v>
      </c>
      <c r="R41" s="12">
        <f>VISUM_Arterial_OD!R41-Arterial_Truck!R41-Arterial_HOT!R41</f>
        <v>0</v>
      </c>
      <c r="S41" s="12">
        <f>VISUM_Arterial_OD!S41-Arterial_Truck!S41-Arterial_HOT!S41</f>
        <v>0</v>
      </c>
      <c r="T41" s="12">
        <f>VISUM_Arterial_OD!T41-Arterial_Truck!T41-Arterial_HOT!T41</f>
        <v>0</v>
      </c>
      <c r="U41" s="12">
        <f>VISUM_Arterial_OD!U41-Arterial_Truck!U41-Arterial_HOT!U41</f>
        <v>0</v>
      </c>
      <c r="V41" s="12">
        <f>VISUM_Arterial_OD!V41-Arterial_Truck!V41-Arterial_HOT!V41</f>
        <v>0</v>
      </c>
      <c r="W41" s="12">
        <f>VISUM_Arterial_OD!W41-Arterial_Truck!W41-Arterial_HOT!W41</f>
        <v>0</v>
      </c>
      <c r="X41" s="12">
        <f>VISUM_Arterial_OD!X41-Arterial_Truck!X41-Arterial_HOT!X41</f>
        <v>0</v>
      </c>
      <c r="Y41" s="12">
        <f>VISUM_Arterial_OD!Y41-Arterial_Truck!Y41-Arterial_HOT!Y41</f>
        <v>0</v>
      </c>
      <c r="Z41" s="12">
        <f>VISUM_Arterial_OD!Z41-Arterial_Truck!Z41-Arterial_HOT!Z41</f>
        <v>0</v>
      </c>
      <c r="AA41" s="12">
        <f>VISUM_Arterial_OD!AA41-Arterial_Truck!AA41-Arterial_HOT!AA41</f>
        <v>0</v>
      </c>
      <c r="AB41" s="12">
        <f>VISUM_Arterial_OD!AB41-Arterial_Truck!AB41-Arterial_HOT!AB41</f>
        <v>0</v>
      </c>
      <c r="AC41" s="12">
        <f>VISUM_Arterial_OD!AC41-Arterial_Truck!AC41-Arterial_HOT!AC41</f>
        <v>0</v>
      </c>
      <c r="AD41" s="12">
        <f>VISUM_Arterial_OD!AD41-Arterial_Truck!AD41-Arterial_HOT!AD41</f>
        <v>0</v>
      </c>
      <c r="AE41" s="12">
        <f>VISUM_Arterial_OD!AE41-Arterial_Truck!AE41-Arterial_HOT!AE41</f>
        <v>0</v>
      </c>
      <c r="AF41" s="12">
        <f>VISUM_Arterial_OD!AF41-Arterial_Truck!AF41-Arterial_HOT!AF41</f>
        <v>0</v>
      </c>
      <c r="AG41" s="12">
        <f>VISUM_Arterial_OD!AG41-Arterial_Truck!AG41-Arterial_HOT!AG41</f>
        <v>0</v>
      </c>
      <c r="AH41" s="12">
        <f>VISUM_Arterial_OD!AH41-Arterial_Truck!AH41-Arterial_HOT!AH41</f>
        <v>0</v>
      </c>
      <c r="AI41" s="12">
        <f>VISUM_Arterial_OD!AI41-Arterial_Truck!AI41-Arterial_HOT!AI41</f>
        <v>0</v>
      </c>
      <c r="AJ41" s="12">
        <f>VISUM_Arterial_OD!AJ41-Arterial_Truck!AJ41-Arterial_HOT!AJ41</f>
        <v>0</v>
      </c>
      <c r="AK41" s="12">
        <f>VISUM_Arterial_OD!AK41-Arterial_Truck!AK41-Arterial_HOT!AK41</f>
        <v>0</v>
      </c>
      <c r="AL41" s="12">
        <f>VISUM_Arterial_OD!AL41-Arterial_Truck!AL41-Arterial_HOT!AL41</f>
        <v>0</v>
      </c>
      <c r="AM41" s="12">
        <f>VISUM_Arterial_OD!AM41-Arterial_Truck!AM41-Arterial_HOT!AM41</f>
        <v>0</v>
      </c>
      <c r="AN41" s="12">
        <f>VISUM_Arterial_OD!AN41-Arterial_Truck!AN41-Arterial_HOT!AN41</f>
        <v>0</v>
      </c>
      <c r="AO41" s="12">
        <f>VISUM_Arterial_OD!AO41-Arterial_Truck!AO41-Arterial_HOT!AO41</f>
        <v>0</v>
      </c>
      <c r="AP41" s="12">
        <f>VISUM_Arterial_OD!AP41-Arterial_Truck!AP41-Arterial_HOT!AP41</f>
        <v>0</v>
      </c>
      <c r="AQ41" s="12">
        <f>VISUM_Arterial_OD!AQ41-Arterial_Truck!AQ41-Arterial_HOT!AQ41</f>
        <v>0</v>
      </c>
      <c r="AR41" s="12">
        <f>VISUM_Arterial_OD!AR41-Arterial_Truck!AR41-Arterial_HOT!AR41</f>
        <v>0</v>
      </c>
      <c r="AS41" s="12">
        <f>VISUM_Arterial_OD!AS41-Arterial_Truck!AS41-Arterial_HOT!AS41</f>
        <v>0</v>
      </c>
      <c r="AT41" s="12">
        <f>VISUM_Arterial_OD!AT41-Arterial_Truck!AT41-Arterial_HOT!AT41</f>
        <v>0</v>
      </c>
      <c r="AU41" s="12">
        <f>VISUM_Arterial_OD!AU41-Arterial_Truck!AU41-Arterial_HOT!AU41</f>
        <v>0</v>
      </c>
      <c r="AV41" s="12">
        <f>VISUM_Arterial_OD!AV41-Arterial_Truck!AV41-Arterial_HOT!AV41</f>
        <v>0</v>
      </c>
      <c r="AW41" s="12">
        <f>VISUM_Arterial_OD!AW41-Arterial_Truck!AW41-Arterial_HOT!AW41</f>
        <v>0</v>
      </c>
      <c r="AX41" s="12">
        <f>VISUM_Arterial_OD!AX41-Arterial_Truck!AX41-Arterial_HOT!AX41</f>
        <v>0</v>
      </c>
      <c r="AY41" s="12">
        <f>VISUM_Arterial_OD!AY41-Arterial_Truck!AY41-Arterial_HOT!AY41</f>
        <v>0</v>
      </c>
      <c r="AZ41" s="12">
        <f>VISUM_Arterial_OD!AZ41-Arterial_Truck!AZ41-Arterial_HOT!AZ41</f>
        <v>0</v>
      </c>
      <c r="BA41" s="12">
        <f>VISUM_Arterial_OD!BA41-Arterial_Truck!BA41-Arterial_HOT!BA41</f>
        <v>0</v>
      </c>
      <c r="BB41" s="12">
        <f>VISUM_Arterial_OD!BB41-Arterial_Truck!BB41-Arterial_HOT!BB41</f>
        <v>0</v>
      </c>
      <c r="BC41" s="12">
        <f>VISUM_Arterial_OD!BC41-Arterial_Truck!BC41-Arterial_HOT!BC41</f>
        <v>0</v>
      </c>
      <c r="BD41" s="12">
        <f>VISUM_Arterial_OD!BD41-Arterial_Truck!BD41-Arterial_HOT!BD41</f>
        <v>0</v>
      </c>
      <c r="BE41" s="12">
        <f>VISUM_Arterial_OD!BE41-Arterial_Truck!BE41-Arterial_HOT!BE41</f>
        <v>0</v>
      </c>
      <c r="BF41" s="12">
        <f>VISUM_Arterial_OD!BF41-Arterial_Truck!BF41-Arterial_HOT!BF41</f>
        <v>0</v>
      </c>
      <c r="BG41" s="12">
        <f>VISUM_Arterial_OD!BG41-Arterial_Truck!BG41-Arterial_HOT!BG41</f>
        <v>0</v>
      </c>
      <c r="BH41" s="12">
        <f>VISUM_Arterial_OD!BH41-Arterial_Truck!BH41-Arterial_HOT!BH41</f>
        <v>0</v>
      </c>
      <c r="BI41" s="12">
        <f>VISUM_Arterial_OD!BI41-Arterial_Truck!BI41-Arterial_HOT!BI41</f>
        <v>0</v>
      </c>
      <c r="BJ41" s="12">
        <f>VISUM_Arterial_OD!BJ41-Arterial_Truck!BJ41-Arterial_HOT!BJ41</f>
        <v>0</v>
      </c>
      <c r="BK41" s="12">
        <f>VISUM_Arterial_OD!BK41-Arterial_Truck!BK41-Arterial_HOT!BK41</f>
        <v>0</v>
      </c>
      <c r="BL41" s="12">
        <f>VISUM_Arterial_OD!BL41-Arterial_Truck!BL41-Arterial_HOT!BL41</f>
        <v>0</v>
      </c>
      <c r="BM41" s="12">
        <f>VISUM_Arterial_OD!BM41-Arterial_Truck!BM41-Arterial_HOT!BM41</f>
        <v>0</v>
      </c>
      <c r="BN41" s="12">
        <f>VISUM_Arterial_OD!BN41-Arterial_Truck!BN41-Arterial_HOT!BN41</f>
        <v>0</v>
      </c>
      <c r="BO41" s="12">
        <f>VISUM_Arterial_OD!BO41-Arterial_Truck!BO41-Arterial_HOT!BO41</f>
        <v>0</v>
      </c>
      <c r="BP41" s="12">
        <f>VISUM_Arterial_OD!BP41-Arterial_Truck!BP41-Arterial_HOT!BP41</f>
        <v>0</v>
      </c>
      <c r="BQ41" s="12">
        <f>VISUM_Arterial_OD!BQ41-Arterial_Truck!BQ41-Arterial_HOT!BQ41</f>
        <v>0</v>
      </c>
    </row>
    <row r="42" spans="1:69" x14ac:dyDescent="0.25">
      <c r="A42" s="5">
        <f>IF(VLOOKUP(B42,Arterial_Zone_Link_Mapping!$A:$C,2,FALSE)&lt;&gt;"",VLOOKUP(B42,Arterial_Zone_Link_Mapping!$A:$C,2,FALSE),"")</f>
        <v>201</v>
      </c>
      <c r="B42" s="5">
        <v>64</v>
      </c>
      <c r="C42" s="12">
        <f>VISUM_Arterial_OD!C42-Arterial_Truck!C42-Arterial_HOT!C42</f>
        <v>0</v>
      </c>
      <c r="D42" s="12">
        <f>VISUM_Arterial_OD!D42-Arterial_Truck!D42-Arterial_HOT!D42</f>
        <v>0</v>
      </c>
      <c r="E42" s="12">
        <f>VISUM_Arterial_OD!E42-Arterial_Truck!E42-Arterial_HOT!E42</f>
        <v>0</v>
      </c>
      <c r="F42" s="12">
        <f>VISUM_Arterial_OD!F42-Arterial_Truck!F42-Arterial_HOT!F42</f>
        <v>0</v>
      </c>
      <c r="G42" s="12">
        <f>VISUM_Arterial_OD!G42-Arterial_Truck!G42-Arterial_HOT!G42</f>
        <v>0</v>
      </c>
      <c r="H42" s="12">
        <f>VISUM_Arterial_OD!H42-Arterial_Truck!H42-Arterial_HOT!H42</f>
        <v>0</v>
      </c>
      <c r="I42" s="12">
        <f>VISUM_Arterial_OD!I42-Arterial_Truck!I42-Arterial_HOT!I42</f>
        <v>0</v>
      </c>
      <c r="J42" s="12">
        <f>VISUM_Arterial_OD!J42-Arterial_Truck!J42-Arterial_HOT!J42</f>
        <v>0</v>
      </c>
      <c r="K42" s="12">
        <f>VISUM_Arterial_OD!K42-Arterial_Truck!K42-Arterial_HOT!K42</f>
        <v>0</v>
      </c>
      <c r="L42" s="12">
        <f>VISUM_Arterial_OD!L42-Arterial_Truck!L42-Arterial_HOT!L42</f>
        <v>0</v>
      </c>
      <c r="M42" s="12">
        <f>VISUM_Arterial_OD!M42-Arterial_Truck!M42-Arterial_HOT!M42</f>
        <v>0</v>
      </c>
      <c r="N42" s="12">
        <f>VISUM_Arterial_OD!N42-Arterial_Truck!N42-Arterial_HOT!N42</f>
        <v>0</v>
      </c>
      <c r="O42" s="12">
        <f>VISUM_Arterial_OD!O42-Arterial_Truck!O42-Arterial_HOT!O42</f>
        <v>0</v>
      </c>
      <c r="P42" s="12">
        <f>VISUM_Arterial_OD!P42-Arterial_Truck!P42-Arterial_HOT!P42</f>
        <v>0</v>
      </c>
      <c r="Q42" s="12">
        <f>VISUM_Arterial_OD!Q42-Arterial_Truck!Q42-Arterial_HOT!Q42</f>
        <v>0</v>
      </c>
      <c r="R42" s="12">
        <f>VISUM_Arterial_OD!R42-Arterial_Truck!R42-Arterial_HOT!R42</f>
        <v>168.06906799999999</v>
      </c>
      <c r="S42" s="12">
        <f>VISUM_Arterial_OD!S42-Arterial_Truck!S42-Arterial_HOT!S42</f>
        <v>0</v>
      </c>
      <c r="T42" s="12">
        <f>VISUM_Arterial_OD!T42-Arterial_Truck!T42-Arterial_HOT!T42</f>
        <v>282.01632699999999</v>
      </c>
      <c r="U42" s="12">
        <f>VISUM_Arterial_OD!U42-Arterial_Truck!U42-Arterial_HOT!U42</f>
        <v>0</v>
      </c>
      <c r="V42" s="12">
        <f>VISUM_Arterial_OD!V42-Arterial_Truck!V42-Arterial_HOT!V42</f>
        <v>0</v>
      </c>
      <c r="W42" s="12">
        <f>VISUM_Arterial_OD!W42-Arterial_Truck!W42-Arterial_HOT!W42</f>
        <v>0</v>
      </c>
      <c r="X42" s="12">
        <f>VISUM_Arterial_OD!X42-Arterial_Truck!X42-Arterial_HOT!X42</f>
        <v>0</v>
      </c>
      <c r="Y42" s="12">
        <f>VISUM_Arterial_OD!Y42-Arterial_Truck!Y42-Arterial_HOT!Y42</f>
        <v>0</v>
      </c>
      <c r="Z42" s="12">
        <f>VISUM_Arterial_OD!Z42-Arterial_Truck!Z42-Arterial_HOT!Z42</f>
        <v>0</v>
      </c>
      <c r="AA42" s="12">
        <f>VISUM_Arterial_OD!AA42-Arterial_Truck!AA42-Arterial_HOT!AA42</f>
        <v>0</v>
      </c>
      <c r="AB42" s="12">
        <f>VISUM_Arterial_OD!AB42-Arterial_Truck!AB42-Arterial_HOT!AB42</f>
        <v>0</v>
      </c>
      <c r="AC42" s="12">
        <f>VISUM_Arterial_OD!AC42-Arterial_Truck!AC42-Arterial_HOT!AC42</f>
        <v>0</v>
      </c>
      <c r="AD42" s="12">
        <f>VISUM_Arterial_OD!AD42-Arterial_Truck!AD42-Arterial_HOT!AD42</f>
        <v>0</v>
      </c>
      <c r="AE42" s="12">
        <f>VISUM_Arterial_OD!AE42-Arterial_Truck!AE42-Arterial_HOT!AE42</f>
        <v>0</v>
      </c>
      <c r="AF42" s="12">
        <f>VISUM_Arterial_OD!AF42-Arterial_Truck!AF42-Arterial_HOT!AF42</f>
        <v>0</v>
      </c>
      <c r="AG42" s="12">
        <f>VISUM_Arterial_OD!AG42-Arterial_Truck!AG42-Arterial_HOT!AG42</f>
        <v>0</v>
      </c>
      <c r="AH42" s="12">
        <f>VISUM_Arterial_OD!AH42-Arterial_Truck!AH42-Arterial_HOT!AH42</f>
        <v>0</v>
      </c>
      <c r="AI42" s="12">
        <f>VISUM_Arterial_OD!AI42-Arterial_Truck!AI42-Arterial_HOT!AI42</f>
        <v>0</v>
      </c>
      <c r="AJ42" s="12">
        <f>VISUM_Arterial_OD!AJ42-Arterial_Truck!AJ42-Arterial_HOT!AJ42</f>
        <v>0</v>
      </c>
      <c r="AK42" s="12">
        <f>VISUM_Arterial_OD!AK42-Arterial_Truck!AK42-Arterial_HOT!AK42</f>
        <v>0</v>
      </c>
      <c r="AL42" s="12">
        <f>VISUM_Arterial_OD!AL42-Arterial_Truck!AL42-Arterial_HOT!AL42</f>
        <v>0</v>
      </c>
      <c r="AM42" s="12">
        <f>VISUM_Arterial_OD!AM42-Arterial_Truck!AM42-Arterial_HOT!AM42</f>
        <v>0</v>
      </c>
      <c r="AN42" s="12">
        <f>VISUM_Arterial_OD!AN42-Arterial_Truck!AN42-Arterial_HOT!AN42</f>
        <v>0</v>
      </c>
      <c r="AO42" s="12">
        <f>VISUM_Arterial_OD!AO42-Arterial_Truck!AO42-Arterial_HOT!AO42</f>
        <v>0</v>
      </c>
      <c r="AP42" s="12">
        <f>VISUM_Arterial_OD!AP42-Arterial_Truck!AP42-Arterial_HOT!AP42</f>
        <v>0</v>
      </c>
      <c r="AQ42" s="12">
        <f>VISUM_Arterial_OD!AQ42-Arterial_Truck!AQ42-Arterial_HOT!AQ42</f>
        <v>0</v>
      </c>
      <c r="AR42" s="12">
        <f>VISUM_Arterial_OD!AR42-Arterial_Truck!AR42-Arterial_HOT!AR42</f>
        <v>0</v>
      </c>
      <c r="AS42" s="12">
        <f>VISUM_Arterial_OD!AS42-Arterial_Truck!AS42-Arterial_HOT!AS42</f>
        <v>0</v>
      </c>
      <c r="AT42" s="12">
        <f>VISUM_Arterial_OD!AT42-Arterial_Truck!AT42-Arterial_HOT!AT42</f>
        <v>0</v>
      </c>
      <c r="AU42" s="12">
        <f>VISUM_Arterial_OD!AU42-Arterial_Truck!AU42-Arterial_HOT!AU42</f>
        <v>0</v>
      </c>
      <c r="AV42" s="12">
        <f>VISUM_Arterial_OD!AV42-Arterial_Truck!AV42-Arterial_HOT!AV42</f>
        <v>0</v>
      </c>
      <c r="AW42" s="12">
        <f>VISUM_Arterial_OD!AW42-Arterial_Truck!AW42-Arterial_HOT!AW42</f>
        <v>0</v>
      </c>
      <c r="AX42" s="12">
        <f>VISUM_Arterial_OD!AX42-Arterial_Truck!AX42-Arterial_HOT!AX42</f>
        <v>0</v>
      </c>
      <c r="AY42" s="12">
        <f>VISUM_Arterial_OD!AY42-Arterial_Truck!AY42-Arterial_HOT!AY42</f>
        <v>0</v>
      </c>
      <c r="AZ42" s="12">
        <f>VISUM_Arterial_OD!AZ42-Arterial_Truck!AZ42-Arterial_HOT!AZ42</f>
        <v>0</v>
      </c>
      <c r="BA42" s="12">
        <f>VISUM_Arterial_OD!BA42-Arterial_Truck!BA42-Arterial_HOT!BA42</f>
        <v>0</v>
      </c>
      <c r="BB42" s="12">
        <f>VISUM_Arterial_OD!BB42-Arterial_Truck!BB42-Arterial_HOT!BB42</f>
        <v>0</v>
      </c>
      <c r="BC42" s="12">
        <f>VISUM_Arterial_OD!BC42-Arterial_Truck!BC42-Arterial_HOT!BC42</f>
        <v>0</v>
      </c>
      <c r="BD42" s="12">
        <f>VISUM_Arterial_OD!BD42-Arterial_Truck!BD42-Arterial_HOT!BD42</f>
        <v>0</v>
      </c>
      <c r="BE42" s="12">
        <f>VISUM_Arterial_OD!BE42-Arterial_Truck!BE42-Arterial_HOT!BE42</f>
        <v>0</v>
      </c>
      <c r="BF42" s="12">
        <f>VISUM_Arterial_OD!BF42-Arterial_Truck!BF42-Arterial_HOT!BF42</f>
        <v>0</v>
      </c>
      <c r="BG42" s="12">
        <f>VISUM_Arterial_OD!BG42-Arterial_Truck!BG42-Arterial_HOT!BG42</f>
        <v>0</v>
      </c>
      <c r="BH42" s="12">
        <f>VISUM_Arterial_OD!BH42-Arterial_Truck!BH42-Arterial_HOT!BH42</f>
        <v>0</v>
      </c>
      <c r="BI42" s="12">
        <f>VISUM_Arterial_OD!BI42-Arterial_Truck!BI42-Arterial_HOT!BI42</f>
        <v>0</v>
      </c>
      <c r="BJ42" s="12">
        <f>VISUM_Arterial_OD!BJ42-Arterial_Truck!BJ42-Arterial_HOT!BJ42</f>
        <v>0</v>
      </c>
      <c r="BK42" s="12">
        <f>VISUM_Arterial_OD!BK42-Arterial_Truck!BK42-Arterial_HOT!BK42</f>
        <v>0</v>
      </c>
      <c r="BL42" s="12">
        <f>VISUM_Arterial_OD!BL42-Arterial_Truck!BL42-Arterial_HOT!BL42</f>
        <v>0</v>
      </c>
      <c r="BM42" s="12">
        <f>VISUM_Arterial_OD!BM42-Arterial_Truck!BM42-Arterial_HOT!BM42</f>
        <v>0</v>
      </c>
      <c r="BN42" s="12">
        <f>VISUM_Arterial_OD!BN42-Arterial_Truck!BN42-Arterial_HOT!BN42</f>
        <v>0</v>
      </c>
      <c r="BO42" s="12">
        <f>VISUM_Arterial_OD!BO42-Arterial_Truck!BO42-Arterial_HOT!BO42</f>
        <v>0</v>
      </c>
      <c r="BP42" s="12">
        <f>VISUM_Arterial_OD!BP42-Arterial_Truck!BP42-Arterial_HOT!BP42</f>
        <v>0</v>
      </c>
      <c r="BQ42" s="12">
        <f>VISUM_Arterial_OD!BQ42-Arterial_Truck!BQ42-Arterial_HOT!BQ42</f>
        <v>0</v>
      </c>
    </row>
    <row r="43" spans="1:69" x14ac:dyDescent="0.25">
      <c r="A43" s="5">
        <f>IF(VLOOKUP(B43,Arterial_Zone_Link_Mapping!$A:$C,2,FALSE)&lt;&gt;"",VLOOKUP(B43,Arterial_Zone_Link_Mapping!$A:$C,2,FALSE),"")</f>
        <v>10228</v>
      </c>
      <c r="B43" s="5">
        <v>65</v>
      </c>
      <c r="C43" s="12">
        <f>VISUM_Arterial_OD!C43-Arterial_Truck!C43-Arterial_HOT!C43</f>
        <v>0</v>
      </c>
      <c r="D43" s="12">
        <f>VISUM_Arterial_OD!D43-Arterial_Truck!D43-Arterial_HOT!D43</f>
        <v>0</v>
      </c>
      <c r="E43" s="12">
        <f>VISUM_Arterial_OD!E43-Arterial_Truck!E43-Arterial_HOT!E43</f>
        <v>0</v>
      </c>
      <c r="F43" s="12">
        <f>VISUM_Arterial_OD!F43-Arterial_Truck!F43-Arterial_HOT!F43</f>
        <v>0</v>
      </c>
      <c r="G43" s="12">
        <f>VISUM_Arterial_OD!G43-Arterial_Truck!G43-Arterial_HOT!G43</f>
        <v>0</v>
      </c>
      <c r="H43" s="12">
        <f>VISUM_Arterial_OD!H43-Arterial_Truck!H43-Arterial_HOT!H43</f>
        <v>0</v>
      </c>
      <c r="I43" s="12">
        <f>VISUM_Arterial_OD!I43-Arterial_Truck!I43-Arterial_HOT!I43</f>
        <v>0</v>
      </c>
      <c r="J43" s="12">
        <f>VISUM_Arterial_OD!J43-Arterial_Truck!J43-Arterial_HOT!J43</f>
        <v>519.89533193</v>
      </c>
      <c r="K43" s="12">
        <f>VISUM_Arterial_OD!K43-Arterial_Truck!K43-Arterial_HOT!K43</f>
        <v>0</v>
      </c>
      <c r="L43" s="12">
        <f>VISUM_Arterial_OD!L43-Arterial_Truck!L43-Arterial_HOT!L43</f>
        <v>0</v>
      </c>
      <c r="M43" s="12">
        <f>VISUM_Arterial_OD!M43-Arterial_Truck!M43-Arterial_HOT!M43</f>
        <v>0</v>
      </c>
      <c r="N43" s="12">
        <f>VISUM_Arterial_OD!N43-Arterial_Truck!N43-Arterial_HOT!N43</f>
        <v>0</v>
      </c>
      <c r="O43" s="12">
        <f>VISUM_Arterial_OD!O43-Arterial_Truck!O43-Arterial_HOT!O43</f>
        <v>566.48050925000007</v>
      </c>
      <c r="P43" s="12">
        <f>VISUM_Arterial_OD!P43-Arterial_Truck!P43-Arterial_HOT!P43</f>
        <v>0</v>
      </c>
      <c r="Q43" s="12">
        <f>VISUM_Arterial_OD!Q43-Arterial_Truck!Q43-Arterial_HOT!Q43</f>
        <v>0</v>
      </c>
      <c r="R43" s="12">
        <f>VISUM_Arterial_OD!R43-Arterial_Truck!R43-Arterial_HOT!R43</f>
        <v>0</v>
      </c>
      <c r="S43" s="12">
        <f>VISUM_Arterial_OD!S43-Arterial_Truck!S43-Arterial_HOT!S43</f>
        <v>0</v>
      </c>
      <c r="T43" s="12">
        <f>VISUM_Arterial_OD!T43-Arterial_Truck!T43-Arterial_HOT!T43</f>
        <v>0</v>
      </c>
      <c r="U43" s="12">
        <f>VISUM_Arterial_OD!U43-Arterial_Truck!U43-Arterial_HOT!U43</f>
        <v>0</v>
      </c>
      <c r="V43" s="12">
        <f>VISUM_Arterial_OD!V43-Arterial_Truck!V43-Arterial_HOT!V43</f>
        <v>0</v>
      </c>
      <c r="W43" s="12">
        <f>VISUM_Arterial_OD!W43-Arterial_Truck!W43-Arterial_HOT!W43</f>
        <v>0</v>
      </c>
      <c r="X43" s="12">
        <f>VISUM_Arterial_OD!X43-Arterial_Truck!X43-Arterial_HOT!X43</f>
        <v>0</v>
      </c>
      <c r="Y43" s="12">
        <f>VISUM_Arterial_OD!Y43-Arterial_Truck!Y43-Arterial_HOT!Y43</f>
        <v>0</v>
      </c>
      <c r="Z43" s="12">
        <f>VISUM_Arterial_OD!Z43-Arterial_Truck!Z43-Arterial_HOT!Z43</f>
        <v>0</v>
      </c>
      <c r="AA43" s="12">
        <f>VISUM_Arterial_OD!AA43-Arterial_Truck!AA43-Arterial_HOT!AA43</f>
        <v>0</v>
      </c>
      <c r="AB43" s="12">
        <f>VISUM_Arterial_OD!AB43-Arterial_Truck!AB43-Arterial_HOT!AB43</f>
        <v>0</v>
      </c>
      <c r="AC43" s="12">
        <f>VISUM_Arterial_OD!AC43-Arterial_Truck!AC43-Arterial_HOT!AC43</f>
        <v>0</v>
      </c>
      <c r="AD43" s="12">
        <f>VISUM_Arterial_OD!AD43-Arterial_Truck!AD43-Arterial_HOT!AD43</f>
        <v>0</v>
      </c>
      <c r="AE43" s="12">
        <f>VISUM_Arterial_OD!AE43-Arterial_Truck!AE43-Arterial_HOT!AE43</f>
        <v>0</v>
      </c>
      <c r="AF43" s="12">
        <f>VISUM_Arterial_OD!AF43-Arterial_Truck!AF43-Arterial_HOT!AF43</f>
        <v>0</v>
      </c>
      <c r="AG43" s="12">
        <f>VISUM_Arterial_OD!AG43-Arterial_Truck!AG43-Arterial_HOT!AG43</f>
        <v>0</v>
      </c>
      <c r="AH43" s="12">
        <f>VISUM_Arterial_OD!AH43-Arterial_Truck!AH43-Arterial_HOT!AH43</f>
        <v>0</v>
      </c>
      <c r="AI43" s="12">
        <f>VISUM_Arterial_OD!AI43-Arterial_Truck!AI43-Arterial_HOT!AI43</f>
        <v>0</v>
      </c>
      <c r="AJ43" s="12">
        <f>VISUM_Arterial_OD!AJ43-Arterial_Truck!AJ43-Arterial_HOT!AJ43</f>
        <v>0</v>
      </c>
      <c r="AK43" s="12">
        <f>VISUM_Arterial_OD!AK43-Arterial_Truck!AK43-Arterial_HOT!AK43</f>
        <v>0</v>
      </c>
      <c r="AL43" s="12">
        <f>VISUM_Arterial_OD!AL43-Arterial_Truck!AL43-Arterial_HOT!AL43</f>
        <v>0</v>
      </c>
      <c r="AM43" s="12">
        <f>VISUM_Arterial_OD!AM43-Arterial_Truck!AM43-Arterial_HOT!AM43</f>
        <v>0</v>
      </c>
      <c r="AN43" s="12">
        <f>VISUM_Arterial_OD!AN43-Arterial_Truck!AN43-Arterial_HOT!AN43</f>
        <v>0</v>
      </c>
      <c r="AO43" s="12">
        <f>VISUM_Arterial_OD!AO43-Arterial_Truck!AO43-Arterial_HOT!AO43</f>
        <v>0</v>
      </c>
      <c r="AP43" s="12">
        <f>VISUM_Arterial_OD!AP43-Arterial_Truck!AP43-Arterial_HOT!AP43</f>
        <v>0</v>
      </c>
      <c r="AQ43" s="12">
        <f>VISUM_Arterial_OD!AQ43-Arterial_Truck!AQ43-Arterial_HOT!AQ43</f>
        <v>0</v>
      </c>
      <c r="AR43" s="12">
        <f>VISUM_Arterial_OD!AR43-Arterial_Truck!AR43-Arterial_HOT!AR43</f>
        <v>0</v>
      </c>
      <c r="AS43" s="12">
        <f>VISUM_Arterial_OD!AS43-Arterial_Truck!AS43-Arterial_HOT!AS43</f>
        <v>0</v>
      </c>
      <c r="AT43" s="12">
        <f>VISUM_Arterial_OD!AT43-Arterial_Truck!AT43-Arterial_HOT!AT43</f>
        <v>0</v>
      </c>
      <c r="AU43" s="12">
        <f>VISUM_Arterial_OD!AU43-Arterial_Truck!AU43-Arterial_HOT!AU43</f>
        <v>0</v>
      </c>
      <c r="AV43" s="12">
        <f>VISUM_Arterial_OD!AV43-Arterial_Truck!AV43-Arterial_HOT!AV43</f>
        <v>0</v>
      </c>
      <c r="AW43" s="12">
        <f>VISUM_Arterial_OD!AW43-Arterial_Truck!AW43-Arterial_HOT!AW43</f>
        <v>0</v>
      </c>
      <c r="AX43" s="12">
        <f>VISUM_Arterial_OD!AX43-Arterial_Truck!AX43-Arterial_HOT!AX43</f>
        <v>0</v>
      </c>
      <c r="AY43" s="12">
        <f>VISUM_Arterial_OD!AY43-Arterial_Truck!AY43-Arterial_HOT!AY43</f>
        <v>0</v>
      </c>
      <c r="AZ43" s="12">
        <f>VISUM_Arterial_OD!AZ43-Arterial_Truck!AZ43-Arterial_HOT!AZ43</f>
        <v>0</v>
      </c>
      <c r="BA43" s="12">
        <f>VISUM_Arterial_OD!BA43-Arterial_Truck!BA43-Arterial_HOT!BA43</f>
        <v>0</v>
      </c>
      <c r="BB43" s="12">
        <f>VISUM_Arterial_OD!BB43-Arterial_Truck!BB43-Arterial_HOT!BB43</f>
        <v>0</v>
      </c>
      <c r="BC43" s="12">
        <f>VISUM_Arterial_OD!BC43-Arterial_Truck!BC43-Arterial_HOT!BC43</f>
        <v>0</v>
      </c>
      <c r="BD43" s="12">
        <f>VISUM_Arterial_OD!BD43-Arterial_Truck!BD43-Arterial_HOT!BD43</f>
        <v>0</v>
      </c>
      <c r="BE43" s="12">
        <f>VISUM_Arterial_OD!BE43-Arterial_Truck!BE43-Arterial_HOT!BE43</f>
        <v>0</v>
      </c>
      <c r="BF43" s="12">
        <f>VISUM_Arterial_OD!BF43-Arterial_Truck!BF43-Arterial_HOT!BF43</f>
        <v>0</v>
      </c>
      <c r="BG43" s="12">
        <f>VISUM_Arterial_OD!BG43-Arterial_Truck!BG43-Arterial_HOT!BG43</f>
        <v>0</v>
      </c>
      <c r="BH43" s="12">
        <f>VISUM_Arterial_OD!BH43-Arterial_Truck!BH43-Arterial_HOT!BH43</f>
        <v>0</v>
      </c>
      <c r="BI43" s="12">
        <f>VISUM_Arterial_OD!BI43-Arterial_Truck!BI43-Arterial_HOT!BI43</f>
        <v>0</v>
      </c>
      <c r="BJ43" s="12">
        <f>VISUM_Arterial_OD!BJ43-Arterial_Truck!BJ43-Arterial_HOT!BJ43</f>
        <v>0</v>
      </c>
      <c r="BK43" s="12">
        <f>VISUM_Arterial_OD!BK43-Arterial_Truck!BK43-Arterial_HOT!BK43</f>
        <v>0</v>
      </c>
      <c r="BL43" s="12">
        <f>VISUM_Arterial_OD!BL43-Arterial_Truck!BL43-Arterial_HOT!BL43</f>
        <v>0</v>
      </c>
      <c r="BM43" s="12">
        <f>VISUM_Arterial_OD!BM43-Arterial_Truck!BM43-Arterial_HOT!BM43</f>
        <v>0</v>
      </c>
      <c r="BN43" s="12">
        <f>VISUM_Arterial_OD!BN43-Arterial_Truck!BN43-Arterial_HOT!BN43</f>
        <v>0</v>
      </c>
      <c r="BO43" s="12">
        <f>VISUM_Arterial_OD!BO43-Arterial_Truck!BO43-Arterial_HOT!BO43</f>
        <v>0</v>
      </c>
      <c r="BP43" s="12">
        <f>VISUM_Arterial_OD!BP43-Arterial_Truck!BP43-Arterial_HOT!BP43</f>
        <v>0</v>
      </c>
      <c r="BQ43" s="12">
        <f>VISUM_Arterial_OD!BQ43-Arterial_Truck!BQ43-Arterial_HOT!BQ43</f>
        <v>0</v>
      </c>
    </row>
    <row r="44" spans="1:69" x14ac:dyDescent="0.25">
      <c r="A44" s="5">
        <f>IF(VLOOKUP(B44,Arterial_Zone_Link_Mapping!$A:$C,2,FALSE)&lt;&gt;"",VLOOKUP(B44,Arterial_Zone_Link_Mapping!$A:$C,2,FALSE),"")</f>
        <v>369</v>
      </c>
      <c r="B44" s="5">
        <v>66</v>
      </c>
      <c r="C44" s="12">
        <f>VISUM_Arterial_OD!C44-Arterial_Truck!C44-Arterial_HOT!C44</f>
        <v>82.872290469999996</v>
      </c>
      <c r="D44" s="12">
        <f>VISUM_Arterial_OD!D44-Arterial_Truck!D44-Arterial_HOT!D44</f>
        <v>0.87227250000000001</v>
      </c>
      <c r="E44" s="12">
        <f>VISUM_Arterial_OD!E44-Arterial_Truck!E44-Arterial_HOT!E44</f>
        <v>0</v>
      </c>
      <c r="F44" s="12">
        <f>VISUM_Arterial_OD!F44-Arterial_Truck!F44-Arterial_HOT!F44</f>
        <v>0</v>
      </c>
      <c r="G44" s="12">
        <f>VISUM_Arterial_OD!G44-Arterial_Truck!G44-Arterial_HOT!G44</f>
        <v>0</v>
      </c>
      <c r="H44" s="12">
        <f>VISUM_Arterial_OD!H44-Arterial_Truck!H44-Arterial_HOT!H44</f>
        <v>0</v>
      </c>
      <c r="I44" s="12">
        <f>VISUM_Arterial_OD!I44-Arterial_Truck!I44-Arterial_HOT!I44</f>
        <v>0</v>
      </c>
      <c r="J44" s="12">
        <f>VISUM_Arterial_OD!J44-Arterial_Truck!J44-Arterial_HOT!J44</f>
        <v>4.2396439900000003</v>
      </c>
      <c r="K44" s="12">
        <f>VISUM_Arterial_OD!K44-Arterial_Truck!K44-Arterial_HOT!K44</f>
        <v>18.548043180000001</v>
      </c>
      <c r="L44" s="12">
        <f>VISUM_Arterial_OD!L44-Arterial_Truck!L44-Arterial_HOT!L44</f>
        <v>28.006442369999998</v>
      </c>
      <c r="M44" s="12">
        <f>VISUM_Arterial_OD!M44-Arterial_Truck!M44-Arterial_HOT!M44</f>
        <v>0</v>
      </c>
      <c r="N44" s="12">
        <f>VISUM_Arterial_OD!N44-Arterial_Truck!N44-Arterial_HOT!N44</f>
        <v>0</v>
      </c>
      <c r="O44" s="12">
        <f>VISUM_Arterial_OD!O44-Arterial_Truck!O44-Arterial_HOT!O44</f>
        <v>5.8415446700000002</v>
      </c>
      <c r="P44" s="12">
        <f>VISUM_Arterial_OD!P44-Arterial_Truck!P44-Arterial_HOT!P44</f>
        <v>3.3852728399999998</v>
      </c>
      <c r="Q44" s="12">
        <f>VISUM_Arterial_OD!Q44-Arterial_Truck!Q44-Arterial_HOT!Q44</f>
        <v>0</v>
      </c>
      <c r="R44" s="12">
        <f>VISUM_Arterial_OD!R44-Arterial_Truck!R44-Arterial_HOT!R44</f>
        <v>0</v>
      </c>
      <c r="S44" s="12">
        <f>VISUM_Arterial_OD!S44-Arterial_Truck!S44-Arterial_HOT!S44</f>
        <v>368.56192167999995</v>
      </c>
      <c r="T44" s="12">
        <f>VISUM_Arterial_OD!T44-Arterial_Truck!T44-Arterial_HOT!T44</f>
        <v>0</v>
      </c>
      <c r="U44" s="12">
        <f>VISUM_Arterial_OD!U44-Arterial_Truck!U44-Arterial_HOT!U44</f>
        <v>0</v>
      </c>
      <c r="V44" s="12">
        <f>VISUM_Arterial_OD!V44-Arterial_Truck!V44-Arterial_HOT!V44</f>
        <v>0</v>
      </c>
      <c r="W44" s="12">
        <f>VISUM_Arterial_OD!W44-Arterial_Truck!W44-Arterial_HOT!W44</f>
        <v>0</v>
      </c>
      <c r="X44" s="12">
        <f>VISUM_Arterial_OD!X44-Arterial_Truck!X44-Arterial_HOT!X44</f>
        <v>0</v>
      </c>
      <c r="Y44" s="12">
        <f>VISUM_Arterial_OD!Y44-Arterial_Truck!Y44-Arterial_HOT!Y44</f>
        <v>0</v>
      </c>
      <c r="Z44" s="12">
        <f>VISUM_Arterial_OD!Z44-Arterial_Truck!Z44-Arterial_HOT!Z44</f>
        <v>17.259082929999998</v>
      </c>
      <c r="AA44" s="12">
        <f>VISUM_Arterial_OD!AA44-Arterial_Truck!AA44-Arterial_HOT!AA44</f>
        <v>0</v>
      </c>
      <c r="AB44" s="12">
        <f>VISUM_Arterial_OD!AB44-Arterial_Truck!AB44-Arterial_HOT!AB44</f>
        <v>57.652900600000002</v>
      </c>
      <c r="AC44" s="12">
        <f>VISUM_Arterial_OD!AC44-Arterial_Truck!AC44-Arterial_HOT!AC44</f>
        <v>3.71058077</v>
      </c>
      <c r="AD44" s="12">
        <f>VISUM_Arterial_OD!AD44-Arterial_Truck!AD44-Arterial_HOT!AD44</f>
        <v>0</v>
      </c>
      <c r="AE44" s="12">
        <f>VISUM_Arterial_OD!AE44-Arterial_Truck!AE44-Arterial_HOT!AE44</f>
        <v>0</v>
      </c>
      <c r="AF44" s="12">
        <f>VISUM_Arterial_OD!AF44-Arterial_Truck!AF44-Arterial_HOT!AF44</f>
        <v>0</v>
      </c>
      <c r="AG44" s="12">
        <f>VISUM_Arterial_OD!AG44-Arterial_Truck!AG44-Arterial_HOT!AG44</f>
        <v>0</v>
      </c>
      <c r="AH44" s="12">
        <f>VISUM_Arterial_OD!AH44-Arterial_Truck!AH44-Arterial_HOT!AH44</f>
        <v>0</v>
      </c>
      <c r="AI44" s="12">
        <f>VISUM_Arterial_OD!AI44-Arterial_Truck!AI44-Arterial_HOT!AI44</f>
        <v>0</v>
      </c>
      <c r="AJ44" s="12">
        <f>VISUM_Arterial_OD!AJ44-Arterial_Truck!AJ44-Arterial_HOT!AJ44</f>
        <v>0</v>
      </c>
      <c r="AK44" s="12">
        <f>VISUM_Arterial_OD!AK44-Arterial_Truck!AK44-Arterial_HOT!AK44</f>
        <v>0</v>
      </c>
      <c r="AL44" s="12">
        <f>VISUM_Arterial_OD!AL44-Arterial_Truck!AL44-Arterial_HOT!AL44</f>
        <v>5.55885563</v>
      </c>
      <c r="AM44" s="12">
        <f>VISUM_Arterial_OD!AM44-Arterial_Truck!AM44-Arterial_HOT!AM44</f>
        <v>0</v>
      </c>
      <c r="AN44" s="12">
        <f>VISUM_Arterial_OD!AN44-Arterial_Truck!AN44-Arterial_HOT!AN44</f>
        <v>34.710224889999999</v>
      </c>
      <c r="AO44" s="12">
        <f>VISUM_Arterial_OD!AO44-Arterial_Truck!AO44-Arterial_HOT!AO44</f>
        <v>0</v>
      </c>
      <c r="AP44" s="12">
        <f>VISUM_Arterial_OD!AP44-Arterial_Truck!AP44-Arterial_HOT!AP44</f>
        <v>0</v>
      </c>
      <c r="AQ44" s="12">
        <f>VISUM_Arterial_OD!AQ44-Arterial_Truck!AQ44-Arterial_HOT!AQ44</f>
        <v>0</v>
      </c>
      <c r="AR44" s="12">
        <f>VISUM_Arterial_OD!AR44-Arterial_Truck!AR44-Arterial_HOT!AR44</f>
        <v>0</v>
      </c>
      <c r="AS44" s="12">
        <f>VISUM_Arterial_OD!AS44-Arterial_Truck!AS44-Arterial_HOT!AS44</f>
        <v>0</v>
      </c>
      <c r="AT44" s="12">
        <f>VISUM_Arterial_OD!AT44-Arterial_Truck!AT44-Arterial_HOT!AT44</f>
        <v>0</v>
      </c>
      <c r="AU44" s="12">
        <f>VISUM_Arterial_OD!AU44-Arterial_Truck!AU44-Arterial_HOT!AU44</f>
        <v>0</v>
      </c>
      <c r="AV44" s="12">
        <f>VISUM_Arterial_OD!AV44-Arterial_Truck!AV44-Arterial_HOT!AV44</f>
        <v>0</v>
      </c>
      <c r="AW44" s="12">
        <f>VISUM_Arterial_OD!AW44-Arterial_Truck!AW44-Arterial_HOT!AW44</f>
        <v>0</v>
      </c>
      <c r="AX44" s="12">
        <f>VISUM_Arterial_OD!AX44-Arterial_Truck!AX44-Arterial_HOT!AX44</f>
        <v>4.5423179399999993</v>
      </c>
      <c r="AY44" s="12">
        <f>VISUM_Arterial_OD!AY44-Arterial_Truck!AY44-Arterial_HOT!AY44</f>
        <v>0</v>
      </c>
      <c r="AZ44" s="12">
        <f>VISUM_Arterial_OD!AZ44-Arterial_Truck!AZ44-Arterial_HOT!AZ44</f>
        <v>0</v>
      </c>
      <c r="BA44" s="12">
        <f>VISUM_Arterial_OD!BA44-Arterial_Truck!BA44-Arterial_HOT!BA44</f>
        <v>0</v>
      </c>
      <c r="BB44" s="12">
        <f>VISUM_Arterial_OD!BB44-Arterial_Truck!BB44-Arterial_HOT!BB44</f>
        <v>0</v>
      </c>
      <c r="BC44" s="12">
        <f>VISUM_Arterial_OD!BC44-Arterial_Truck!BC44-Arterial_HOT!BC44</f>
        <v>0</v>
      </c>
      <c r="BD44" s="12">
        <f>VISUM_Arterial_OD!BD44-Arterial_Truck!BD44-Arterial_HOT!BD44</f>
        <v>0</v>
      </c>
      <c r="BE44" s="12">
        <f>VISUM_Arterial_OD!BE44-Arterial_Truck!BE44-Arterial_HOT!BE44</f>
        <v>0</v>
      </c>
      <c r="BF44" s="12">
        <f>VISUM_Arterial_OD!BF44-Arterial_Truck!BF44-Arterial_HOT!BF44</f>
        <v>0</v>
      </c>
      <c r="BG44" s="12">
        <f>VISUM_Arterial_OD!BG44-Arterial_Truck!BG44-Arterial_HOT!BG44</f>
        <v>0</v>
      </c>
      <c r="BH44" s="12">
        <f>VISUM_Arterial_OD!BH44-Arterial_Truck!BH44-Arterial_HOT!BH44</f>
        <v>0</v>
      </c>
      <c r="BI44" s="12">
        <f>VISUM_Arterial_OD!BI44-Arterial_Truck!BI44-Arterial_HOT!BI44</f>
        <v>0</v>
      </c>
      <c r="BJ44" s="12">
        <f>VISUM_Arterial_OD!BJ44-Arterial_Truck!BJ44-Arterial_HOT!BJ44</f>
        <v>0</v>
      </c>
      <c r="BK44" s="12">
        <f>VISUM_Arterial_OD!BK44-Arterial_Truck!BK44-Arterial_HOT!BK44</f>
        <v>0</v>
      </c>
      <c r="BL44" s="12">
        <f>VISUM_Arterial_OD!BL44-Arterial_Truck!BL44-Arterial_HOT!BL44</f>
        <v>0</v>
      </c>
      <c r="BM44" s="12">
        <f>VISUM_Arterial_OD!BM44-Arterial_Truck!BM44-Arterial_HOT!BM44</f>
        <v>0</v>
      </c>
      <c r="BN44" s="12">
        <f>VISUM_Arterial_OD!BN44-Arterial_Truck!BN44-Arterial_HOT!BN44</f>
        <v>0</v>
      </c>
      <c r="BO44" s="12">
        <f>VISUM_Arterial_OD!BO44-Arterial_Truck!BO44-Arterial_HOT!BO44</f>
        <v>173.70639234999999</v>
      </c>
      <c r="BP44" s="12">
        <f>VISUM_Arterial_OD!BP44-Arterial_Truck!BP44-Arterial_HOT!BP44</f>
        <v>0</v>
      </c>
      <c r="BQ44" s="12">
        <f>VISUM_Arterial_OD!BQ44-Arterial_Truck!BQ44-Arterial_HOT!BQ44</f>
        <v>82.819170360000001</v>
      </c>
    </row>
    <row r="45" spans="1:69" x14ac:dyDescent="0.25">
      <c r="A45" s="5" t="str">
        <f>IF(VLOOKUP(B45,Arterial_Zone_Link_Mapping!$A:$C,2,FALSE)&lt;&gt;"",VLOOKUP(B45,Arterial_Zone_Link_Mapping!$A:$C,2,FALSE),"")</f>
        <v/>
      </c>
      <c r="B45" s="5">
        <v>67</v>
      </c>
      <c r="C45" s="12">
        <f>VISUM_Arterial_OD!C45-Arterial_Truck!C45-Arterial_HOT!C45</f>
        <v>0</v>
      </c>
      <c r="D45" s="12">
        <f>VISUM_Arterial_OD!D45-Arterial_Truck!D45-Arterial_HOT!D45</f>
        <v>0</v>
      </c>
      <c r="E45" s="12">
        <f>VISUM_Arterial_OD!E45-Arterial_Truck!E45-Arterial_HOT!E45</f>
        <v>0</v>
      </c>
      <c r="F45" s="12">
        <f>VISUM_Arterial_OD!F45-Arterial_Truck!F45-Arterial_HOT!F45</f>
        <v>0</v>
      </c>
      <c r="G45" s="12">
        <f>VISUM_Arterial_OD!G45-Arterial_Truck!G45-Arterial_HOT!G45</f>
        <v>0</v>
      </c>
      <c r="H45" s="12">
        <f>VISUM_Arterial_OD!H45-Arterial_Truck!H45-Arterial_HOT!H45</f>
        <v>0</v>
      </c>
      <c r="I45" s="12">
        <f>VISUM_Arterial_OD!I45-Arterial_Truck!I45-Arterial_HOT!I45</f>
        <v>0</v>
      </c>
      <c r="J45" s="12">
        <f>VISUM_Arterial_OD!J45-Arterial_Truck!J45-Arterial_HOT!J45</f>
        <v>0</v>
      </c>
      <c r="K45" s="12">
        <f>VISUM_Arterial_OD!K45-Arterial_Truck!K45-Arterial_HOT!K45</f>
        <v>0</v>
      </c>
      <c r="L45" s="12">
        <f>VISUM_Arterial_OD!L45-Arterial_Truck!L45-Arterial_HOT!L45</f>
        <v>0</v>
      </c>
      <c r="M45" s="12">
        <f>VISUM_Arterial_OD!M45-Arterial_Truck!M45-Arterial_HOT!M45</f>
        <v>0</v>
      </c>
      <c r="N45" s="12">
        <f>VISUM_Arterial_OD!N45-Arterial_Truck!N45-Arterial_HOT!N45</f>
        <v>0</v>
      </c>
      <c r="O45" s="12">
        <f>VISUM_Arterial_OD!O45-Arterial_Truck!O45-Arterial_HOT!O45</f>
        <v>0</v>
      </c>
      <c r="P45" s="12">
        <f>VISUM_Arterial_OD!P45-Arterial_Truck!P45-Arterial_HOT!P45</f>
        <v>0</v>
      </c>
      <c r="Q45" s="12">
        <f>VISUM_Arterial_OD!Q45-Arterial_Truck!Q45-Arterial_HOT!Q45</f>
        <v>0</v>
      </c>
      <c r="R45" s="12">
        <f>VISUM_Arterial_OD!R45-Arterial_Truck!R45-Arterial_HOT!R45</f>
        <v>0</v>
      </c>
      <c r="S45" s="12">
        <f>VISUM_Arterial_OD!S45-Arterial_Truck!S45-Arterial_HOT!S45</f>
        <v>0</v>
      </c>
      <c r="T45" s="12">
        <f>VISUM_Arterial_OD!T45-Arterial_Truck!T45-Arterial_HOT!T45</f>
        <v>0</v>
      </c>
      <c r="U45" s="12">
        <f>VISUM_Arterial_OD!U45-Arterial_Truck!U45-Arterial_HOT!U45</f>
        <v>0</v>
      </c>
      <c r="V45" s="12">
        <f>VISUM_Arterial_OD!V45-Arterial_Truck!V45-Arterial_HOT!V45</f>
        <v>0</v>
      </c>
      <c r="W45" s="12">
        <f>VISUM_Arterial_OD!W45-Arterial_Truck!W45-Arterial_HOT!W45</f>
        <v>0</v>
      </c>
      <c r="X45" s="12">
        <f>VISUM_Arterial_OD!X45-Arterial_Truck!X45-Arterial_HOT!X45</f>
        <v>0</v>
      </c>
      <c r="Y45" s="12">
        <f>VISUM_Arterial_OD!Y45-Arterial_Truck!Y45-Arterial_HOT!Y45</f>
        <v>0</v>
      </c>
      <c r="Z45" s="12">
        <f>VISUM_Arterial_OD!Z45-Arterial_Truck!Z45-Arterial_HOT!Z45</f>
        <v>0</v>
      </c>
      <c r="AA45" s="12">
        <f>VISUM_Arterial_OD!AA45-Arterial_Truck!AA45-Arterial_HOT!AA45</f>
        <v>0</v>
      </c>
      <c r="AB45" s="12">
        <f>VISUM_Arterial_OD!AB45-Arterial_Truck!AB45-Arterial_HOT!AB45</f>
        <v>0</v>
      </c>
      <c r="AC45" s="12">
        <f>VISUM_Arterial_OD!AC45-Arterial_Truck!AC45-Arterial_HOT!AC45</f>
        <v>0</v>
      </c>
      <c r="AD45" s="12">
        <f>VISUM_Arterial_OD!AD45-Arterial_Truck!AD45-Arterial_HOT!AD45</f>
        <v>0</v>
      </c>
      <c r="AE45" s="12">
        <f>VISUM_Arterial_OD!AE45-Arterial_Truck!AE45-Arterial_HOT!AE45</f>
        <v>0</v>
      </c>
      <c r="AF45" s="12">
        <f>VISUM_Arterial_OD!AF45-Arterial_Truck!AF45-Arterial_HOT!AF45</f>
        <v>0</v>
      </c>
      <c r="AG45" s="12">
        <f>VISUM_Arterial_OD!AG45-Arterial_Truck!AG45-Arterial_HOT!AG45</f>
        <v>0</v>
      </c>
      <c r="AH45" s="12">
        <f>VISUM_Arterial_OD!AH45-Arterial_Truck!AH45-Arterial_HOT!AH45</f>
        <v>0</v>
      </c>
      <c r="AI45" s="12">
        <f>VISUM_Arterial_OD!AI45-Arterial_Truck!AI45-Arterial_HOT!AI45</f>
        <v>0</v>
      </c>
      <c r="AJ45" s="12">
        <f>VISUM_Arterial_OD!AJ45-Arterial_Truck!AJ45-Arterial_HOT!AJ45</f>
        <v>0</v>
      </c>
      <c r="AK45" s="12">
        <f>VISUM_Arterial_OD!AK45-Arterial_Truck!AK45-Arterial_HOT!AK45</f>
        <v>0</v>
      </c>
      <c r="AL45" s="12">
        <f>VISUM_Arterial_OD!AL45-Arterial_Truck!AL45-Arterial_HOT!AL45</f>
        <v>0</v>
      </c>
      <c r="AM45" s="12">
        <f>VISUM_Arterial_OD!AM45-Arterial_Truck!AM45-Arterial_HOT!AM45</f>
        <v>0</v>
      </c>
      <c r="AN45" s="12">
        <f>VISUM_Arterial_OD!AN45-Arterial_Truck!AN45-Arterial_HOT!AN45</f>
        <v>0</v>
      </c>
      <c r="AO45" s="12">
        <f>VISUM_Arterial_OD!AO45-Arterial_Truck!AO45-Arterial_HOT!AO45</f>
        <v>0</v>
      </c>
      <c r="AP45" s="12">
        <f>VISUM_Arterial_OD!AP45-Arterial_Truck!AP45-Arterial_HOT!AP45</f>
        <v>0</v>
      </c>
      <c r="AQ45" s="12">
        <f>VISUM_Arterial_OD!AQ45-Arterial_Truck!AQ45-Arterial_HOT!AQ45</f>
        <v>0</v>
      </c>
      <c r="AR45" s="12">
        <f>VISUM_Arterial_OD!AR45-Arterial_Truck!AR45-Arterial_HOT!AR45</f>
        <v>0</v>
      </c>
      <c r="AS45" s="12">
        <f>VISUM_Arterial_OD!AS45-Arterial_Truck!AS45-Arterial_HOT!AS45</f>
        <v>0</v>
      </c>
      <c r="AT45" s="12">
        <f>VISUM_Arterial_OD!AT45-Arterial_Truck!AT45-Arterial_HOT!AT45</f>
        <v>0</v>
      </c>
      <c r="AU45" s="12">
        <f>VISUM_Arterial_OD!AU45-Arterial_Truck!AU45-Arterial_HOT!AU45</f>
        <v>0</v>
      </c>
      <c r="AV45" s="12">
        <f>VISUM_Arterial_OD!AV45-Arterial_Truck!AV45-Arterial_HOT!AV45</f>
        <v>0</v>
      </c>
      <c r="AW45" s="12">
        <f>VISUM_Arterial_OD!AW45-Arterial_Truck!AW45-Arterial_HOT!AW45</f>
        <v>0</v>
      </c>
      <c r="AX45" s="12">
        <f>VISUM_Arterial_OD!AX45-Arterial_Truck!AX45-Arterial_HOT!AX45</f>
        <v>0</v>
      </c>
      <c r="AY45" s="12">
        <f>VISUM_Arterial_OD!AY45-Arterial_Truck!AY45-Arterial_HOT!AY45</f>
        <v>0</v>
      </c>
      <c r="AZ45" s="12">
        <f>VISUM_Arterial_OD!AZ45-Arterial_Truck!AZ45-Arterial_HOT!AZ45</f>
        <v>0</v>
      </c>
      <c r="BA45" s="12">
        <f>VISUM_Arterial_OD!BA45-Arterial_Truck!BA45-Arterial_HOT!BA45</f>
        <v>0</v>
      </c>
      <c r="BB45" s="12">
        <f>VISUM_Arterial_OD!BB45-Arterial_Truck!BB45-Arterial_HOT!BB45</f>
        <v>0</v>
      </c>
      <c r="BC45" s="12">
        <f>VISUM_Arterial_OD!BC45-Arterial_Truck!BC45-Arterial_HOT!BC45</f>
        <v>0</v>
      </c>
      <c r="BD45" s="12">
        <f>VISUM_Arterial_OD!BD45-Arterial_Truck!BD45-Arterial_HOT!BD45</f>
        <v>0</v>
      </c>
      <c r="BE45" s="12">
        <f>VISUM_Arterial_OD!BE45-Arterial_Truck!BE45-Arterial_HOT!BE45</f>
        <v>0</v>
      </c>
      <c r="BF45" s="12">
        <f>VISUM_Arterial_OD!BF45-Arterial_Truck!BF45-Arterial_HOT!BF45</f>
        <v>0</v>
      </c>
      <c r="BG45" s="12">
        <f>VISUM_Arterial_OD!BG45-Arterial_Truck!BG45-Arterial_HOT!BG45</f>
        <v>0</v>
      </c>
      <c r="BH45" s="12">
        <f>VISUM_Arterial_OD!BH45-Arterial_Truck!BH45-Arterial_HOT!BH45</f>
        <v>0</v>
      </c>
      <c r="BI45" s="12">
        <f>VISUM_Arterial_OD!BI45-Arterial_Truck!BI45-Arterial_HOT!BI45</f>
        <v>0</v>
      </c>
      <c r="BJ45" s="12">
        <f>VISUM_Arterial_OD!BJ45-Arterial_Truck!BJ45-Arterial_HOT!BJ45</f>
        <v>0</v>
      </c>
      <c r="BK45" s="12">
        <f>VISUM_Arterial_OD!BK45-Arterial_Truck!BK45-Arterial_HOT!BK45</f>
        <v>0</v>
      </c>
      <c r="BL45" s="12">
        <f>VISUM_Arterial_OD!BL45-Arterial_Truck!BL45-Arterial_HOT!BL45</f>
        <v>0</v>
      </c>
      <c r="BM45" s="12">
        <f>VISUM_Arterial_OD!BM45-Arterial_Truck!BM45-Arterial_HOT!BM45</f>
        <v>0</v>
      </c>
      <c r="BN45" s="12">
        <f>VISUM_Arterial_OD!BN45-Arterial_Truck!BN45-Arterial_HOT!BN45</f>
        <v>0</v>
      </c>
      <c r="BO45" s="12">
        <f>VISUM_Arterial_OD!BO45-Arterial_Truck!BO45-Arterial_HOT!BO45</f>
        <v>0</v>
      </c>
      <c r="BP45" s="12">
        <f>VISUM_Arterial_OD!BP45-Arterial_Truck!BP45-Arterial_HOT!BP45</f>
        <v>0</v>
      </c>
      <c r="BQ45" s="12">
        <f>VISUM_Arterial_OD!BQ45-Arterial_Truck!BQ45-Arterial_HOT!BQ45</f>
        <v>0</v>
      </c>
    </row>
    <row r="46" spans="1:69" x14ac:dyDescent="0.25">
      <c r="A46" s="5">
        <f>IF(VLOOKUP(B46,Arterial_Zone_Link_Mapping!$A:$C,2,FALSE)&lt;&gt;"",VLOOKUP(B46,Arterial_Zone_Link_Mapping!$A:$C,2,FALSE),"")</f>
        <v>401</v>
      </c>
      <c r="B46" s="5">
        <v>68</v>
      </c>
      <c r="C46" s="12">
        <f>VISUM_Arterial_OD!C46-Arterial_Truck!C46-Arterial_HOT!C46</f>
        <v>88.53187672</v>
      </c>
      <c r="D46" s="12">
        <f>VISUM_Arterial_OD!D46-Arterial_Truck!D46-Arterial_HOT!D46</f>
        <v>29.141263799999997</v>
      </c>
      <c r="E46" s="12">
        <f>VISUM_Arterial_OD!E46-Arterial_Truck!E46-Arterial_HOT!E46</f>
        <v>0</v>
      </c>
      <c r="F46" s="12">
        <f>VISUM_Arterial_OD!F46-Arterial_Truck!F46-Arterial_HOT!F46</f>
        <v>0</v>
      </c>
      <c r="G46" s="12">
        <f>VISUM_Arterial_OD!G46-Arterial_Truck!G46-Arterial_HOT!G46</f>
        <v>0</v>
      </c>
      <c r="H46" s="12">
        <f>VISUM_Arterial_OD!H46-Arterial_Truck!H46-Arterial_HOT!H46</f>
        <v>0</v>
      </c>
      <c r="I46" s="12">
        <f>VISUM_Arterial_OD!I46-Arterial_Truck!I46-Arterial_HOT!I46</f>
        <v>0</v>
      </c>
      <c r="J46" s="12">
        <f>VISUM_Arterial_OD!J46-Arterial_Truck!J46-Arterial_HOT!J46</f>
        <v>275.16492848000001</v>
      </c>
      <c r="K46" s="12">
        <f>VISUM_Arterial_OD!K46-Arterial_Truck!K46-Arterial_HOT!K46</f>
        <v>0</v>
      </c>
      <c r="L46" s="12">
        <f>VISUM_Arterial_OD!L46-Arterial_Truck!L46-Arterial_HOT!L46</f>
        <v>0</v>
      </c>
      <c r="M46" s="12">
        <f>VISUM_Arterial_OD!M46-Arterial_Truck!M46-Arterial_HOT!M46</f>
        <v>0</v>
      </c>
      <c r="N46" s="12">
        <f>VISUM_Arterial_OD!N46-Arterial_Truck!N46-Arterial_HOT!N46</f>
        <v>0</v>
      </c>
      <c r="O46" s="12">
        <f>VISUM_Arterial_OD!O46-Arterial_Truck!O46-Arterial_HOT!O46</f>
        <v>219.75183644999998</v>
      </c>
      <c r="P46" s="12">
        <f>VISUM_Arterial_OD!P46-Arterial_Truck!P46-Arterial_HOT!P46</f>
        <v>0</v>
      </c>
      <c r="Q46" s="12">
        <f>VISUM_Arterial_OD!Q46-Arterial_Truck!Q46-Arterial_HOT!Q46</f>
        <v>0</v>
      </c>
      <c r="R46" s="12">
        <f>VISUM_Arterial_OD!R46-Arterial_Truck!R46-Arterial_HOT!R46</f>
        <v>0</v>
      </c>
      <c r="S46" s="12">
        <f>VISUM_Arterial_OD!S46-Arterial_Truck!S46-Arterial_HOT!S46</f>
        <v>138.36571693000002</v>
      </c>
      <c r="T46" s="12">
        <f>VISUM_Arterial_OD!T46-Arterial_Truck!T46-Arterial_HOT!T46</f>
        <v>0</v>
      </c>
      <c r="U46" s="12">
        <f>VISUM_Arterial_OD!U46-Arterial_Truck!U46-Arterial_HOT!U46</f>
        <v>0</v>
      </c>
      <c r="V46" s="12">
        <f>VISUM_Arterial_OD!V46-Arterial_Truck!V46-Arterial_HOT!V46</f>
        <v>0</v>
      </c>
      <c r="W46" s="12">
        <f>VISUM_Arterial_OD!W46-Arterial_Truck!W46-Arterial_HOT!W46</f>
        <v>0</v>
      </c>
      <c r="X46" s="12">
        <f>VISUM_Arterial_OD!X46-Arterial_Truck!X46-Arterial_HOT!X46</f>
        <v>0</v>
      </c>
      <c r="Y46" s="12">
        <f>VISUM_Arterial_OD!Y46-Arterial_Truck!Y46-Arterial_HOT!Y46</f>
        <v>0</v>
      </c>
      <c r="Z46" s="12">
        <f>VISUM_Arterial_OD!Z46-Arterial_Truck!Z46-Arterial_HOT!Z46</f>
        <v>18.230699919999999</v>
      </c>
      <c r="AA46" s="12">
        <f>VISUM_Arterial_OD!AA46-Arterial_Truck!AA46-Arterial_HOT!AA46</f>
        <v>0</v>
      </c>
      <c r="AB46" s="12">
        <f>VISUM_Arterial_OD!AB46-Arterial_Truck!AB46-Arterial_HOT!AB46</f>
        <v>108.06509361000001</v>
      </c>
      <c r="AC46" s="12">
        <f>VISUM_Arterial_OD!AC46-Arterial_Truck!AC46-Arterial_HOT!AC46</f>
        <v>0</v>
      </c>
      <c r="AD46" s="12">
        <f>VISUM_Arterial_OD!AD46-Arterial_Truck!AD46-Arterial_HOT!AD46</f>
        <v>0</v>
      </c>
      <c r="AE46" s="12">
        <f>VISUM_Arterial_OD!AE46-Arterial_Truck!AE46-Arterial_HOT!AE46</f>
        <v>0</v>
      </c>
      <c r="AF46" s="12">
        <f>VISUM_Arterial_OD!AF46-Arterial_Truck!AF46-Arterial_HOT!AF46</f>
        <v>0</v>
      </c>
      <c r="AG46" s="12">
        <f>VISUM_Arterial_OD!AG46-Arterial_Truck!AG46-Arterial_HOT!AG46</f>
        <v>0</v>
      </c>
      <c r="AH46" s="12">
        <f>VISUM_Arterial_OD!AH46-Arterial_Truck!AH46-Arterial_HOT!AH46</f>
        <v>0</v>
      </c>
      <c r="AI46" s="12">
        <f>VISUM_Arterial_OD!AI46-Arterial_Truck!AI46-Arterial_HOT!AI46</f>
        <v>0</v>
      </c>
      <c r="AJ46" s="12">
        <f>VISUM_Arterial_OD!AJ46-Arterial_Truck!AJ46-Arterial_HOT!AJ46</f>
        <v>0</v>
      </c>
      <c r="AK46" s="12">
        <f>VISUM_Arterial_OD!AK46-Arterial_Truck!AK46-Arterial_HOT!AK46</f>
        <v>0</v>
      </c>
      <c r="AL46" s="12">
        <f>VISUM_Arterial_OD!AL46-Arterial_Truck!AL46-Arterial_HOT!AL46</f>
        <v>4.6980873299999999</v>
      </c>
      <c r="AM46" s="12">
        <f>VISUM_Arterial_OD!AM46-Arterial_Truck!AM46-Arterial_HOT!AM46</f>
        <v>0</v>
      </c>
      <c r="AN46" s="12">
        <f>VISUM_Arterial_OD!AN46-Arterial_Truck!AN46-Arterial_HOT!AN46</f>
        <v>7.983879879999999</v>
      </c>
      <c r="AO46" s="12">
        <f>VISUM_Arterial_OD!AO46-Arterial_Truck!AO46-Arterial_HOT!AO46</f>
        <v>0</v>
      </c>
      <c r="AP46" s="12">
        <f>VISUM_Arterial_OD!AP46-Arterial_Truck!AP46-Arterial_HOT!AP46</f>
        <v>0</v>
      </c>
      <c r="AQ46" s="12">
        <f>VISUM_Arterial_OD!AQ46-Arterial_Truck!AQ46-Arterial_HOT!AQ46</f>
        <v>0</v>
      </c>
      <c r="AR46" s="12">
        <f>VISUM_Arterial_OD!AR46-Arterial_Truck!AR46-Arterial_HOT!AR46</f>
        <v>0</v>
      </c>
      <c r="AS46" s="12">
        <f>VISUM_Arterial_OD!AS46-Arterial_Truck!AS46-Arterial_HOT!AS46</f>
        <v>0</v>
      </c>
      <c r="AT46" s="12">
        <f>VISUM_Arterial_OD!AT46-Arterial_Truck!AT46-Arterial_HOT!AT46</f>
        <v>0</v>
      </c>
      <c r="AU46" s="12">
        <f>VISUM_Arterial_OD!AU46-Arterial_Truck!AU46-Arterial_HOT!AU46</f>
        <v>0</v>
      </c>
      <c r="AV46" s="12">
        <f>VISUM_Arterial_OD!AV46-Arterial_Truck!AV46-Arterial_HOT!AV46</f>
        <v>0</v>
      </c>
      <c r="AW46" s="12">
        <f>VISUM_Arterial_OD!AW46-Arterial_Truck!AW46-Arterial_HOT!AW46</f>
        <v>0</v>
      </c>
      <c r="AX46" s="12">
        <f>VISUM_Arterial_OD!AX46-Arterial_Truck!AX46-Arterial_HOT!AX46</f>
        <v>0</v>
      </c>
      <c r="AY46" s="12">
        <f>VISUM_Arterial_OD!AY46-Arterial_Truck!AY46-Arterial_HOT!AY46</f>
        <v>0</v>
      </c>
      <c r="AZ46" s="12">
        <f>VISUM_Arterial_OD!AZ46-Arterial_Truck!AZ46-Arterial_HOT!AZ46</f>
        <v>0</v>
      </c>
      <c r="BA46" s="12">
        <f>VISUM_Arterial_OD!BA46-Arterial_Truck!BA46-Arterial_HOT!BA46</f>
        <v>0</v>
      </c>
      <c r="BB46" s="12">
        <f>VISUM_Arterial_OD!BB46-Arterial_Truck!BB46-Arterial_HOT!BB46</f>
        <v>0</v>
      </c>
      <c r="BC46" s="12">
        <f>VISUM_Arterial_OD!BC46-Arterial_Truck!BC46-Arterial_HOT!BC46</f>
        <v>0</v>
      </c>
      <c r="BD46" s="12">
        <f>VISUM_Arterial_OD!BD46-Arterial_Truck!BD46-Arterial_HOT!BD46</f>
        <v>0</v>
      </c>
      <c r="BE46" s="12">
        <f>VISUM_Arterial_OD!BE46-Arterial_Truck!BE46-Arterial_HOT!BE46</f>
        <v>0</v>
      </c>
      <c r="BF46" s="12">
        <f>VISUM_Arterial_OD!BF46-Arterial_Truck!BF46-Arterial_HOT!BF46</f>
        <v>0</v>
      </c>
      <c r="BG46" s="12">
        <f>VISUM_Arterial_OD!BG46-Arterial_Truck!BG46-Arterial_HOT!BG46</f>
        <v>0</v>
      </c>
      <c r="BH46" s="12">
        <f>VISUM_Arterial_OD!BH46-Arterial_Truck!BH46-Arterial_HOT!BH46</f>
        <v>0</v>
      </c>
      <c r="BI46" s="12">
        <f>VISUM_Arterial_OD!BI46-Arterial_Truck!BI46-Arterial_HOT!BI46</f>
        <v>0</v>
      </c>
      <c r="BJ46" s="12">
        <f>VISUM_Arterial_OD!BJ46-Arterial_Truck!BJ46-Arterial_HOT!BJ46</f>
        <v>0</v>
      </c>
      <c r="BK46" s="12">
        <f>VISUM_Arterial_OD!BK46-Arterial_Truck!BK46-Arterial_HOT!BK46</f>
        <v>0</v>
      </c>
      <c r="BL46" s="12">
        <f>VISUM_Arterial_OD!BL46-Arterial_Truck!BL46-Arterial_HOT!BL46</f>
        <v>0</v>
      </c>
      <c r="BM46" s="12">
        <f>VISUM_Arterial_OD!BM46-Arterial_Truck!BM46-Arterial_HOT!BM46</f>
        <v>0</v>
      </c>
      <c r="BN46" s="12">
        <f>VISUM_Arterial_OD!BN46-Arterial_Truck!BN46-Arterial_HOT!BN46</f>
        <v>0</v>
      </c>
      <c r="BO46" s="12">
        <f>VISUM_Arterial_OD!BO46-Arterial_Truck!BO46-Arterial_HOT!BO46</f>
        <v>185.56930029</v>
      </c>
      <c r="BP46" s="12">
        <f>VISUM_Arterial_OD!BP46-Arterial_Truck!BP46-Arterial_HOT!BP46</f>
        <v>0</v>
      </c>
      <c r="BQ46" s="12">
        <f>VISUM_Arterial_OD!BQ46-Arterial_Truck!BQ46-Arterial_HOT!BQ46</f>
        <v>88.475129779999989</v>
      </c>
    </row>
    <row r="47" spans="1:69" x14ac:dyDescent="0.25">
      <c r="A47" s="5" t="str">
        <f>IF(VLOOKUP(B47,Arterial_Zone_Link_Mapping!$A:$C,2,FALSE)&lt;&gt;"",VLOOKUP(B47,Arterial_Zone_Link_Mapping!$A:$C,2,FALSE),"")</f>
        <v/>
      </c>
      <c r="B47" s="5">
        <v>69</v>
      </c>
      <c r="C47" s="12">
        <f>VISUM_Arterial_OD!C47-Arterial_Truck!C47-Arterial_HOT!C47</f>
        <v>0</v>
      </c>
      <c r="D47" s="12">
        <f>VISUM_Arterial_OD!D47-Arterial_Truck!D47-Arterial_HOT!D47</f>
        <v>0</v>
      </c>
      <c r="E47" s="12">
        <f>VISUM_Arterial_OD!E47-Arterial_Truck!E47-Arterial_HOT!E47</f>
        <v>0</v>
      </c>
      <c r="F47" s="12">
        <f>VISUM_Arterial_OD!F47-Arterial_Truck!F47-Arterial_HOT!F47</f>
        <v>0</v>
      </c>
      <c r="G47" s="12">
        <f>VISUM_Arterial_OD!G47-Arterial_Truck!G47-Arterial_HOT!G47</f>
        <v>0</v>
      </c>
      <c r="H47" s="12">
        <f>VISUM_Arterial_OD!H47-Arterial_Truck!H47-Arterial_HOT!H47</f>
        <v>0</v>
      </c>
      <c r="I47" s="12">
        <f>VISUM_Arterial_OD!I47-Arterial_Truck!I47-Arterial_HOT!I47</f>
        <v>0</v>
      </c>
      <c r="J47" s="12">
        <f>VISUM_Arterial_OD!J47-Arterial_Truck!J47-Arterial_HOT!J47</f>
        <v>0</v>
      </c>
      <c r="K47" s="12">
        <f>VISUM_Arterial_OD!K47-Arterial_Truck!K47-Arterial_HOT!K47</f>
        <v>0</v>
      </c>
      <c r="L47" s="12">
        <f>VISUM_Arterial_OD!L47-Arterial_Truck!L47-Arterial_HOT!L47</f>
        <v>0</v>
      </c>
      <c r="M47" s="12">
        <f>VISUM_Arterial_OD!M47-Arterial_Truck!M47-Arterial_HOT!M47</f>
        <v>0</v>
      </c>
      <c r="N47" s="12">
        <f>VISUM_Arterial_OD!N47-Arterial_Truck!N47-Arterial_HOT!N47</f>
        <v>0</v>
      </c>
      <c r="O47" s="12">
        <f>VISUM_Arterial_OD!O47-Arterial_Truck!O47-Arterial_HOT!O47</f>
        <v>0</v>
      </c>
      <c r="P47" s="12">
        <f>VISUM_Arterial_OD!P47-Arterial_Truck!P47-Arterial_HOT!P47</f>
        <v>0</v>
      </c>
      <c r="Q47" s="12">
        <f>VISUM_Arterial_OD!Q47-Arterial_Truck!Q47-Arterial_HOT!Q47</f>
        <v>0</v>
      </c>
      <c r="R47" s="12">
        <f>VISUM_Arterial_OD!R47-Arterial_Truck!R47-Arterial_HOT!R47</f>
        <v>0</v>
      </c>
      <c r="S47" s="12">
        <f>VISUM_Arterial_OD!S47-Arterial_Truck!S47-Arterial_HOT!S47</f>
        <v>0</v>
      </c>
      <c r="T47" s="12">
        <f>VISUM_Arterial_OD!T47-Arterial_Truck!T47-Arterial_HOT!T47</f>
        <v>0</v>
      </c>
      <c r="U47" s="12">
        <f>VISUM_Arterial_OD!U47-Arterial_Truck!U47-Arterial_HOT!U47</f>
        <v>0</v>
      </c>
      <c r="V47" s="12">
        <f>VISUM_Arterial_OD!V47-Arterial_Truck!V47-Arterial_HOT!V47</f>
        <v>0</v>
      </c>
      <c r="W47" s="12">
        <f>VISUM_Arterial_OD!W47-Arterial_Truck!W47-Arterial_HOT!W47</f>
        <v>0</v>
      </c>
      <c r="X47" s="12">
        <f>VISUM_Arterial_OD!X47-Arterial_Truck!X47-Arterial_HOT!X47</f>
        <v>0</v>
      </c>
      <c r="Y47" s="12">
        <f>VISUM_Arterial_OD!Y47-Arterial_Truck!Y47-Arterial_HOT!Y47</f>
        <v>0</v>
      </c>
      <c r="Z47" s="12">
        <f>VISUM_Arterial_OD!Z47-Arterial_Truck!Z47-Arterial_HOT!Z47</f>
        <v>0</v>
      </c>
      <c r="AA47" s="12">
        <f>VISUM_Arterial_OD!AA47-Arterial_Truck!AA47-Arterial_HOT!AA47</f>
        <v>0</v>
      </c>
      <c r="AB47" s="12">
        <f>VISUM_Arterial_OD!AB47-Arterial_Truck!AB47-Arterial_HOT!AB47</f>
        <v>0</v>
      </c>
      <c r="AC47" s="12">
        <f>VISUM_Arterial_OD!AC47-Arterial_Truck!AC47-Arterial_HOT!AC47</f>
        <v>0</v>
      </c>
      <c r="AD47" s="12">
        <f>VISUM_Arterial_OD!AD47-Arterial_Truck!AD47-Arterial_HOT!AD47</f>
        <v>0</v>
      </c>
      <c r="AE47" s="12">
        <f>VISUM_Arterial_OD!AE47-Arterial_Truck!AE47-Arterial_HOT!AE47</f>
        <v>0</v>
      </c>
      <c r="AF47" s="12">
        <f>VISUM_Arterial_OD!AF47-Arterial_Truck!AF47-Arterial_HOT!AF47</f>
        <v>0</v>
      </c>
      <c r="AG47" s="12">
        <f>VISUM_Arterial_OD!AG47-Arterial_Truck!AG47-Arterial_HOT!AG47</f>
        <v>0</v>
      </c>
      <c r="AH47" s="12">
        <f>VISUM_Arterial_OD!AH47-Arterial_Truck!AH47-Arterial_HOT!AH47</f>
        <v>0</v>
      </c>
      <c r="AI47" s="12">
        <f>VISUM_Arterial_OD!AI47-Arterial_Truck!AI47-Arterial_HOT!AI47</f>
        <v>0</v>
      </c>
      <c r="AJ47" s="12">
        <f>VISUM_Arterial_OD!AJ47-Arterial_Truck!AJ47-Arterial_HOT!AJ47</f>
        <v>0</v>
      </c>
      <c r="AK47" s="12">
        <f>VISUM_Arterial_OD!AK47-Arterial_Truck!AK47-Arterial_HOT!AK47</f>
        <v>0</v>
      </c>
      <c r="AL47" s="12">
        <f>VISUM_Arterial_OD!AL47-Arterial_Truck!AL47-Arterial_HOT!AL47</f>
        <v>0</v>
      </c>
      <c r="AM47" s="12">
        <f>VISUM_Arterial_OD!AM47-Arterial_Truck!AM47-Arterial_HOT!AM47</f>
        <v>0</v>
      </c>
      <c r="AN47" s="12">
        <f>VISUM_Arterial_OD!AN47-Arterial_Truck!AN47-Arterial_HOT!AN47</f>
        <v>0</v>
      </c>
      <c r="AO47" s="12">
        <f>VISUM_Arterial_OD!AO47-Arterial_Truck!AO47-Arterial_HOT!AO47</f>
        <v>0</v>
      </c>
      <c r="AP47" s="12">
        <f>VISUM_Arterial_OD!AP47-Arterial_Truck!AP47-Arterial_HOT!AP47</f>
        <v>0</v>
      </c>
      <c r="AQ47" s="12">
        <f>VISUM_Arterial_OD!AQ47-Arterial_Truck!AQ47-Arterial_HOT!AQ47</f>
        <v>0</v>
      </c>
      <c r="AR47" s="12">
        <f>VISUM_Arterial_OD!AR47-Arterial_Truck!AR47-Arterial_HOT!AR47</f>
        <v>0</v>
      </c>
      <c r="AS47" s="12">
        <f>VISUM_Arterial_OD!AS47-Arterial_Truck!AS47-Arterial_HOT!AS47</f>
        <v>0</v>
      </c>
      <c r="AT47" s="12">
        <f>VISUM_Arterial_OD!AT47-Arterial_Truck!AT47-Arterial_HOT!AT47</f>
        <v>0</v>
      </c>
      <c r="AU47" s="12">
        <f>VISUM_Arterial_OD!AU47-Arterial_Truck!AU47-Arterial_HOT!AU47</f>
        <v>0</v>
      </c>
      <c r="AV47" s="12">
        <f>VISUM_Arterial_OD!AV47-Arterial_Truck!AV47-Arterial_HOT!AV47</f>
        <v>0</v>
      </c>
      <c r="AW47" s="12">
        <f>VISUM_Arterial_OD!AW47-Arterial_Truck!AW47-Arterial_HOT!AW47</f>
        <v>0</v>
      </c>
      <c r="AX47" s="12">
        <f>VISUM_Arterial_OD!AX47-Arterial_Truck!AX47-Arterial_HOT!AX47</f>
        <v>0</v>
      </c>
      <c r="AY47" s="12">
        <f>VISUM_Arterial_OD!AY47-Arterial_Truck!AY47-Arterial_HOT!AY47</f>
        <v>0</v>
      </c>
      <c r="AZ47" s="12">
        <f>VISUM_Arterial_OD!AZ47-Arterial_Truck!AZ47-Arterial_HOT!AZ47</f>
        <v>0</v>
      </c>
      <c r="BA47" s="12">
        <f>VISUM_Arterial_OD!BA47-Arterial_Truck!BA47-Arterial_HOT!BA47</f>
        <v>0</v>
      </c>
      <c r="BB47" s="12">
        <f>VISUM_Arterial_OD!BB47-Arterial_Truck!BB47-Arterial_HOT!BB47</f>
        <v>0</v>
      </c>
      <c r="BC47" s="12">
        <f>VISUM_Arterial_OD!BC47-Arterial_Truck!BC47-Arterial_HOT!BC47</f>
        <v>0</v>
      </c>
      <c r="BD47" s="12">
        <f>VISUM_Arterial_OD!BD47-Arterial_Truck!BD47-Arterial_HOT!BD47</f>
        <v>0</v>
      </c>
      <c r="BE47" s="12">
        <f>VISUM_Arterial_OD!BE47-Arterial_Truck!BE47-Arterial_HOT!BE47</f>
        <v>0</v>
      </c>
      <c r="BF47" s="12">
        <f>VISUM_Arterial_OD!BF47-Arterial_Truck!BF47-Arterial_HOT!BF47</f>
        <v>0</v>
      </c>
      <c r="BG47" s="12">
        <f>VISUM_Arterial_OD!BG47-Arterial_Truck!BG47-Arterial_HOT!BG47</f>
        <v>0</v>
      </c>
      <c r="BH47" s="12">
        <f>VISUM_Arterial_OD!BH47-Arterial_Truck!BH47-Arterial_HOT!BH47</f>
        <v>0</v>
      </c>
      <c r="BI47" s="12">
        <f>VISUM_Arterial_OD!BI47-Arterial_Truck!BI47-Arterial_HOT!BI47</f>
        <v>0</v>
      </c>
      <c r="BJ47" s="12">
        <f>VISUM_Arterial_OD!BJ47-Arterial_Truck!BJ47-Arterial_HOT!BJ47</f>
        <v>0</v>
      </c>
      <c r="BK47" s="12">
        <f>VISUM_Arterial_OD!BK47-Arterial_Truck!BK47-Arterial_HOT!BK47</f>
        <v>0</v>
      </c>
      <c r="BL47" s="12">
        <f>VISUM_Arterial_OD!BL47-Arterial_Truck!BL47-Arterial_HOT!BL47</f>
        <v>0</v>
      </c>
      <c r="BM47" s="12">
        <f>VISUM_Arterial_OD!BM47-Arterial_Truck!BM47-Arterial_HOT!BM47</f>
        <v>0</v>
      </c>
      <c r="BN47" s="12">
        <f>VISUM_Arterial_OD!BN47-Arterial_Truck!BN47-Arterial_HOT!BN47</f>
        <v>0</v>
      </c>
      <c r="BO47" s="12">
        <f>VISUM_Arterial_OD!BO47-Arterial_Truck!BO47-Arterial_HOT!BO47</f>
        <v>0</v>
      </c>
      <c r="BP47" s="12">
        <f>VISUM_Arterial_OD!BP47-Arterial_Truck!BP47-Arterial_HOT!BP47</f>
        <v>0</v>
      </c>
      <c r="BQ47" s="12">
        <f>VISUM_Arterial_OD!BQ47-Arterial_Truck!BQ47-Arterial_HOT!BQ47</f>
        <v>0</v>
      </c>
    </row>
    <row r="48" spans="1:69" x14ac:dyDescent="0.25">
      <c r="A48" s="5">
        <f>IF(VLOOKUP(B48,Arterial_Zone_Link_Mapping!$A:$C,2,FALSE)&lt;&gt;"",VLOOKUP(B48,Arterial_Zone_Link_Mapping!$A:$C,2,FALSE),"")</f>
        <v>380</v>
      </c>
      <c r="B48" s="5">
        <v>70</v>
      </c>
      <c r="C48" s="12">
        <f>VISUM_Arterial_OD!C48-Arterial_Truck!C48-Arterial_HOT!C48</f>
        <v>0</v>
      </c>
      <c r="D48" s="12">
        <f>VISUM_Arterial_OD!D48-Arterial_Truck!D48-Arterial_HOT!D48</f>
        <v>0</v>
      </c>
      <c r="E48" s="12">
        <f>VISUM_Arterial_OD!E48-Arterial_Truck!E48-Arterial_HOT!E48</f>
        <v>0</v>
      </c>
      <c r="F48" s="12">
        <f>VISUM_Arterial_OD!F48-Arterial_Truck!F48-Arterial_HOT!F48</f>
        <v>0</v>
      </c>
      <c r="G48" s="12">
        <f>VISUM_Arterial_OD!G48-Arterial_Truck!G48-Arterial_HOT!G48</f>
        <v>0</v>
      </c>
      <c r="H48" s="12">
        <f>VISUM_Arterial_OD!H48-Arterial_Truck!H48-Arterial_HOT!H48</f>
        <v>0</v>
      </c>
      <c r="I48" s="12">
        <f>VISUM_Arterial_OD!I48-Arterial_Truck!I48-Arterial_HOT!I48</f>
        <v>0</v>
      </c>
      <c r="J48" s="12">
        <f>VISUM_Arterial_OD!J48-Arterial_Truck!J48-Arterial_HOT!J48</f>
        <v>0</v>
      </c>
      <c r="K48" s="12">
        <f>VISUM_Arterial_OD!K48-Arterial_Truck!K48-Arterial_HOT!K48</f>
        <v>188.08213961000001</v>
      </c>
      <c r="L48" s="12">
        <f>VISUM_Arterial_OD!L48-Arterial_Truck!L48-Arterial_HOT!L48</f>
        <v>638.85511634</v>
      </c>
      <c r="M48" s="12">
        <f>VISUM_Arterial_OD!M48-Arterial_Truck!M48-Arterial_HOT!M48</f>
        <v>0</v>
      </c>
      <c r="N48" s="12">
        <f>VISUM_Arterial_OD!N48-Arterial_Truck!N48-Arterial_HOT!N48</f>
        <v>0</v>
      </c>
      <c r="O48" s="12">
        <f>VISUM_Arterial_OD!O48-Arterial_Truck!O48-Arterial_HOT!O48</f>
        <v>0</v>
      </c>
      <c r="P48" s="12">
        <f>VISUM_Arterial_OD!P48-Arterial_Truck!P48-Arterial_HOT!P48</f>
        <v>55.73937772</v>
      </c>
      <c r="Q48" s="12">
        <f>VISUM_Arterial_OD!Q48-Arterial_Truck!Q48-Arterial_HOT!Q48</f>
        <v>0</v>
      </c>
      <c r="R48" s="12">
        <f>VISUM_Arterial_OD!R48-Arterial_Truck!R48-Arterial_HOT!R48</f>
        <v>0</v>
      </c>
      <c r="S48" s="12">
        <f>VISUM_Arterial_OD!S48-Arterial_Truck!S48-Arterial_HOT!S48</f>
        <v>0</v>
      </c>
      <c r="T48" s="12">
        <f>VISUM_Arterial_OD!T48-Arterial_Truck!T48-Arterial_HOT!T48</f>
        <v>0</v>
      </c>
      <c r="U48" s="12">
        <f>VISUM_Arterial_OD!U48-Arterial_Truck!U48-Arterial_HOT!U48</f>
        <v>0</v>
      </c>
      <c r="V48" s="12">
        <f>VISUM_Arterial_OD!V48-Arterial_Truck!V48-Arterial_HOT!V48</f>
        <v>0</v>
      </c>
      <c r="W48" s="12">
        <f>VISUM_Arterial_OD!W48-Arterial_Truck!W48-Arterial_HOT!W48</f>
        <v>0</v>
      </c>
      <c r="X48" s="12">
        <f>VISUM_Arterial_OD!X48-Arterial_Truck!X48-Arterial_HOT!X48</f>
        <v>0</v>
      </c>
      <c r="Y48" s="12">
        <f>VISUM_Arterial_OD!Y48-Arterial_Truck!Y48-Arterial_HOT!Y48</f>
        <v>0</v>
      </c>
      <c r="Z48" s="12">
        <f>VISUM_Arterial_OD!Z48-Arterial_Truck!Z48-Arterial_HOT!Z48</f>
        <v>0</v>
      </c>
      <c r="AA48" s="12">
        <f>VISUM_Arterial_OD!AA48-Arterial_Truck!AA48-Arterial_HOT!AA48</f>
        <v>0</v>
      </c>
      <c r="AB48" s="12">
        <f>VISUM_Arterial_OD!AB48-Arterial_Truck!AB48-Arterial_HOT!AB48</f>
        <v>0</v>
      </c>
      <c r="AC48" s="12">
        <f>VISUM_Arterial_OD!AC48-Arterial_Truck!AC48-Arterial_HOT!AC48</f>
        <v>38.823727170000005</v>
      </c>
      <c r="AD48" s="12">
        <f>VISUM_Arterial_OD!AD48-Arterial_Truck!AD48-Arterial_HOT!AD48</f>
        <v>0</v>
      </c>
      <c r="AE48" s="12">
        <f>VISUM_Arterial_OD!AE48-Arterial_Truck!AE48-Arterial_HOT!AE48</f>
        <v>0</v>
      </c>
      <c r="AF48" s="12">
        <f>VISUM_Arterial_OD!AF48-Arterial_Truck!AF48-Arterial_HOT!AF48</f>
        <v>0</v>
      </c>
      <c r="AG48" s="12">
        <f>VISUM_Arterial_OD!AG48-Arterial_Truck!AG48-Arterial_HOT!AG48</f>
        <v>0</v>
      </c>
      <c r="AH48" s="12">
        <f>VISUM_Arterial_OD!AH48-Arterial_Truck!AH48-Arterial_HOT!AH48</f>
        <v>0</v>
      </c>
      <c r="AI48" s="12">
        <f>VISUM_Arterial_OD!AI48-Arterial_Truck!AI48-Arterial_HOT!AI48</f>
        <v>0</v>
      </c>
      <c r="AJ48" s="12">
        <f>VISUM_Arterial_OD!AJ48-Arterial_Truck!AJ48-Arterial_HOT!AJ48</f>
        <v>0</v>
      </c>
      <c r="AK48" s="12">
        <f>VISUM_Arterial_OD!AK48-Arterial_Truck!AK48-Arterial_HOT!AK48</f>
        <v>0</v>
      </c>
      <c r="AL48" s="12">
        <f>VISUM_Arterial_OD!AL48-Arterial_Truck!AL48-Arterial_HOT!AL48</f>
        <v>0</v>
      </c>
      <c r="AM48" s="12">
        <f>VISUM_Arterial_OD!AM48-Arterial_Truck!AM48-Arterial_HOT!AM48</f>
        <v>0</v>
      </c>
      <c r="AN48" s="12">
        <f>VISUM_Arterial_OD!AN48-Arterial_Truck!AN48-Arterial_HOT!AN48</f>
        <v>0</v>
      </c>
      <c r="AO48" s="12">
        <f>VISUM_Arterial_OD!AO48-Arterial_Truck!AO48-Arterial_HOT!AO48</f>
        <v>0</v>
      </c>
      <c r="AP48" s="12">
        <f>VISUM_Arterial_OD!AP48-Arterial_Truck!AP48-Arterial_HOT!AP48</f>
        <v>0</v>
      </c>
      <c r="AQ48" s="12">
        <f>VISUM_Arterial_OD!AQ48-Arterial_Truck!AQ48-Arterial_HOT!AQ48</f>
        <v>0</v>
      </c>
      <c r="AR48" s="12">
        <f>VISUM_Arterial_OD!AR48-Arterial_Truck!AR48-Arterial_HOT!AR48</f>
        <v>0</v>
      </c>
      <c r="AS48" s="12">
        <f>VISUM_Arterial_OD!AS48-Arterial_Truck!AS48-Arterial_HOT!AS48</f>
        <v>0</v>
      </c>
      <c r="AT48" s="12">
        <f>VISUM_Arterial_OD!AT48-Arterial_Truck!AT48-Arterial_HOT!AT48</f>
        <v>0</v>
      </c>
      <c r="AU48" s="12">
        <f>VISUM_Arterial_OD!AU48-Arterial_Truck!AU48-Arterial_HOT!AU48</f>
        <v>0</v>
      </c>
      <c r="AV48" s="12">
        <f>VISUM_Arterial_OD!AV48-Arterial_Truck!AV48-Arterial_HOT!AV48</f>
        <v>0</v>
      </c>
      <c r="AW48" s="12">
        <f>VISUM_Arterial_OD!AW48-Arterial_Truck!AW48-Arterial_HOT!AW48</f>
        <v>0</v>
      </c>
      <c r="AX48" s="12">
        <f>VISUM_Arterial_OD!AX48-Arterial_Truck!AX48-Arterial_HOT!AX48</f>
        <v>0</v>
      </c>
      <c r="AY48" s="12">
        <f>VISUM_Arterial_OD!AY48-Arterial_Truck!AY48-Arterial_HOT!AY48</f>
        <v>0</v>
      </c>
      <c r="AZ48" s="12">
        <f>VISUM_Arterial_OD!AZ48-Arterial_Truck!AZ48-Arterial_HOT!AZ48</f>
        <v>0</v>
      </c>
      <c r="BA48" s="12">
        <f>VISUM_Arterial_OD!BA48-Arterial_Truck!BA48-Arterial_HOT!BA48</f>
        <v>0</v>
      </c>
      <c r="BB48" s="12">
        <f>VISUM_Arterial_OD!BB48-Arterial_Truck!BB48-Arterial_HOT!BB48</f>
        <v>0</v>
      </c>
      <c r="BC48" s="12">
        <f>VISUM_Arterial_OD!BC48-Arterial_Truck!BC48-Arterial_HOT!BC48</f>
        <v>0</v>
      </c>
      <c r="BD48" s="12">
        <f>VISUM_Arterial_OD!BD48-Arterial_Truck!BD48-Arterial_HOT!BD48</f>
        <v>0</v>
      </c>
      <c r="BE48" s="12">
        <f>VISUM_Arterial_OD!BE48-Arterial_Truck!BE48-Arterial_HOT!BE48</f>
        <v>0</v>
      </c>
      <c r="BF48" s="12">
        <f>VISUM_Arterial_OD!BF48-Arterial_Truck!BF48-Arterial_HOT!BF48</f>
        <v>0</v>
      </c>
      <c r="BG48" s="12">
        <f>VISUM_Arterial_OD!BG48-Arterial_Truck!BG48-Arterial_HOT!BG48</f>
        <v>0</v>
      </c>
      <c r="BH48" s="12">
        <f>VISUM_Arterial_OD!BH48-Arterial_Truck!BH48-Arterial_HOT!BH48</f>
        <v>0</v>
      </c>
      <c r="BI48" s="12">
        <f>VISUM_Arterial_OD!BI48-Arterial_Truck!BI48-Arterial_HOT!BI48</f>
        <v>0</v>
      </c>
      <c r="BJ48" s="12">
        <f>VISUM_Arterial_OD!BJ48-Arterial_Truck!BJ48-Arterial_HOT!BJ48</f>
        <v>0</v>
      </c>
      <c r="BK48" s="12">
        <f>VISUM_Arterial_OD!BK48-Arterial_Truck!BK48-Arterial_HOT!BK48</f>
        <v>0</v>
      </c>
      <c r="BL48" s="12">
        <f>VISUM_Arterial_OD!BL48-Arterial_Truck!BL48-Arterial_HOT!BL48</f>
        <v>0</v>
      </c>
      <c r="BM48" s="12">
        <f>VISUM_Arterial_OD!BM48-Arterial_Truck!BM48-Arterial_HOT!BM48</f>
        <v>0</v>
      </c>
      <c r="BN48" s="12">
        <f>VISUM_Arterial_OD!BN48-Arterial_Truck!BN48-Arterial_HOT!BN48</f>
        <v>0</v>
      </c>
      <c r="BO48" s="12">
        <f>VISUM_Arterial_OD!BO48-Arterial_Truck!BO48-Arterial_HOT!BO48</f>
        <v>0</v>
      </c>
      <c r="BP48" s="12">
        <f>VISUM_Arterial_OD!BP48-Arterial_Truck!BP48-Arterial_HOT!BP48</f>
        <v>0</v>
      </c>
      <c r="BQ48" s="12">
        <f>VISUM_Arterial_OD!BQ48-Arterial_Truck!BQ48-Arterial_HOT!BQ48</f>
        <v>0</v>
      </c>
    </row>
    <row r="49" spans="1:69" x14ac:dyDescent="0.25">
      <c r="A49" s="5">
        <f>IF(VLOOKUP(B49,Arterial_Zone_Link_Mapping!$A:$C,2,FALSE)&lt;&gt;"",VLOOKUP(B49,Arterial_Zone_Link_Mapping!$A:$C,2,FALSE),"")</f>
        <v>392</v>
      </c>
      <c r="B49" s="5">
        <v>71</v>
      </c>
      <c r="C49" s="12">
        <f>VISUM_Arterial_OD!C49-Arterial_Truck!C49-Arterial_HOT!C49</f>
        <v>0</v>
      </c>
      <c r="D49" s="12">
        <f>VISUM_Arterial_OD!D49-Arterial_Truck!D49-Arterial_HOT!D49</f>
        <v>0</v>
      </c>
      <c r="E49" s="12">
        <f>VISUM_Arterial_OD!E49-Arterial_Truck!E49-Arterial_HOT!E49</f>
        <v>0</v>
      </c>
      <c r="F49" s="12">
        <f>VISUM_Arterial_OD!F49-Arterial_Truck!F49-Arterial_HOT!F49</f>
        <v>0</v>
      </c>
      <c r="G49" s="12">
        <f>VISUM_Arterial_OD!G49-Arterial_Truck!G49-Arterial_HOT!G49</f>
        <v>0</v>
      </c>
      <c r="H49" s="12">
        <f>VISUM_Arterial_OD!H49-Arterial_Truck!H49-Arterial_HOT!H49</f>
        <v>0</v>
      </c>
      <c r="I49" s="12">
        <f>VISUM_Arterial_OD!I49-Arterial_Truck!I49-Arterial_HOT!I49</f>
        <v>0</v>
      </c>
      <c r="J49" s="12">
        <f>VISUM_Arterial_OD!J49-Arterial_Truck!J49-Arterial_HOT!J49</f>
        <v>0</v>
      </c>
      <c r="K49" s="12">
        <f>VISUM_Arterial_OD!K49-Arterial_Truck!K49-Arterial_HOT!K49</f>
        <v>97.006889909999998</v>
      </c>
      <c r="L49" s="12">
        <f>VISUM_Arterial_OD!L49-Arterial_Truck!L49-Arterial_HOT!L49</f>
        <v>125.74406044</v>
      </c>
      <c r="M49" s="12">
        <f>VISUM_Arterial_OD!M49-Arterial_Truck!M49-Arterial_HOT!M49</f>
        <v>0</v>
      </c>
      <c r="N49" s="12">
        <f>VISUM_Arterial_OD!N49-Arterial_Truck!N49-Arterial_HOT!N49</f>
        <v>0</v>
      </c>
      <c r="O49" s="12">
        <f>VISUM_Arterial_OD!O49-Arterial_Truck!O49-Arterial_HOT!O49</f>
        <v>0</v>
      </c>
      <c r="P49" s="12">
        <f>VISUM_Arterial_OD!P49-Arterial_Truck!P49-Arterial_HOT!P49</f>
        <v>62.935616630000006</v>
      </c>
      <c r="Q49" s="12">
        <f>VISUM_Arterial_OD!Q49-Arterial_Truck!Q49-Arterial_HOT!Q49</f>
        <v>0</v>
      </c>
      <c r="R49" s="12">
        <f>VISUM_Arterial_OD!R49-Arterial_Truck!R49-Arterial_HOT!R49</f>
        <v>0</v>
      </c>
      <c r="S49" s="12">
        <f>VISUM_Arterial_OD!S49-Arterial_Truck!S49-Arterial_HOT!S49</f>
        <v>0</v>
      </c>
      <c r="T49" s="12">
        <f>VISUM_Arterial_OD!T49-Arterial_Truck!T49-Arterial_HOT!T49</f>
        <v>0</v>
      </c>
      <c r="U49" s="12">
        <f>VISUM_Arterial_OD!U49-Arterial_Truck!U49-Arterial_HOT!U49</f>
        <v>0</v>
      </c>
      <c r="V49" s="12">
        <f>VISUM_Arterial_OD!V49-Arterial_Truck!V49-Arterial_HOT!V49</f>
        <v>0</v>
      </c>
      <c r="W49" s="12">
        <f>VISUM_Arterial_OD!W49-Arterial_Truck!W49-Arterial_HOT!W49</f>
        <v>0</v>
      </c>
      <c r="X49" s="12">
        <f>VISUM_Arterial_OD!X49-Arterial_Truck!X49-Arterial_HOT!X49</f>
        <v>0</v>
      </c>
      <c r="Y49" s="12">
        <f>VISUM_Arterial_OD!Y49-Arterial_Truck!Y49-Arterial_HOT!Y49</f>
        <v>0</v>
      </c>
      <c r="Z49" s="12">
        <f>VISUM_Arterial_OD!Z49-Arterial_Truck!Z49-Arterial_HOT!Z49</f>
        <v>0</v>
      </c>
      <c r="AA49" s="12">
        <f>VISUM_Arterial_OD!AA49-Arterial_Truck!AA49-Arterial_HOT!AA49</f>
        <v>0</v>
      </c>
      <c r="AB49" s="12">
        <f>VISUM_Arterial_OD!AB49-Arterial_Truck!AB49-Arterial_HOT!AB49</f>
        <v>0</v>
      </c>
      <c r="AC49" s="12">
        <f>VISUM_Arterial_OD!AC49-Arterial_Truck!AC49-Arterial_HOT!AC49</f>
        <v>24.710990559999999</v>
      </c>
      <c r="AD49" s="12">
        <f>VISUM_Arterial_OD!AD49-Arterial_Truck!AD49-Arterial_HOT!AD49</f>
        <v>0</v>
      </c>
      <c r="AE49" s="12">
        <f>VISUM_Arterial_OD!AE49-Arterial_Truck!AE49-Arterial_HOT!AE49</f>
        <v>0</v>
      </c>
      <c r="AF49" s="12">
        <f>VISUM_Arterial_OD!AF49-Arterial_Truck!AF49-Arterial_HOT!AF49</f>
        <v>0</v>
      </c>
      <c r="AG49" s="12">
        <f>VISUM_Arterial_OD!AG49-Arterial_Truck!AG49-Arterial_HOT!AG49</f>
        <v>0</v>
      </c>
      <c r="AH49" s="12">
        <f>VISUM_Arterial_OD!AH49-Arterial_Truck!AH49-Arterial_HOT!AH49</f>
        <v>0</v>
      </c>
      <c r="AI49" s="12">
        <f>VISUM_Arterial_OD!AI49-Arterial_Truck!AI49-Arterial_HOT!AI49</f>
        <v>0</v>
      </c>
      <c r="AJ49" s="12">
        <f>VISUM_Arterial_OD!AJ49-Arterial_Truck!AJ49-Arterial_HOT!AJ49</f>
        <v>0</v>
      </c>
      <c r="AK49" s="12">
        <f>VISUM_Arterial_OD!AK49-Arterial_Truck!AK49-Arterial_HOT!AK49</f>
        <v>0</v>
      </c>
      <c r="AL49" s="12">
        <f>VISUM_Arterial_OD!AL49-Arterial_Truck!AL49-Arterial_HOT!AL49</f>
        <v>0</v>
      </c>
      <c r="AM49" s="12">
        <f>VISUM_Arterial_OD!AM49-Arterial_Truck!AM49-Arterial_HOT!AM49</f>
        <v>0</v>
      </c>
      <c r="AN49" s="12">
        <f>VISUM_Arterial_OD!AN49-Arterial_Truck!AN49-Arterial_HOT!AN49</f>
        <v>0</v>
      </c>
      <c r="AO49" s="12">
        <f>VISUM_Arterial_OD!AO49-Arterial_Truck!AO49-Arterial_HOT!AO49</f>
        <v>0</v>
      </c>
      <c r="AP49" s="12">
        <f>VISUM_Arterial_OD!AP49-Arterial_Truck!AP49-Arterial_HOT!AP49</f>
        <v>0</v>
      </c>
      <c r="AQ49" s="12">
        <f>VISUM_Arterial_OD!AQ49-Arterial_Truck!AQ49-Arterial_HOT!AQ49</f>
        <v>0</v>
      </c>
      <c r="AR49" s="12">
        <f>VISUM_Arterial_OD!AR49-Arterial_Truck!AR49-Arterial_HOT!AR49</f>
        <v>0</v>
      </c>
      <c r="AS49" s="12">
        <f>VISUM_Arterial_OD!AS49-Arterial_Truck!AS49-Arterial_HOT!AS49</f>
        <v>0</v>
      </c>
      <c r="AT49" s="12">
        <f>VISUM_Arterial_OD!AT49-Arterial_Truck!AT49-Arterial_HOT!AT49</f>
        <v>0</v>
      </c>
      <c r="AU49" s="12">
        <f>VISUM_Arterial_OD!AU49-Arterial_Truck!AU49-Arterial_HOT!AU49</f>
        <v>0</v>
      </c>
      <c r="AV49" s="12">
        <f>VISUM_Arterial_OD!AV49-Arterial_Truck!AV49-Arterial_HOT!AV49</f>
        <v>0</v>
      </c>
      <c r="AW49" s="12">
        <f>VISUM_Arterial_OD!AW49-Arterial_Truck!AW49-Arterial_HOT!AW49</f>
        <v>0</v>
      </c>
      <c r="AX49" s="12">
        <f>VISUM_Arterial_OD!AX49-Arterial_Truck!AX49-Arterial_HOT!AX49</f>
        <v>0</v>
      </c>
      <c r="AY49" s="12">
        <f>VISUM_Arterial_OD!AY49-Arterial_Truck!AY49-Arterial_HOT!AY49</f>
        <v>0</v>
      </c>
      <c r="AZ49" s="12">
        <f>VISUM_Arterial_OD!AZ49-Arterial_Truck!AZ49-Arterial_HOT!AZ49</f>
        <v>0</v>
      </c>
      <c r="BA49" s="12">
        <f>VISUM_Arterial_OD!BA49-Arterial_Truck!BA49-Arterial_HOT!BA49</f>
        <v>0</v>
      </c>
      <c r="BB49" s="12">
        <f>VISUM_Arterial_OD!BB49-Arterial_Truck!BB49-Arterial_HOT!BB49</f>
        <v>0</v>
      </c>
      <c r="BC49" s="12">
        <f>VISUM_Arterial_OD!BC49-Arterial_Truck!BC49-Arterial_HOT!BC49</f>
        <v>0</v>
      </c>
      <c r="BD49" s="12">
        <f>VISUM_Arterial_OD!BD49-Arterial_Truck!BD49-Arterial_HOT!BD49</f>
        <v>0</v>
      </c>
      <c r="BE49" s="12">
        <f>VISUM_Arterial_OD!BE49-Arterial_Truck!BE49-Arterial_HOT!BE49</f>
        <v>0</v>
      </c>
      <c r="BF49" s="12">
        <f>VISUM_Arterial_OD!BF49-Arterial_Truck!BF49-Arterial_HOT!BF49</f>
        <v>0</v>
      </c>
      <c r="BG49" s="12">
        <f>VISUM_Arterial_OD!BG49-Arterial_Truck!BG49-Arterial_HOT!BG49</f>
        <v>0</v>
      </c>
      <c r="BH49" s="12">
        <f>VISUM_Arterial_OD!BH49-Arterial_Truck!BH49-Arterial_HOT!BH49</f>
        <v>0</v>
      </c>
      <c r="BI49" s="12">
        <f>VISUM_Arterial_OD!BI49-Arterial_Truck!BI49-Arterial_HOT!BI49</f>
        <v>0</v>
      </c>
      <c r="BJ49" s="12">
        <f>VISUM_Arterial_OD!BJ49-Arterial_Truck!BJ49-Arterial_HOT!BJ49</f>
        <v>0</v>
      </c>
      <c r="BK49" s="12">
        <f>VISUM_Arterial_OD!BK49-Arterial_Truck!BK49-Arterial_HOT!BK49</f>
        <v>0</v>
      </c>
      <c r="BL49" s="12">
        <f>VISUM_Arterial_OD!BL49-Arterial_Truck!BL49-Arterial_HOT!BL49</f>
        <v>0</v>
      </c>
      <c r="BM49" s="12">
        <f>VISUM_Arterial_OD!BM49-Arterial_Truck!BM49-Arterial_HOT!BM49</f>
        <v>0</v>
      </c>
      <c r="BN49" s="12">
        <f>VISUM_Arterial_OD!BN49-Arterial_Truck!BN49-Arterial_HOT!BN49</f>
        <v>0</v>
      </c>
      <c r="BO49" s="12">
        <f>VISUM_Arterial_OD!BO49-Arterial_Truck!BO49-Arterial_HOT!BO49</f>
        <v>0</v>
      </c>
      <c r="BP49" s="12">
        <f>VISUM_Arterial_OD!BP49-Arterial_Truck!BP49-Arterial_HOT!BP49</f>
        <v>0</v>
      </c>
      <c r="BQ49" s="12">
        <f>VISUM_Arterial_OD!BQ49-Arterial_Truck!BQ49-Arterial_HOT!BQ49</f>
        <v>0</v>
      </c>
    </row>
    <row r="50" spans="1:69" x14ac:dyDescent="0.25">
      <c r="A50" s="5" t="str">
        <f>IF(VLOOKUP(B50,Arterial_Zone_Link_Mapping!$A:$C,2,FALSE)&lt;&gt;"",VLOOKUP(B50,Arterial_Zone_Link_Mapping!$A:$C,2,FALSE),"")</f>
        <v/>
      </c>
      <c r="B50" s="5">
        <v>72</v>
      </c>
      <c r="C50" s="12">
        <f>VISUM_Arterial_OD!C50-Arterial_Truck!C50-Arterial_HOT!C50</f>
        <v>0</v>
      </c>
      <c r="D50" s="12">
        <f>VISUM_Arterial_OD!D50-Arterial_Truck!D50-Arterial_HOT!D50</f>
        <v>0</v>
      </c>
      <c r="E50" s="12">
        <f>VISUM_Arterial_OD!E50-Arterial_Truck!E50-Arterial_HOT!E50</f>
        <v>0</v>
      </c>
      <c r="F50" s="12">
        <f>VISUM_Arterial_OD!F50-Arterial_Truck!F50-Arterial_HOT!F50</f>
        <v>0</v>
      </c>
      <c r="G50" s="12">
        <f>VISUM_Arterial_OD!G50-Arterial_Truck!G50-Arterial_HOT!G50</f>
        <v>0</v>
      </c>
      <c r="H50" s="12">
        <f>VISUM_Arterial_OD!H50-Arterial_Truck!H50-Arterial_HOT!H50</f>
        <v>0</v>
      </c>
      <c r="I50" s="12">
        <f>VISUM_Arterial_OD!I50-Arterial_Truck!I50-Arterial_HOT!I50</f>
        <v>0</v>
      </c>
      <c r="J50" s="12">
        <f>VISUM_Arterial_OD!J50-Arterial_Truck!J50-Arterial_HOT!J50</f>
        <v>0</v>
      </c>
      <c r="K50" s="12">
        <f>VISUM_Arterial_OD!K50-Arterial_Truck!K50-Arterial_HOT!K50</f>
        <v>0</v>
      </c>
      <c r="L50" s="12">
        <f>VISUM_Arterial_OD!L50-Arterial_Truck!L50-Arterial_HOT!L50</f>
        <v>0</v>
      </c>
      <c r="M50" s="12">
        <f>VISUM_Arterial_OD!M50-Arterial_Truck!M50-Arterial_HOT!M50</f>
        <v>0</v>
      </c>
      <c r="N50" s="12">
        <f>VISUM_Arterial_OD!N50-Arterial_Truck!N50-Arterial_HOT!N50</f>
        <v>0</v>
      </c>
      <c r="O50" s="12">
        <f>VISUM_Arterial_OD!O50-Arterial_Truck!O50-Arterial_HOT!O50</f>
        <v>0</v>
      </c>
      <c r="P50" s="12">
        <f>VISUM_Arterial_OD!P50-Arterial_Truck!P50-Arterial_HOT!P50</f>
        <v>0</v>
      </c>
      <c r="Q50" s="12">
        <f>VISUM_Arterial_OD!Q50-Arterial_Truck!Q50-Arterial_HOT!Q50</f>
        <v>0</v>
      </c>
      <c r="R50" s="12">
        <f>VISUM_Arterial_OD!R50-Arterial_Truck!R50-Arterial_HOT!R50</f>
        <v>0</v>
      </c>
      <c r="S50" s="12">
        <f>VISUM_Arterial_OD!S50-Arterial_Truck!S50-Arterial_HOT!S50</f>
        <v>0</v>
      </c>
      <c r="T50" s="12">
        <f>VISUM_Arterial_OD!T50-Arterial_Truck!T50-Arterial_HOT!T50</f>
        <v>0</v>
      </c>
      <c r="U50" s="12">
        <f>VISUM_Arterial_OD!U50-Arterial_Truck!U50-Arterial_HOT!U50</f>
        <v>0</v>
      </c>
      <c r="V50" s="12">
        <f>VISUM_Arterial_OD!V50-Arterial_Truck!V50-Arterial_HOT!V50</f>
        <v>0</v>
      </c>
      <c r="W50" s="12">
        <f>VISUM_Arterial_OD!W50-Arterial_Truck!W50-Arterial_HOT!W50</f>
        <v>0</v>
      </c>
      <c r="X50" s="12">
        <f>VISUM_Arterial_OD!X50-Arterial_Truck!X50-Arterial_HOT!X50</f>
        <v>0</v>
      </c>
      <c r="Y50" s="12">
        <f>VISUM_Arterial_OD!Y50-Arterial_Truck!Y50-Arterial_HOT!Y50</f>
        <v>0</v>
      </c>
      <c r="Z50" s="12">
        <f>VISUM_Arterial_OD!Z50-Arterial_Truck!Z50-Arterial_HOT!Z50</f>
        <v>0</v>
      </c>
      <c r="AA50" s="12">
        <f>VISUM_Arterial_OD!AA50-Arterial_Truck!AA50-Arterial_HOT!AA50</f>
        <v>0</v>
      </c>
      <c r="AB50" s="12">
        <f>VISUM_Arterial_OD!AB50-Arterial_Truck!AB50-Arterial_HOT!AB50</f>
        <v>0</v>
      </c>
      <c r="AC50" s="12">
        <f>VISUM_Arterial_OD!AC50-Arterial_Truck!AC50-Arterial_HOT!AC50</f>
        <v>0</v>
      </c>
      <c r="AD50" s="12">
        <f>VISUM_Arterial_OD!AD50-Arterial_Truck!AD50-Arterial_HOT!AD50</f>
        <v>0</v>
      </c>
      <c r="AE50" s="12">
        <f>VISUM_Arterial_OD!AE50-Arterial_Truck!AE50-Arterial_HOT!AE50</f>
        <v>0</v>
      </c>
      <c r="AF50" s="12">
        <f>VISUM_Arterial_OD!AF50-Arterial_Truck!AF50-Arterial_HOT!AF50</f>
        <v>0</v>
      </c>
      <c r="AG50" s="12">
        <f>VISUM_Arterial_OD!AG50-Arterial_Truck!AG50-Arterial_HOT!AG50</f>
        <v>0</v>
      </c>
      <c r="AH50" s="12">
        <f>VISUM_Arterial_OD!AH50-Arterial_Truck!AH50-Arterial_HOT!AH50</f>
        <v>0</v>
      </c>
      <c r="AI50" s="12">
        <f>VISUM_Arterial_OD!AI50-Arterial_Truck!AI50-Arterial_HOT!AI50</f>
        <v>0</v>
      </c>
      <c r="AJ50" s="12">
        <f>VISUM_Arterial_OD!AJ50-Arterial_Truck!AJ50-Arterial_HOT!AJ50</f>
        <v>0</v>
      </c>
      <c r="AK50" s="12">
        <f>VISUM_Arterial_OD!AK50-Arterial_Truck!AK50-Arterial_HOT!AK50</f>
        <v>0</v>
      </c>
      <c r="AL50" s="12">
        <f>VISUM_Arterial_OD!AL50-Arterial_Truck!AL50-Arterial_HOT!AL50</f>
        <v>0</v>
      </c>
      <c r="AM50" s="12">
        <f>VISUM_Arterial_OD!AM50-Arterial_Truck!AM50-Arterial_HOT!AM50</f>
        <v>0</v>
      </c>
      <c r="AN50" s="12">
        <f>VISUM_Arterial_OD!AN50-Arterial_Truck!AN50-Arterial_HOT!AN50</f>
        <v>0</v>
      </c>
      <c r="AO50" s="12">
        <f>VISUM_Arterial_OD!AO50-Arterial_Truck!AO50-Arterial_HOT!AO50</f>
        <v>0</v>
      </c>
      <c r="AP50" s="12">
        <f>VISUM_Arterial_OD!AP50-Arterial_Truck!AP50-Arterial_HOT!AP50</f>
        <v>0</v>
      </c>
      <c r="AQ50" s="12">
        <f>VISUM_Arterial_OD!AQ50-Arterial_Truck!AQ50-Arterial_HOT!AQ50</f>
        <v>0</v>
      </c>
      <c r="AR50" s="12">
        <f>VISUM_Arterial_OD!AR50-Arterial_Truck!AR50-Arterial_HOT!AR50</f>
        <v>0</v>
      </c>
      <c r="AS50" s="12">
        <f>VISUM_Arterial_OD!AS50-Arterial_Truck!AS50-Arterial_HOT!AS50</f>
        <v>0</v>
      </c>
      <c r="AT50" s="12">
        <f>VISUM_Arterial_OD!AT50-Arterial_Truck!AT50-Arterial_HOT!AT50</f>
        <v>0</v>
      </c>
      <c r="AU50" s="12">
        <f>VISUM_Arterial_OD!AU50-Arterial_Truck!AU50-Arterial_HOT!AU50</f>
        <v>0</v>
      </c>
      <c r="AV50" s="12">
        <f>VISUM_Arterial_OD!AV50-Arterial_Truck!AV50-Arterial_HOT!AV50</f>
        <v>0</v>
      </c>
      <c r="AW50" s="12">
        <f>VISUM_Arterial_OD!AW50-Arterial_Truck!AW50-Arterial_HOT!AW50</f>
        <v>0</v>
      </c>
      <c r="AX50" s="12">
        <f>VISUM_Arterial_OD!AX50-Arterial_Truck!AX50-Arterial_HOT!AX50</f>
        <v>0</v>
      </c>
      <c r="AY50" s="12">
        <f>VISUM_Arterial_OD!AY50-Arterial_Truck!AY50-Arterial_HOT!AY50</f>
        <v>0</v>
      </c>
      <c r="AZ50" s="12">
        <f>VISUM_Arterial_OD!AZ50-Arterial_Truck!AZ50-Arterial_HOT!AZ50</f>
        <v>0</v>
      </c>
      <c r="BA50" s="12">
        <f>VISUM_Arterial_OD!BA50-Arterial_Truck!BA50-Arterial_HOT!BA50</f>
        <v>0</v>
      </c>
      <c r="BB50" s="12">
        <f>VISUM_Arterial_OD!BB50-Arterial_Truck!BB50-Arterial_HOT!BB50</f>
        <v>0</v>
      </c>
      <c r="BC50" s="12">
        <f>VISUM_Arterial_OD!BC50-Arterial_Truck!BC50-Arterial_HOT!BC50</f>
        <v>0</v>
      </c>
      <c r="BD50" s="12">
        <f>VISUM_Arterial_OD!BD50-Arterial_Truck!BD50-Arterial_HOT!BD50</f>
        <v>0</v>
      </c>
      <c r="BE50" s="12">
        <f>VISUM_Arterial_OD!BE50-Arterial_Truck!BE50-Arterial_HOT!BE50</f>
        <v>0</v>
      </c>
      <c r="BF50" s="12">
        <f>VISUM_Arterial_OD!BF50-Arterial_Truck!BF50-Arterial_HOT!BF50</f>
        <v>0</v>
      </c>
      <c r="BG50" s="12">
        <f>VISUM_Arterial_OD!BG50-Arterial_Truck!BG50-Arterial_HOT!BG50</f>
        <v>0</v>
      </c>
      <c r="BH50" s="12">
        <f>VISUM_Arterial_OD!BH50-Arterial_Truck!BH50-Arterial_HOT!BH50</f>
        <v>0</v>
      </c>
      <c r="BI50" s="12">
        <f>VISUM_Arterial_OD!BI50-Arterial_Truck!BI50-Arterial_HOT!BI50</f>
        <v>0</v>
      </c>
      <c r="BJ50" s="12">
        <f>VISUM_Arterial_OD!BJ50-Arterial_Truck!BJ50-Arterial_HOT!BJ50</f>
        <v>0</v>
      </c>
      <c r="BK50" s="12">
        <f>VISUM_Arterial_OD!BK50-Arterial_Truck!BK50-Arterial_HOT!BK50</f>
        <v>0</v>
      </c>
      <c r="BL50" s="12">
        <f>VISUM_Arterial_OD!BL50-Arterial_Truck!BL50-Arterial_HOT!BL50</f>
        <v>0</v>
      </c>
      <c r="BM50" s="12">
        <f>VISUM_Arterial_OD!BM50-Arterial_Truck!BM50-Arterial_HOT!BM50</f>
        <v>0</v>
      </c>
      <c r="BN50" s="12">
        <f>VISUM_Arterial_OD!BN50-Arterial_Truck!BN50-Arterial_HOT!BN50</f>
        <v>0</v>
      </c>
      <c r="BO50" s="12">
        <f>VISUM_Arterial_OD!BO50-Arterial_Truck!BO50-Arterial_HOT!BO50</f>
        <v>0</v>
      </c>
      <c r="BP50" s="12">
        <f>VISUM_Arterial_OD!BP50-Arterial_Truck!BP50-Arterial_HOT!BP50</f>
        <v>0</v>
      </c>
      <c r="BQ50" s="12">
        <f>VISUM_Arterial_OD!BQ50-Arterial_Truck!BQ50-Arterial_HOT!BQ50</f>
        <v>0</v>
      </c>
    </row>
    <row r="51" spans="1:69" x14ac:dyDescent="0.25">
      <c r="A51" s="5">
        <f>IF(VLOOKUP(B51,Arterial_Zone_Link_Mapping!$A:$C,2,FALSE)&lt;&gt;"",VLOOKUP(B51,Arterial_Zone_Link_Mapping!$A:$C,2,FALSE),"")</f>
        <v>28280063</v>
      </c>
      <c r="B51" s="5">
        <v>73</v>
      </c>
      <c r="C51" s="12">
        <f>VISUM_Arterial_OD!C51-Arterial_Truck!C51-Arterial_HOT!C51</f>
        <v>0</v>
      </c>
      <c r="D51" s="12">
        <f>VISUM_Arterial_OD!D51-Arterial_Truck!D51-Arterial_HOT!D51</f>
        <v>0</v>
      </c>
      <c r="E51" s="12">
        <f>VISUM_Arterial_OD!E51-Arterial_Truck!E51-Arterial_HOT!E51</f>
        <v>0</v>
      </c>
      <c r="F51" s="12">
        <f>VISUM_Arterial_OD!F51-Arterial_Truck!F51-Arterial_HOT!F51</f>
        <v>0</v>
      </c>
      <c r="G51" s="12">
        <f>VISUM_Arterial_OD!G51-Arterial_Truck!G51-Arterial_HOT!G51</f>
        <v>0</v>
      </c>
      <c r="H51" s="12">
        <f>VISUM_Arterial_OD!H51-Arterial_Truck!H51-Arterial_HOT!H51</f>
        <v>100.31300299999999</v>
      </c>
      <c r="I51" s="12">
        <f>VISUM_Arterial_OD!I51-Arterial_Truck!I51-Arterial_HOT!I51</f>
        <v>214.723837</v>
      </c>
      <c r="J51" s="12">
        <f>VISUM_Arterial_OD!J51-Arterial_Truck!J51-Arterial_HOT!J51</f>
        <v>0</v>
      </c>
      <c r="K51" s="12">
        <f>VISUM_Arterial_OD!K51-Arterial_Truck!K51-Arterial_HOT!K51</f>
        <v>0</v>
      </c>
      <c r="L51" s="12">
        <f>VISUM_Arterial_OD!L51-Arterial_Truck!L51-Arterial_HOT!L51</f>
        <v>0</v>
      </c>
      <c r="M51" s="12">
        <f>VISUM_Arterial_OD!M51-Arterial_Truck!M51-Arterial_HOT!M51</f>
        <v>0</v>
      </c>
      <c r="N51" s="12">
        <f>VISUM_Arterial_OD!N51-Arterial_Truck!N51-Arterial_HOT!N51</f>
        <v>0</v>
      </c>
      <c r="O51" s="12">
        <f>VISUM_Arterial_OD!O51-Arterial_Truck!O51-Arterial_HOT!O51</f>
        <v>0</v>
      </c>
      <c r="P51" s="12">
        <f>VISUM_Arterial_OD!P51-Arterial_Truck!P51-Arterial_HOT!P51</f>
        <v>0</v>
      </c>
      <c r="Q51" s="12">
        <f>VISUM_Arterial_OD!Q51-Arterial_Truck!Q51-Arterial_HOT!Q51</f>
        <v>0</v>
      </c>
      <c r="R51" s="12">
        <f>VISUM_Arterial_OD!R51-Arterial_Truck!R51-Arterial_HOT!R51</f>
        <v>0</v>
      </c>
      <c r="S51" s="12">
        <f>VISUM_Arterial_OD!S51-Arterial_Truck!S51-Arterial_HOT!S51</f>
        <v>0</v>
      </c>
      <c r="T51" s="12">
        <f>VISUM_Arterial_OD!T51-Arterial_Truck!T51-Arterial_HOT!T51</f>
        <v>0</v>
      </c>
      <c r="U51" s="12">
        <f>VISUM_Arterial_OD!U51-Arterial_Truck!U51-Arterial_HOT!U51</f>
        <v>0</v>
      </c>
      <c r="V51" s="12">
        <f>VISUM_Arterial_OD!V51-Arterial_Truck!V51-Arterial_HOT!V51</f>
        <v>0</v>
      </c>
      <c r="W51" s="12">
        <f>VISUM_Arterial_OD!W51-Arterial_Truck!W51-Arterial_HOT!W51</f>
        <v>0</v>
      </c>
      <c r="X51" s="12">
        <f>VISUM_Arterial_OD!X51-Arterial_Truck!X51-Arterial_HOT!X51</f>
        <v>0</v>
      </c>
      <c r="Y51" s="12">
        <f>VISUM_Arterial_OD!Y51-Arterial_Truck!Y51-Arterial_HOT!Y51</f>
        <v>0</v>
      </c>
      <c r="Z51" s="12">
        <f>VISUM_Arterial_OD!Z51-Arterial_Truck!Z51-Arterial_HOT!Z51</f>
        <v>0</v>
      </c>
      <c r="AA51" s="12">
        <f>VISUM_Arterial_OD!AA51-Arterial_Truck!AA51-Arterial_HOT!AA51</f>
        <v>0</v>
      </c>
      <c r="AB51" s="12">
        <f>VISUM_Arterial_OD!AB51-Arterial_Truck!AB51-Arterial_HOT!AB51</f>
        <v>0</v>
      </c>
      <c r="AC51" s="12">
        <f>VISUM_Arterial_OD!AC51-Arterial_Truck!AC51-Arterial_HOT!AC51</f>
        <v>0</v>
      </c>
      <c r="AD51" s="12">
        <f>VISUM_Arterial_OD!AD51-Arterial_Truck!AD51-Arterial_HOT!AD51</f>
        <v>0</v>
      </c>
      <c r="AE51" s="12">
        <f>VISUM_Arterial_OD!AE51-Arterial_Truck!AE51-Arterial_HOT!AE51</f>
        <v>0</v>
      </c>
      <c r="AF51" s="12">
        <f>VISUM_Arterial_OD!AF51-Arterial_Truck!AF51-Arterial_HOT!AF51</f>
        <v>0</v>
      </c>
      <c r="AG51" s="12">
        <f>VISUM_Arterial_OD!AG51-Arterial_Truck!AG51-Arterial_HOT!AG51</f>
        <v>0</v>
      </c>
      <c r="AH51" s="12">
        <f>VISUM_Arterial_OD!AH51-Arterial_Truck!AH51-Arterial_HOT!AH51</f>
        <v>0</v>
      </c>
      <c r="AI51" s="12">
        <f>VISUM_Arterial_OD!AI51-Arterial_Truck!AI51-Arterial_HOT!AI51</f>
        <v>0</v>
      </c>
      <c r="AJ51" s="12">
        <f>VISUM_Arterial_OD!AJ51-Arterial_Truck!AJ51-Arterial_HOT!AJ51</f>
        <v>0</v>
      </c>
      <c r="AK51" s="12">
        <f>VISUM_Arterial_OD!AK51-Arterial_Truck!AK51-Arterial_HOT!AK51</f>
        <v>0</v>
      </c>
      <c r="AL51" s="12">
        <f>VISUM_Arterial_OD!AL51-Arterial_Truck!AL51-Arterial_HOT!AL51</f>
        <v>0</v>
      </c>
      <c r="AM51" s="12">
        <f>VISUM_Arterial_OD!AM51-Arterial_Truck!AM51-Arterial_HOT!AM51</f>
        <v>0</v>
      </c>
      <c r="AN51" s="12">
        <f>VISUM_Arterial_OD!AN51-Arterial_Truck!AN51-Arterial_HOT!AN51</f>
        <v>0</v>
      </c>
      <c r="AO51" s="12">
        <f>VISUM_Arterial_OD!AO51-Arterial_Truck!AO51-Arterial_HOT!AO51</f>
        <v>0</v>
      </c>
      <c r="AP51" s="12">
        <f>VISUM_Arterial_OD!AP51-Arterial_Truck!AP51-Arterial_HOT!AP51</f>
        <v>0</v>
      </c>
      <c r="AQ51" s="12">
        <f>VISUM_Arterial_OD!AQ51-Arterial_Truck!AQ51-Arterial_HOT!AQ51</f>
        <v>0</v>
      </c>
      <c r="AR51" s="12">
        <f>VISUM_Arterial_OD!AR51-Arterial_Truck!AR51-Arterial_HOT!AR51</f>
        <v>0</v>
      </c>
      <c r="AS51" s="12">
        <f>VISUM_Arterial_OD!AS51-Arterial_Truck!AS51-Arterial_HOT!AS51</f>
        <v>0</v>
      </c>
      <c r="AT51" s="12">
        <f>VISUM_Arterial_OD!AT51-Arterial_Truck!AT51-Arterial_HOT!AT51</f>
        <v>0</v>
      </c>
      <c r="AU51" s="12">
        <f>VISUM_Arterial_OD!AU51-Arterial_Truck!AU51-Arterial_HOT!AU51</f>
        <v>0</v>
      </c>
      <c r="AV51" s="12">
        <f>VISUM_Arterial_OD!AV51-Arterial_Truck!AV51-Arterial_HOT!AV51</f>
        <v>0</v>
      </c>
      <c r="AW51" s="12">
        <f>VISUM_Arterial_OD!AW51-Arterial_Truck!AW51-Arterial_HOT!AW51</f>
        <v>0</v>
      </c>
      <c r="AX51" s="12">
        <f>VISUM_Arterial_OD!AX51-Arterial_Truck!AX51-Arterial_HOT!AX51</f>
        <v>0</v>
      </c>
      <c r="AY51" s="12">
        <f>VISUM_Arterial_OD!AY51-Arterial_Truck!AY51-Arterial_HOT!AY51</f>
        <v>0</v>
      </c>
      <c r="AZ51" s="12">
        <f>VISUM_Arterial_OD!AZ51-Arterial_Truck!AZ51-Arterial_HOT!AZ51</f>
        <v>0</v>
      </c>
      <c r="BA51" s="12">
        <f>VISUM_Arterial_OD!BA51-Arterial_Truck!BA51-Arterial_HOT!BA51</f>
        <v>0</v>
      </c>
      <c r="BB51" s="12">
        <f>VISUM_Arterial_OD!BB51-Arterial_Truck!BB51-Arterial_HOT!BB51</f>
        <v>0</v>
      </c>
      <c r="BC51" s="12">
        <f>VISUM_Arterial_OD!BC51-Arterial_Truck!BC51-Arterial_HOT!BC51</f>
        <v>0</v>
      </c>
      <c r="BD51" s="12">
        <f>VISUM_Arterial_OD!BD51-Arterial_Truck!BD51-Arterial_HOT!BD51</f>
        <v>0</v>
      </c>
      <c r="BE51" s="12">
        <f>VISUM_Arterial_OD!BE51-Arterial_Truck!BE51-Arterial_HOT!BE51</f>
        <v>0</v>
      </c>
      <c r="BF51" s="12">
        <f>VISUM_Arterial_OD!BF51-Arterial_Truck!BF51-Arterial_HOT!BF51</f>
        <v>0</v>
      </c>
      <c r="BG51" s="12">
        <f>VISUM_Arterial_OD!BG51-Arterial_Truck!BG51-Arterial_HOT!BG51</f>
        <v>0</v>
      </c>
      <c r="BH51" s="12">
        <f>VISUM_Arterial_OD!BH51-Arterial_Truck!BH51-Arterial_HOT!BH51</f>
        <v>0</v>
      </c>
      <c r="BI51" s="12">
        <f>VISUM_Arterial_OD!BI51-Arterial_Truck!BI51-Arterial_HOT!BI51</f>
        <v>0</v>
      </c>
      <c r="BJ51" s="12">
        <f>VISUM_Arterial_OD!BJ51-Arterial_Truck!BJ51-Arterial_HOT!BJ51</f>
        <v>77.573511999999994</v>
      </c>
      <c r="BK51" s="12">
        <f>VISUM_Arterial_OD!BK51-Arterial_Truck!BK51-Arterial_HOT!BK51</f>
        <v>18.486080000000001</v>
      </c>
      <c r="BL51" s="12">
        <f>VISUM_Arterial_OD!BL51-Arterial_Truck!BL51-Arterial_HOT!BL51</f>
        <v>4.996238</v>
      </c>
      <c r="BM51" s="12">
        <f>VISUM_Arterial_OD!BM51-Arterial_Truck!BM51-Arterial_HOT!BM51</f>
        <v>0</v>
      </c>
      <c r="BN51" s="12">
        <f>VISUM_Arterial_OD!BN51-Arterial_Truck!BN51-Arterial_HOT!BN51</f>
        <v>63.952527000000003</v>
      </c>
      <c r="BO51" s="12">
        <f>VISUM_Arterial_OD!BO51-Arterial_Truck!BO51-Arterial_HOT!BO51</f>
        <v>0</v>
      </c>
      <c r="BP51" s="12">
        <f>VISUM_Arterial_OD!BP51-Arterial_Truck!BP51-Arterial_HOT!BP51</f>
        <v>0</v>
      </c>
      <c r="BQ51" s="12">
        <f>VISUM_Arterial_OD!BQ51-Arterial_Truck!BQ51-Arterial_HOT!BQ51</f>
        <v>0</v>
      </c>
    </row>
    <row r="52" spans="1:69" x14ac:dyDescent="0.25">
      <c r="A52" s="5" t="str">
        <f>IF(VLOOKUP(B52,Arterial_Zone_Link_Mapping!$A:$C,2,FALSE)&lt;&gt;"",VLOOKUP(B52,Arterial_Zone_Link_Mapping!$A:$C,2,FALSE),"")</f>
        <v/>
      </c>
      <c r="B52" s="5">
        <v>74</v>
      </c>
      <c r="C52" s="12">
        <f>VISUM_Arterial_OD!C52-Arterial_Truck!C52-Arterial_HOT!C52</f>
        <v>0</v>
      </c>
      <c r="D52" s="12">
        <f>VISUM_Arterial_OD!D52-Arterial_Truck!D52-Arterial_HOT!D52</f>
        <v>0</v>
      </c>
      <c r="E52" s="12">
        <f>VISUM_Arterial_OD!E52-Arterial_Truck!E52-Arterial_HOT!E52</f>
        <v>0</v>
      </c>
      <c r="F52" s="12">
        <f>VISUM_Arterial_OD!F52-Arterial_Truck!F52-Arterial_HOT!F52</f>
        <v>0</v>
      </c>
      <c r="G52" s="12">
        <f>VISUM_Arterial_OD!G52-Arterial_Truck!G52-Arterial_HOT!G52</f>
        <v>0</v>
      </c>
      <c r="H52" s="12">
        <f>VISUM_Arterial_OD!H52-Arterial_Truck!H52-Arterial_HOT!H52</f>
        <v>0</v>
      </c>
      <c r="I52" s="12">
        <f>VISUM_Arterial_OD!I52-Arterial_Truck!I52-Arterial_HOT!I52</f>
        <v>0</v>
      </c>
      <c r="J52" s="12">
        <f>VISUM_Arterial_OD!J52-Arterial_Truck!J52-Arterial_HOT!J52</f>
        <v>0</v>
      </c>
      <c r="K52" s="12">
        <f>VISUM_Arterial_OD!K52-Arterial_Truck!K52-Arterial_HOT!K52</f>
        <v>0</v>
      </c>
      <c r="L52" s="12">
        <f>VISUM_Arterial_OD!L52-Arterial_Truck!L52-Arterial_HOT!L52</f>
        <v>0</v>
      </c>
      <c r="M52" s="12">
        <f>VISUM_Arterial_OD!M52-Arterial_Truck!M52-Arterial_HOT!M52</f>
        <v>0</v>
      </c>
      <c r="N52" s="12">
        <f>VISUM_Arterial_OD!N52-Arterial_Truck!N52-Arterial_HOT!N52</f>
        <v>0</v>
      </c>
      <c r="O52" s="12">
        <f>VISUM_Arterial_OD!O52-Arterial_Truck!O52-Arterial_HOT!O52</f>
        <v>0</v>
      </c>
      <c r="P52" s="12">
        <f>VISUM_Arterial_OD!P52-Arterial_Truck!P52-Arterial_HOT!P52</f>
        <v>0</v>
      </c>
      <c r="Q52" s="12">
        <f>VISUM_Arterial_OD!Q52-Arterial_Truck!Q52-Arterial_HOT!Q52</f>
        <v>0</v>
      </c>
      <c r="R52" s="12">
        <f>VISUM_Arterial_OD!R52-Arterial_Truck!R52-Arterial_HOT!R52</f>
        <v>0</v>
      </c>
      <c r="S52" s="12">
        <f>VISUM_Arterial_OD!S52-Arterial_Truck!S52-Arterial_HOT!S52</f>
        <v>0</v>
      </c>
      <c r="T52" s="12">
        <f>VISUM_Arterial_OD!T52-Arterial_Truck!T52-Arterial_HOT!T52</f>
        <v>0</v>
      </c>
      <c r="U52" s="12">
        <f>VISUM_Arterial_OD!U52-Arterial_Truck!U52-Arterial_HOT!U52</f>
        <v>0</v>
      </c>
      <c r="V52" s="12">
        <f>VISUM_Arterial_OD!V52-Arterial_Truck!V52-Arterial_HOT!V52</f>
        <v>0</v>
      </c>
      <c r="W52" s="12">
        <f>VISUM_Arterial_OD!W52-Arterial_Truck!W52-Arterial_HOT!W52</f>
        <v>0</v>
      </c>
      <c r="X52" s="12">
        <f>VISUM_Arterial_OD!X52-Arterial_Truck!X52-Arterial_HOT!X52</f>
        <v>0</v>
      </c>
      <c r="Y52" s="12">
        <f>VISUM_Arterial_OD!Y52-Arterial_Truck!Y52-Arterial_HOT!Y52</f>
        <v>0</v>
      </c>
      <c r="Z52" s="12">
        <f>VISUM_Arterial_OD!Z52-Arterial_Truck!Z52-Arterial_HOT!Z52</f>
        <v>0</v>
      </c>
      <c r="AA52" s="12">
        <f>VISUM_Arterial_OD!AA52-Arterial_Truck!AA52-Arterial_HOT!AA52</f>
        <v>0</v>
      </c>
      <c r="AB52" s="12">
        <f>VISUM_Arterial_OD!AB52-Arterial_Truck!AB52-Arterial_HOT!AB52</f>
        <v>0</v>
      </c>
      <c r="AC52" s="12">
        <f>VISUM_Arterial_OD!AC52-Arterial_Truck!AC52-Arterial_HOT!AC52</f>
        <v>0</v>
      </c>
      <c r="AD52" s="12">
        <f>VISUM_Arterial_OD!AD52-Arterial_Truck!AD52-Arterial_HOT!AD52</f>
        <v>0</v>
      </c>
      <c r="AE52" s="12">
        <f>VISUM_Arterial_OD!AE52-Arterial_Truck!AE52-Arterial_HOT!AE52</f>
        <v>0</v>
      </c>
      <c r="AF52" s="12">
        <f>VISUM_Arterial_OD!AF52-Arterial_Truck!AF52-Arterial_HOT!AF52</f>
        <v>0</v>
      </c>
      <c r="AG52" s="12">
        <f>VISUM_Arterial_OD!AG52-Arterial_Truck!AG52-Arterial_HOT!AG52</f>
        <v>0</v>
      </c>
      <c r="AH52" s="12">
        <f>VISUM_Arterial_OD!AH52-Arterial_Truck!AH52-Arterial_HOT!AH52</f>
        <v>0</v>
      </c>
      <c r="AI52" s="12">
        <f>VISUM_Arterial_OD!AI52-Arterial_Truck!AI52-Arterial_HOT!AI52</f>
        <v>0</v>
      </c>
      <c r="AJ52" s="12">
        <f>VISUM_Arterial_OD!AJ52-Arterial_Truck!AJ52-Arterial_HOT!AJ52</f>
        <v>0</v>
      </c>
      <c r="AK52" s="12">
        <f>VISUM_Arterial_OD!AK52-Arterial_Truck!AK52-Arterial_HOT!AK52</f>
        <v>0</v>
      </c>
      <c r="AL52" s="12">
        <f>VISUM_Arterial_OD!AL52-Arterial_Truck!AL52-Arterial_HOT!AL52</f>
        <v>0</v>
      </c>
      <c r="AM52" s="12">
        <f>VISUM_Arterial_OD!AM52-Arterial_Truck!AM52-Arterial_HOT!AM52</f>
        <v>0</v>
      </c>
      <c r="AN52" s="12">
        <f>VISUM_Arterial_OD!AN52-Arterial_Truck!AN52-Arterial_HOT!AN52</f>
        <v>0</v>
      </c>
      <c r="AO52" s="12">
        <f>VISUM_Arterial_OD!AO52-Arterial_Truck!AO52-Arterial_HOT!AO52</f>
        <v>0</v>
      </c>
      <c r="AP52" s="12">
        <f>VISUM_Arterial_OD!AP52-Arterial_Truck!AP52-Arterial_HOT!AP52</f>
        <v>0</v>
      </c>
      <c r="AQ52" s="12">
        <f>VISUM_Arterial_OD!AQ52-Arterial_Truck!AQ52-Arterial_HOT!AQ52</f>
        <v>0</v>
      </c>
      <c r="AR52" s="12">
        <f>VISUM_Arterial_OD!AR52-Arterial_Truck!AR52-Arterial_HOT!AR52</f>
        <v>0</v>
      </c>
      <c r="AS52" s="12">
        <f>VISUM_Arterial_OD!AS52-Arterial_Truck!AS52-Arterial_HOT!AS52</f>
        <v>0</v>
      </c>
      <c r="AT52" s="12">
        <f>VISUM_Arterial_OD!AT52-Arterial_Truck!AT52-Arterial_HOT!AT52</f>
        <v>0</v>
      </c>
      <c r="AU52" s="12">
        <f>VISUM_Arterial_OD!AU52-Arterial_Truck!AU52-Arterial_HOT!AU52</f>
        <v>0</v>
      </c>
      <c r="AV52" s="12">
        <f>VISUM_Arterial_OD!AV52-Arterial_Truck!AV52-Arterial_HOT!AV52</f>
        <v>0</v>
      </c>
      <c r="AW52" s="12">
        <f>VISUM_Arterial_OD!AW52-Arterial_Truck!AW52-Arterial_HOT!AW52</f>
        <v>0</v>
      </c>
      <c r="AX52" s="12">
        <f>VISUM_Arterial_OD!AX52-Arterial_Truck!AX52-Arterial_HOT!AX52</f>
        <v>0</v>
      </c>
      <c r="AY52" s="12">
        <f>VISUM_Arterial_OD!AY52-Arterial_Truck!AY52-Arterial_HOT!AY52</f>
        <v>0</v>
      </c>
      <c r="AZ52" s="12">
        <f>VISUM_Arterial_OD!AZ52-Arterial_Truck!AZ52-Arterial_HOT!AZ52</f>
        <v>0</v>
      </c>
      <c r="BA52" s="12">
        <f>VISUM_Arterial_OD!BA52-Arterial_Truck!BA52-Arterial_HOT!BA52</f>
        <v>0</v>
      </c>
      <c r="BB52" s="12">
        <f>VISUM_Arterial_OD!BB52-Arterial_Truck!BB52-Arterial_HOT!BB52</f>
        <v>0</v>
      </c>
      <c r="BC52" s="12">
        <f>VISUM_Arterial_OD!BC52-Arterial_Truck!BC52-Arterial_HOT!BC52</f>
        <v>0</v>
      </c>
      <c r="BD52" s="12">
        <f>VISUM_Arterial_OD!BD52-Arterial_Truck!BD52-Arterial_HOT!BD52</f>
        <v>0</v>
      </c>
      <c r="BE52" s="12">
        <f>VISUM_Arterial_OD!BE52-Arterial_Truck!BE52-Arterial_HOT!BE52</f>
        <v>0</v>
      </c>
      <c r="BF52" s="12">
        <f>VISUM_Arterial_OD!BF52-Arterial_Truck!BF52-Arterial_HOT!BF52</f>
        <v>0</v>
      </c>
      <c r="BG52" s="12">
        <f>VISUM_Arterial_OD!BG52-Arterial_Truck!BG52-Arterial_HOT!BG52</f>
        <v>0</v>
      </c>
      <c r="BH52" s="12">
        <f>VISUM_Arterial_OD!BH52-Arterial_Truck!BH52-Arterial_HOT!BH52</f>
        <v>0</v>
      </c>
      <c r="BI52" s="12">
        <f>VISUM_Arterial_OD!BI52-Arterial_Truck!BI52-Arterial_HOT!BI52</f>
        <v>0</v>
      </c>
      <c r="BJ52" s="12">
        <f>VISUM_Arterial_OD!BJ52-Arterial_Truck!BJ52-Arterial_HOT!BJ52</f>
        <v>0</v>
      </c>
      <c r="BK52" s="12">
        <f>VISUM_Arterial_OD!BK52-Arterial_Truck!BK52-Arterial_HOT!BK52</f>
        <v>0</v>
      </c>
      <c r="BL52" s="12">
        <f>VISUM_Arterial_OD!BL52-Arterial_Truck!BL52-Arterial_HOT!BL52</f>
        <v>0</v>
      </c>
      <c r="BM52" s="12">
        <f>VISUM_Arterial_OD!BM52-Arterial_Truck!BM52-Arterial_HOT!BM52</f>
        <v>0</v>
      </c>
      <c r="BN52" s="12">
        <f>VISUM_Arterial_OD!BN52-Arterial_Truck!BN52-Arterial_HOT!BN52</f>
        <v>0</v>
      </c>
      <c r="BO52" s="12">
        <f>VISUM_Arterial_OD!BO52-Arterial_Truck!BO52-Arterial_HOT!BO52</f>
        <v>0</v>
      </c>
      <c r="BP52" s="12">
        <f>VISUM_Arterial_OD!BP52-Arterial_Truck!BP52-Arterial_HOT!BP52</f>
        <v>0</v>
      </c>
      <c r="BQ52" s="12">
        <f>VISUM_Arterial_OD!BQ52-Arterial_Truck!BQ52-Arterial_HOT!BQ52</f>
        <v>0</v>
      </c>
    </row>
    <row r="53" spans="1:69" x14ac:dyDescent="0.25">
      <c r="A53" s="5">
        <f>IF(VLOOKUP(B53,Arterial_Zone_Link_Mapping!$A:$C,2,FALSE)&lt;&gt;"",VLOOKUP(B53,Arterial_Zone_Link_Mapping!$A:$C,2,FALSE),"")</f>
        <v>28280070</v>
      </c>
      <c r="B53" s="5">
        <v>75</v>
      </c>
      <c r="C53" s="12">
        <f>VISUM_Arterial_OD!C53-Arterial_Truck!C53-Arterial_HOT!C53</f>
        <v>0</v>
      </c>
      <c r="D53" s="12">
        <f>VISUM_Arterial_OD!D53-Arterial_Truck!D53-Arterial_HOT!D53</f>
        <v>0</v>
      </c>
      <c r="E53" s="12">
        <f>VISUM_Arterial_OD!E53-Arterial_Truck!E53-Arterial_HOT!E53</f>
        <v>0</v>
      </c>
      <c r="F53" s="12">
        <f>VISUM_Arterial_OD!F53-Arterial_Truck!F53-Arterial_HOT!F53</f>
        <v>0</v>
      </c>
      <c r="G53" s="12">
        <f>VISUM_Arterial_OD!G53-Arterial_Truck!G53-Arterial_HOT!G53</f>
        <v>0</v>
      </c>
      <c r="H53" s="12">
        <f>VISUM_Arterial_OD!H53-Arterial_Truck!H53-Arterial_HOT!H53</f>
        <v>250.309372</v>
      </c>
      <c r="I53" s="12">
        <f>VISUM_Arterial_OD!I53-Arterial_Truck!I53-Arterial_HOT!I53</f>
        <v>114.629103</v>
      </c>
      <c r="J53" s="12">
        <f>VISUM_Arterial_OD!J53-Arterial_Truck!J53-Arterial_HOT!J53</f>
        <v>0</v>
      </c>
      <c r="K53" s="12">
        <f>VISUM_Arterial_OD!K53-Arterial_Truck!K53-Arterial_HOT!K53</f>
        <v>0</v>
      </c>
      <c r="L53" s="12">
        <f>VISUM_Arterial_OD!L53-Arterial_Truck!L53-Arterial_HOT!L53</f>
        <v>0</v>
      </c>
      <c r="M53" s="12">
        <f>VISUM_Arterial_OD!M53-Arterial_Truck!M53-Arterial_HOT!M53</f>
        <v>0</v>
      </c>
      <c r="N53" s="12">
        <f>VISUM_Arterial_OD!N53-Arterial_Truck!N53-Arterial_HOT!N53</f>
        <v>0</v>
      </c>
      <c r="O53" s="12">
        <f>VISUM_Arterial_OD!O53-Arterial_Truck!O53-Arterial_HOT!O53</f>
        <v>0</v>
      </c>
      <c r="P53" s="12">
        <f>VISUM_Arterial_OD!P53-Arterial_Truck!P53-Arterial_HOT!P53</f>
        <v>0</v>
      </c>
      <c r="Q53" s="12">
        <f>VISUM_Arterial_OD!Q53-Arterial_Truck!Q53-Arterial_HOT!Q53</f>
        <v>0</v>
      </c>
      <c r="R53" s="12">
        <f>VISUM_Arterial_OD!R53-Arterial_Truck!R53-Arterial_HOT!R53</f>
        <v>0</v>
      </c>
      <c r="S53" s="12">
        <f>VISUM_Arterial_OD!S53-Arterial_Truck!S53-Arterial_HOT!S53</f>
        <v>0</v>
      </c>
      <c r="T53" s="12">
        <f>VISUM_Arterial_OD!T53-Arterial_Truck!T53-Arterial_HOT!T53</f>
        <v>0</v>
      </c>
      <c r="U53" s="12">
        <f>VISUM_Arterial_OD!U53-Arterial_Truck!U53-Arterial_HOT!U53</f>
        <v>0</v>
      </c>
      <c r="V53" s="12">
        <f>VISUM_Arterial_OD!V53-Arterial_Truck!V53-Arterial_HOT!V53</f>
        <v>0</v>
      </c>
      <c r="W53" s="12">
        <f>VISUM_Arterial_OD!W53-Arterial_Truck!W53-Arterial_HOT!W53</f>
        <v>0</v>
      </c>
      <c r="X53" s="12">
        <f>VISUM_Arterial_OD!X53-Arterial_Truck!X53-Arterial_HOT!X53</f>
        <v>0</v>
      </c>
      <c r="Y53" s="12">
        <f>VISUM_Arterial_OD!Y53-Arterial_Truck!Y53-Arterial_HOT!Y53</f>
        <v>0</v>
      </c>
      <c r="Z53" s="12">
        <f>VISUM_Arterial_OD!Z53-Arterial_Truck!Z53-Arterial_HOT!Z53</f>
        <v>0</v>
      </c>
      <c r="AA53" s="12">
        <f>VISUM_Arterial_OD!AA53-Arterial_Truck!AA53-Arterial_HOT!AA53</f>
        <v>0</v>
      </c>
      <c r="AB53" s="12">
        <f>VISUM_Arterial_OD!AB53-Arterial_Truck!AB53-Arterial_HOT!AB53</f>
        <v>0</v>
      </c>
      <c r="AC53" s="12">
        <f>VISUM_Arterial_OD!AC53-Arterial_Truck!AC53-Arterial_HOT!AC53</f>
        <v>0</v>
      </c>
      <c r="AD53" s="12">
        <f>VISUM_Arterial_OD!AD53-Arterial_Truck!AD53-Arterial_HOT!AD53</f>
        <v>0</v>
      </c>
      <c r="AE53" s="12">
        <f>VISUM_Arterial_OD!AE53-Arterial_Truck!AE53-Arterial_HOT!AE53</f>
        <v>0</v>
      </c>
      <c r="AF53" s="12">
        <f>VISUM_Arterial_OD!AF53-Arterial_Truck!AF53-Arterial_HOT!AF53</f>
        <v>0</v>
      </c>
      <c r="AG53" s="12">
        <f>VISUM_Arterial_OD!AG53-Arterial_Truck!AG53-Arterial_HOT!AG53</f>
        <v>0</v>
      </c>
      <c r="AH53" s="12">
        <f>VISUM_Arterial_OD!AH53-Arterial_Truck!AH53-Arterial_HOT!AH53</f>
        <v>0</v>
      </c>
      <c r="AI53" s="12">
        <f>VISUM_Arterial_OD!AI53-Arterial_Truck!AI53-Arterial_HOT!AI53</f>
        <v>0</v>
      </c>
      <c r="AJ53" s="12">
        <f>VISUM_Arterial_OD!AJ53-Arterial_Truck!AJ53-Arterial_HOT!AJ53</f>
        <v>0</v>
      </c>
      <c r="AK53" s="12">
        <f>VISUM_Arterial_OD!AK53-Arterial_Truck!AK53-Arterial_HOT!AK53</f>
        <v>0</v>
      </c>
      <c r="AL53" s="12">
        <f>VISUM_Arterial_OD!AL53-Arterial_Truck!AL53-Arterial_HOT!AL53</f>
        <v>0</v>
      </c>
      <c r="AM53" s="12">
        <f>VISUM_Arterial_OD!AM53-Arterial_Truck!AM53-Arterial_HOT!AM53</f>
        <v>0</v>
      </c>
      <c r="AN53" s="12">
        <f>VISUM_Arterial_OD!AN53-Arterial_Truck!AN53-Arterial_HOT!AN53</f>
        <v>0</v>
      </c>
      <c r="AO53" s="12">
        <f>VISUM_Arterial_OD!AO53-Arterial_Truck!AO53-Arterial_HOT!AO53</f>
        <v>0</v>
      </c>
      <c r="AP53" s="12">
        <f>VISUM_Arterial_OD!AP53-Arterial_Truck!AP53-Arterial_HOT!AP53</f>
        <v>0</v>
      </c>
      <c r="AQ53" s="12">
        <f>VISUM_Arterial_OD!AQ53-Arterial_Truck!AQ53-Arterial_HOT!AQ53</f>
        <v>0</v>
      </c>
      <c r="AR53" s="12">
        <f>VISUM_Arterial_OD!AR53-Arterial_Truck!AR53-Arterial_HOT!AR53</f>
        <v>0</v>
      </c>
      <c r="AS53" s="12">
        <f>VISUM_Arterial_OD!AS53-Arterial_Truck!AS53-Arterial_HOT!AS53</f>
        <v>0</v>
      </c>
      <c r="AT53" s="12">
        <f>VISUM_Arterial_OD!AT53-Arterial_Truck!AT53-Arterial_HOT!AT53</f>
        <v>0</v>
      </c>
      <c r="AU53" s="12">
        <f>VISUM_Arterial_OD!AU53-Arterial_Truck!AU53-Arterial_HOT!AU53</f>
        <v>0</v>
      </c>
      <c r="AV53" s="12">
        <f>VISUM_Arterial_OD!AV53-Arterial_Truck!AV53-Arterial_HOT!AV53</f>
        <v>0</v>
      </c>
      <c r="AW53" s="12">
        <f>VISUM_Arterial_OD!AW53-Arterial_Truck!AW53-Arterial_HOT!AW53</f>
        <v>0</v>
      </c>
      <c r="AX53" s="12">
        <f>VISUM_Arterial_OD!AX53-Arterial_Truck!AX53-Arterial_HOT!AX53</f>
        <v>0</v>
      </c>
      <c r="AY53" s="12">
        <f>VISUM_Arterial_OD!AY53-Arterial_Truck!AY53-Arterial_HOT!AY53</f>
        <v>0</v>
      </c>
      <c r="AZ53" s="12">
        <f>VISUM_Arterial_OD!AZ53-Arterial_Truck!AZ53-Arterial_HOT!AZ53</f>
        <v>0</v>
      </c>
      <c r="BA53" s="12">
        <f>VISUM_Arterial_OD!BA53-Arterial_Truck!BA53-Arterial_HOT!BA53</f>
        <v>0</v>
      </c>
      <c r="BB53" s="12">
        <f>VISUM_Arterial_OD!BB53-Arterial_Truck!BB53-Arterial_HOT!BB53</f>
        <v>0</v>
      </c>
      <c r="BC53" s="12">
        <f>VISUM_Arterial_OD!BC53-Arterial_Truck!BC53-Arterial_HOT!BC53</f>
        <v>0</v>
      </c>
      <c r="BD53" s="12">
        <f>VISUM_Arterial_OD!BD53-Arterial_Truck!BD53-Arterial_HOT!BD53</f>
        <v>0</v>
      </c>
      <c r="BE53" s="12">
        <f>VISUM_Arterial_OD!BE53-Arterial_Truck!BE53-Arterial_HOT!BE53</f>
        <v>0</v>
      </c>
      <c r="BF53" s="12">
        <f>VISUM_Arterial_OD!BF53-Arterial_Truck!BF53-Arterial_HOT!BF53</f>
        <v>0</v>
      </c>
      <c r="BG53" s="12">
        <f>VISUM_Arterial_OD!BG53-Arterial_Truck!BG53-Arterial_HOT!BG53</f>
        <v>0</v>
      </c>
      <c r="BH53" s="12">
        <f>VISUM_Arterial_OD!BH53-Arterial_Truck!BH53-Arterial_HOT!BH53</f>
        <v>0</v>
      </c>
      <c r="BI53" s="12">
        <f>VISUM_Arterial_OD!BI53-Arterial_Truck!BI53-Arterial_HOT!BI53</f>
        <v>0</v>
      </c>
      <c r="BJ53" s="12">
        <f>VISUM_Arterial_OD!BJ53-Arterial_Truck!BJ53-Arterial_HOT!BJ53</f>
        <v>86.966089999999994</v>
      </c>
      <c r="BK53" s="12">
        <f>VISUM_Arterial_OD!BK53-Arterial_Truck!BK53-Arterial_HOT!BK53</f>
        <v>20.724368999999999</v>
      </c>
      <c r="BL53" s="12">
        <f>VISUM_Arterial_OD!BL53-Arterial_Truck!BL53-Arterial_HOT!BL53</f>
        <v>5.6011800000000003</v>
      </c>
      <c r="BM53" s="12">
        <f>VISUM_Arterial_OD!BM53-Arterial_Truck!BM53-Arterial_HOT!BM53</f>
        <v>0</v>
      </c>
      <c r="BN53" s="12">
        <f>VISUM_Arterial_OD!BN53-Arterial_Truck!BN53-Arterial_HOT!BN53</f>
        <v>71.695881</v>
      </c>
      <c r="BO53" s="12">
        <f>VISUM_Arterial_OD!BO53-Arterial_Truck!BO53-Arterial_HOT!BO53</f>
        <v>0</v>
      </c>
      <c r="BP53" s="12">
        <f>VISUM_Arterial_OD!BP53-Arterial_Truck!BP53-Arterial_HOT!BP53</f>
        <v>0</v>
      </c>
      <c r="BQ53" s="12">
        <f>VISUM_Arterial_OD!BQ53-Arterial_Truck!BQ53-Arterial_HOT!BQ53</f>
        <v>0</v>
      </c>
    </row>
    <row r="54" spans="1:69" x14ac:dyDescent="0.25">
      <c r="A54" s="5" t="str">
        <f>IF(VLOOKUP(B54,Arterial_Zone_Link_Mapping!$A:$C,2,FALSE)&lt;&gt;"",VLOOKUP(B54,Arterial_Zone_Link_Mapping!$A:$C,2,FALSE),"")</f>
        <v/>
      </c>
      <c r="B54" s="5">
        <v>76</v>
      </c>
      <c r="C54" s="12">
        <f>VISUM_Arterial_OD!C54-Arterial_Truck!C54-Arterial_HOT!C54</f>
        <v>0</v>
      </c>
      <c r="D54" s="12">
        <f>VISUM_Arterial_OD!D54-Arterial_Truck!D54-Arterial_HOT!D54</f>
        <v>0</v>
      </c>
      <c r="E54" s="12">
        <f>VISUM_Arterial_OD!E54-Arterial_Truck!E54-Arterial_HOT!E54</f>
        <v>0</v>
      </c>
      <c r="F54" s="12">
        <f>VISUM_Arterial_OD!F54-Arterial_Truck!F54-Arterial_HOT!F54</f>
        <v>0</v>
      </c>
      <c r="G54" s="12">
        <f>VISUM_Arterial_OD!G54-Arterial_Truck!G54-Arterial_HOT!G54</f>
        <v>0</v>
      </c>
      <c r="H54" s="12">
        <f>VISUM_Arterial_OD!H54-Arterial_Truck!H54-Arterial_HOT!H54</f>
        <v>0</v>
      </c>
      <c r="I54" s="12">
        <f>VISUM_Arterial_OD!I54-Arterial_Truck!I54-Arterial_HOT!I54</f>
        <v>0</v>
      </c>
      <c r="J54" s="12">
        <f>VISUM_Arterial_OD!J54-Arterial_Truck!J54-Arterial_HOT!J54</f>
        <v>0</v>
      </c>
      <c r="K54" s="12">
        <f>VISUM_Arterial_OD!K54-Arterial_Truck!K54-Arterial_HOT!K54</f>
        <v>0</v>
      </c>
      <c r="L54" s="12">
        <f>VISUM_Arterial_OD!L54-Arterial_Truck!L54-Arterial_HOT!L54</f>
        <v>0</v>
      </c>
      <c r="M54" s="12">
        <f>VISUM_Arterial_OD!M54-Arterial_Truck!M54-Arterial_HOT!M54</f>
        <v>0</v>
      </c>
      <c r="N54" s="12">
        <f>VISUM_Arterial_OD!N54-Arterial_Truck!N54-Arterial_HOT!N54</f>
        <v>0</v>
      </c>
      <c r="O54" s="12">
        <f>VISUM_Arterial_OD!O54-Arterial_Truck!O54-Arterial_HOT!O54</f>
        <v>0</v>
      </c>
      <c r="P54" s="12">
        <f>VISUM_Arterial_OD!P54-Arterial_Truck!P54-Arterial_HOT!P54</f>
        <v>0</v>
      </c>
      <c r="Q54" s="12">
        <f>VISUM_Arterial_OD!Q54-Arterial_Truck!Q54-Arterial_HOT!Q54</f>
        <v>0</v>
      </c>
      <c r="R54" s="12">
        <f>VISUM_Arterial_OD!R54-Arterial_Truck!R54-Arterial_HOT!R54</f>
        <v>0</v>
      </c>
      <c r="S54" s="12">
        <f>VISUM_Arterial_OD!S54-Arterial_Truck!S54-Arterial_HOT!S54</f>
        <v>0</v>
      </c>
      <c r="T54" s="12">
        <f>VISUM_Arterial_OD!T54-Arterial_Truck!T54-Arterial_HOT!T54</f>
        <v>0</v>
      </c>
      <c r="U54" s="12">
        <f>VISUM_Arterial_OD!U54-Arterial_Truck!U54-Arterial_HOT!U54</f>
        <v>0</v>
      </c>
      <c r="V54" s="12">
        <f>VISUM_Arterial_OD!V54-Arterial_Truck!V54-Arterial_HOT!V54</f>
        <v>0</v>
      </c>
      <c r="W54" s="12">
        <f>VISUM_Arterial_OD!W54-Arterial_Truck!W54-Arterial_HOT!W54</f>
        <v>0</v>
      </c>
      <c r="X54" s="12">
        <f>VISUM_Arterial_OD!X54-Arterial_Truck!X54-Arterial_HOT!X54</f>
        <v>0</v>
      </c>
      <c r="Y54" s="12">
        <f>VISUM_Arterial_OD!Y54-Arterial_Truck!Y54-Arterial_HOT!Y54</f>
        <v>0</v>
      </c>
      <c r="Z54" s="12">
        <f>VISUM_Arterial_OD!Z54-Arterial_Truck!Z54-Arterial_HOT!Z54</f>
        <v>0</v>
      </c>
      <c r="AA54" s="12">
        <f>VISUM_Arterial_OD!AA54-Arterial_Truck!AA54-Arterial_HOT!AA54</f>
        <v>0</v>
      </c>
      <c r="AB54" s="12">
        <f>VISUM_Arterial_OD!AB54-Arterial_Truck!AB54-Arterial_HOT!AB54</f>
        <v>0</v>
      </c>
      <c r="AC54" s="12">
        <f>VISUM_Arterial_OD!AC54-Arterial_Truck!AC54-Arterial_HOT!AC54</f>
        <v>0</v>
      </c>
      <c r="AD54" s="12">
        <f>VISUM_Arterial_OD!AD54-Arterial_Truck!AD54-Arterial_HOT!AD54</f>
        <v>0</v>
      </c>
      <c r="AE54" s="12">
        <f>VISUM_Arterial_OD!AE54-Arterial_Truck!AE54-Arterial_HOT!AE54</f>
        <v>0</v>
      </c>
      <c r="AF54" s="12">
        <f>VISUM_Arterial_OD!AF54-Arterial_Truck!AF54-Arterial_HOT!AF54</f>
        <v>0</v>
      </c>
      <c r="AG54" s="12">
        <f>VISUM_Arterial_OD!AG54-Arterial_Truck!AG54-Arterial_HOT!AG54</f>
        <v>0</v>
      </c>
      <c r="AH54" s="12">
        <f>VISUM_Arterial_OD!AH54-Arterial_Truck!AH54-Arterial_HOT!AH54</f>
        <v>0</v>
      </c>
      <c r="AI54" s="12">
        <f>VISUM_Arterial_OD!AI54-Arterial_Truck!AI54-Arterial_HOT!AI54</f>
        <v>0</v>
      </c>
      <c r="AJ54" s="12">
        <f>VISUM_Arterial_OD!AJ54-Arterial_Truck!AJ54-Arterial_HOT!AJ54</f>
        <v>0</v>
      </c>
      <c r="AK54" s="12">
        <f>VISUM_Arterial_OD!AK54-Arterial_Truck!AK54-Arterial_HOT!AK54</f>
        <v>0</v>
      </c>
      <c r="AL54" s="12">
        <f>VISUM_Arterial_OD!AL54-Arterial_Truck!AL54-Arterial_HOT!AL54</f>
        <v>0</v>
      </c>
      <c r="AM54" s="12">
        <f>VISUM_Arterial_OD!AM54-Arterial_Truck!AM54-Arterial_HOT!AM54</f>
        <v>0</v>
      </c>
      <c r="AN54" s="12">
        <f>VISUM_Arterial_OD!AN54-Arterial_Truck!AN54-Arterial_HOT!AN54</f>
        <v>0</v>
      </c>
      <c r="AO54" s="12">
        <f>VISUM_Arterial_OD!AO54-Arterial_Truck!AO54-Arterial_HOT!AO54</f>
        <v>0</v>
      </c>
      <c r="AP54" s="12">
        <f>VISUM_Arterial_OD!AP54-Arterial_Truck!AP54-Arterial_HOT!AP54</f>
        <v>0</v>
      </c>
      <c r="AQ54" s="12">
        <f>VISUM_Arterial_OD!AQ54-Arterial_Truck!AQ54-Arterial_HOT!AQ54</f>
        <v>0</v>
      </c>
      <c r="AR54" s="12">
        <f>VISUM_Arterial_OD!AR54-Arterial_Truck!AR54-Arterial_HOT!AR54</f>
        <v>0</v>
      </c>
      <c r="AS54" s="12">
        <f>VISUM_Arterial_OD!AS54-Arterial_Truck!AS54-Arterial_HOT!AS54</f>
        <v>0</v>
      </c>
      <c r="AT54" s="12">
        <f>VISUM_Arterial_OD!AT54-Arterial_Truck!AT54-Arterial_HOT!AT54</f>
        <v>0</v>
      </c>
      <c r="AU54" s="12">
        <f>VISUM_Arterial_OD!AU54-Arterial_Truck!AU54-Arterial_HOT!AU54</f>
        <v>0</v>
      </c>
      <c r="AV54" s="12">
        <f>VISUM_Arterial_OD!AV54-Arterial_Truck!AV54-Arterial_HOT!AV54</f>
        <v>0</v>
      </c>
      <c r="AW54" s="12">
        <f>VISUM_Arterial_OD!AW54-Arterial_Truck!AW54-Arterial_HOT!AW54</f>
        <v>0</v>
      </c>
      <c r="AX54" s="12">
        <f>VISUM_Arterial_OD!AX54-Arterial_Truck!AX54-Arterial_HOT!AX54</f>
        <v>0</v>
      </c>
      <c r="AY54" s="12">
        <f>VISUM_Arterial_OD!AY54-Arterial_Truck!AY54-Arterial_HOT!AY54</f>
        <v>0</v>
      </c>
      <c r="AZ54" s="12">
        <f>VISUM_Arterial_OD!AZ54-Arterial_Truck!AZ54-Arterial_HOT!AZ54</f>
        <v>0</v>
      </c>
      <c r="BA54" s="12">
        <f>VISUM_Arterial_OD!BA54-Arterial_Truck!BA54-Arterial_HOT!BA54</f>
        <v>0</v>
      </c>
      <c r="BB54" s="12">
        <f>VISUM_Arterial_OD!BB54-Arterial_Truck!BB54-Arterial_HOT!BB54</f>
        <v>0</v>
      </c>
      <c r="BC54" s="12">
        <f>VISUM_Arterial_OD!BC54-Arterial_Truck!BC54-Arterial_HOT!BC54</f>
        <v>0</v>
      </c>
      <c r="BD54" s="12">
        <f>VISUM_Arterial_OD!BD54-Arterial_Truck!BD54-Arterial_HOT!BD54</f>
        <v>0</v>
      </c>
      <c r="BE54" s="12">
        <f>VISUM_Arterial_OD!BE54-Arterial_Truck!BE54-Arterial_HOT!BE54</f>
        <v>0</v>
      </c>
      <c r="BF54" s="12">
        <f>VISUM_Arterial_OD!BF54-Arterial_Truck!BF54-Arterial_HOT!BF54</f>
        <v>0</v>
      </c>
      <c r="BG54" s="12">
        <f>VISUM_Arterial_OD!BG54-Arterial_Truck!BG54-Arterial_HOT!BG54</f>
        <v>0</v>
      </c>
      <c r="BH54" s="12">
        <f>VISUM_Arterial_OD!BH54-Arterial_Truck!BH54-Arterial_HOT!BH54</f>
        <v>0</v>
      </c>
      <c r="BI54" s="12">
        <f>VISUM_Arterial_OD!BI54-Arterial_Truck!BI54-Arterial_HOT!BI54</f>
        <v>0</v>
      </c>
      <c r="BJ54" s="12">
        <f>VISUM_Arterial_OD!BJ54-Arterial_Truck!BJ54-Arterial_HOT!BJ54</f>
        <v>0</v>
      </c>
      <c r="BK54" s="12">
        <f>VISUM_Arterial_OD!BK54-Arterial_Truck!BK54-Arterial_HOT!BK54</f>
        <v>0</v>
      </c>
      <c r="BL54" s="12">
        <f>VISUM_Arterial_OD!BL54-Arterial_Truck!BL54-Arterial_HOT!BL54</f>
        <v>0</v>
      </c>
      <c r="BM54" s="12">
        <f>VISUM_Arterial_OD!BM54-Arterial_Truck!BM54-Arterial_HOT!BM54</f>
        <v>0</v>
      </c>
      <c r="BN54" s="12">
        <f>VISUM_Arterial_OD!BN54-Arterial_Truck!BN54-Arterial_HOT!BN54</f>
        <v>0</v>
      </c>
      <c r="BO54" s="12">
        <f>VISUM_Arterial_OD!BO54-Arterial_Truck!BO54-Arterial_HOT!BO54</f>
        <v>0</v>
      </c>
      <c r="BP54" s="12">
        <f>VISUM_Arterial_OD!BP54-Arterial_Truck!BP54-Arterial_HOT!BP54</f>
        <v>0</v>
      </c>
      <c r="BQ54" s="12">
        <f>VISUM_Arterial_OD!BQ54-Arterial_Truck!BQ54-Arterial_HOT!BQ54</f>
        <v>0</v>
      </c>
    </row>
    <row r="55" spans="1:69" x14ac:dyDescent="0.25">
      <c r="A55" s="5">
        <f>IF(VLOOKUP(B55,Arterial_Zone_Link_Mapping!$A:$C,2,FALSE)&lt;&gt;"",VLOOKUP(B55,Arterial_Zone_Link_Mapping!$A:$C,2,FALSE),"")</f>
        <v>61</v>
      </c>
      <c r="B55" s="5">
        <v>77</v>
      </c>
      <c r="C55" s="12">
        <f>VISUM_Arterial_OD!C55-Arterial_Truck!C55-Arterial_HOT!C55</f>
        <v>0</v>
      </c>
      <c r="D55" s="12">
        <f>VISUM_Arterial_OD!D55-Arterial_Truck!D55-Arterial_HOT!D55</f>
        <v>0</v>
      </c>
      <c r="E55" s="12">
        <f>VISUM_Arterial_OD!E55-Arterial_Truck!E55-Arterial_HOT!E55</f>
        <v>0</v>
      </c>
      <c r="F55" s="12">
        <f>VISUM_Arterial_OD!F55-Arterial_Truck!F55-Arterial_HOT!F55</f>
        <v>0</v>
      </c>
      <c r="G55" s="12">
        <f>VISUM_Arterial_OD!G55-Arterial_Truck!G55-Arterial_HOT!G55</f>
        <v>472.28827512999999</v>
      </c>
      <c r="H55" s="12">
        <f>VISUM_Arterial_OD!H55-Arterial_Truck!H55-Arterial_HOT!H55</f>
        <v>0</v>
      </c>
      <c r="I55" s="12">
        <f>VISUM_Arterial_OD!I55-Arterial_Truck!I55-Arterial_HOT!I55</f>
        <v>0</v>
      </c>
      <c r="J55" s="12">
        <f>VISUM_Arterial_OD!J55-Arterial_Truck!J55-Arterial_HOT!J55</f>
        <v>0</v>
      </c>
      <c r="K55" s="12">
        <f>VISUM_Arterial_OD!K55-Arterial_Truck!K55-Arterial_HOT!K55</f>
        <v>0</v>
      </c>
      <c r="L55" s="12">
        <f>VISUM_Arterial_OD!L55-Arterial_Truck!L55-Arterial_HOT!L55</f>
        <v>0</v>
      </c>
      <c r="M55" s="12">
        <f>VISUM_Arterial_OD!M55-Arterial_Truck!M55-Arterial_HOT!M55</f>
        <v>0</v>
      </c>
      <c r="N55" s="12">
        <f>VISUM_Arterial_OD!N55-Arterial_Truck!N55-Arterial_HOT!N55</f>
        <v>0</v>
      </c>
      <c r="O55" s="12">
        <f>VISUM_Arterial_OD!O55-Arterial_Truck!O55-Arterial_HOT!O55</f>
        <v>0</v>
      </c>
      <c r="P55" s="12">
        <f>VISUM_Arterial_OD!P55-Arterial_Truck!P55-Arterial_HOT!P55</f>
        <v>0</v>
      </c>
      <c r="Q55" s="12">
        <f>VISUM_Arterial_OD!Q55-Arterial_Truck!Q55-Arterial_HOT!Q55</f>
        <v>0</v>
      </c>
      <c r="R55" s="12">
        <f>VISUM_Arterial_OD!R55-Arterial_Truck!R55-Arterial_HOT!R55</f>
        <v>0</v>
      </c>
      <c r="S55" s="12">
        <f>VISUM_Arterial_OD!S55-Arterial_Truck!S55-Arterial_HOT!S55</f>
        <v>0</v>
      </c>
      <c r="T55" s="12">
        <f>VISUM_Arterial_OD!T55-Arterial_Truck!T55-Arterial_HOT!T55</f>
        <v>0</v>
      </c>
      <c r="U55" s="12">
        <f>VISUM_Arterial_OD!U55-Arterial_Truck!U55-Arterial_HOT!U55</f>
        <v>525.41238347000001</v>
      </c>
      <c r="V55" s="12">
        <f>VISUM_Arterial_OD!V55-Arterial_Truck!V55-Arterial_HOT!V55</f>
        <v>146.73791594000002</v>
      </c>
      <c r="W55" s="12">
        <f>VISUM_Arterial_OD!W55-Arterial_Truck!W55-Arterial_HOT!W55</f>
        <v>4.98075212</v>
      </c>
      <c r="X55" s="12">
        <f>VISUM_Arterial_OD!X55-Arterial_Truck!X55-Arterial_HOT!X55</f>
        <v>22.903752520000001</v>
      </c>
      <c r="Y55" s="12">
        <f>VISUM_Arterial_OD!Y55-Arterial_Truck!Y55-Arterial_HOT!Y55</f>
        <v>0</v>
      </c>
      <c r="Z55" s="12">
        <f>VISUM_Arterial_OD!Z55-Arterial_Truck!Z55-Arterial_HOT!Z55</f>
        <v>0</v>
      </c>
      <c r="AA55" s="12">
        <f>VISUM_Arterial_OD!AA55-Arterial_Truck!AA55-Arterial_HOT!AA55</f>
        <v>214.90114775000001</v>
      </c>
      <c r="AB55" s="12">
        <f>VISUM_Arterial_OD!AB55-Arterial_Truck!AB55-Arterial_HOT!AB55</f>
        <v>0</v>
      </c>
      <c r="AC55" s="12">
        <f>VISUM_Arterial_OD!AC55-Arterial_Truck!AC55-Arterial_HOT!AC55</f>
        <v>0</v>
      </c>
      <c r="AD55" s="12">
        <f>VISUM_Arterial_OD!AD55-Arterial_Truck!AD55-Arterial_HOT!AD55</f>
        <v>0</v>
      </c>
      <c r="AE55" s="12">
        <f>VISUM_Arterial_OD!AE55-Arterial_Truck!AE55-Arterial_HOT!AE55</f>
        <v>0</v>
      </c>
      <c r="AF55" s="12">
        <f>VISUM_Arterial_OD!AF55-Arterial_Truck!AF55-Arterial_HOT!AF55</f>
        <v>0</v>
      </c>
      <c r="AG55" s="12">
        <f>VISUM_Arterial_OD!AG55-Arterial_Truck!AG55-Arterial_HOT!AG55</f>
        <v>0</v>
      </c>
      <c r="AH55" s="12">
        <f>VISUM_Arterial_OD!AH55-Arterial_Truck!AH55-Arterial_HOT!AH55</f>
        <v>0</v>
      </c>
      <c r="AI55" s="12">
        <f>VISUM_Arterial_OD!AI55-Arterial_Truck!AI55-Arterial_HOT!AI55</f>
        <v>0</v>
      </c>
      <c r="AJ55" s="12">
        <f>VISUM_Arterial_OD!AJ55-Arterial_Truck!AJ55-Arterial_HOT!AJ55</f>
        <v>0</v>
      </c>
      <c r="AK55" s="12">
        <f>VISUM_Arterial_OD!AK55-Arterial_Truck!AK55-Arterial_HOT!AK55</f>
        <v>0</v>
      </c>
      <c r="AL55" s="12">
        <f>VISUM_Arterial_OD!AL55-Arterial_Truck!AL55-Arterial_HOT!AL55</f>
        <v>0</v>
      </c>
      <c r="AM55" s="12">
        <f>VISUM_Arterial_OD!AM55-Arterial_Truck!AM55-Arterial_HOT!AM55</f>
        <v>0</v>
      </c>
      <c r="AN55" s="12">
        <f>VISUM_Arterial_OD!AN55-Arterial_Truck!AN55-Arterial_HOT!AN55</f>
        <v>0</v>
      </c>
      <c r="AO55" s="12">
        <f>VISUM_Arterial_OD!AO55-Arterial_Truck!AO55-Arterial_HOT!AO55</f>
        <v>0</v>
      </c>
      <c r="AP55" s="12">
        <f>VISUM_Arterial_OD!AP55-Arterial_Truck!AP55-Arterial_HOT!AP55</f>
        <v>0</v>
      </c>
      <c r="AQ55" s="12">
        <f>VISUM_Arterial_OD!AQ55-Arterial_Truck!AQ55-Arterial_HOT!AQ55</f>
        <v>0</v>
      </c>
      <c r="AR55" s="12">
        <f>VISUM_Arterial_OD!AR55-Arterial_Truck!AR55-Arterial_HOT!AR55</f>
        <v>0</v>
      </c>
      <c r="AS55" s="12">
        <f>VISUM_Arterial_OD!AS55-Arterial_Truck!AS55-Arterial_HOT!AS55</f>
        <v>0</v>
      </c>
      <c r="AT55" s="12">
        <f>VISUM_Arterial_OD!AT55-Arterial_Truck!AT55-Arterial_HOT!AT55</f>
        <v>0</v>
      </c>
      <c r="AU55" s="12">
        <f>VISUM_Arterial_OD!AU55-Arterial_Truck!AU55-Arterial_HOT!AU55</f>
        <v>0</v>
      </c>
      <c r="AV55" s="12">
        <f>VISUM_Arterial_OD!AV55-Arterial_Truck!AV55-Arterial_HOT!AV55</f>
        <v>0</v>
      </c>
      <c r="AW55" s="12">
        <f>VISUM_Arterial_OD!AW55-Arterial_Truck!AW55-Arterial_HOT!AW55</f>
        <v>0</v>
      </c>
      <c r="AX55" s="12">
        <f>VISUM_Arterial_OD!AX55-Arterial_Truck!AX55-Arterial_HOT!AX55</f>
        <v>0</v>
      </c>
      <c r="AY55" s="12">
        <f>VISUM_Arterial_OD!AY55-Arterial_Truck!AY55-Arterial_HOT!AY55</f>
        <v>0</v>
      </c>
      <c r="AZ55" s="12">
        <f>VISUM_Arterial_OD!AZ55-Arterial_Truck!AZ55-Arterial_HOT!AZ55</f>
        <v>0</v>
      </c>
      <c r="BA55" s="12">
        <f>VISUM_Arterial_OD!BA55-Arterial_Truck!BA55-Arterial_HOT!BA55</f>
        <v>0</v>
      </c>
      <c r="BB55" s="12">
        <f>VISUM_Arterial_OD!BB55-Arterial_Truck!BB55-Arterial_HOT!BB55</f>
        <v>0</v>
      </c>
      <c r="BC55" s="12">
        <f>VISUM_Arterial_OD!BC55-Arterial_Truck!BC55-Arterial_HOT!BC55</f>
        <v>0</v>
      </c>
      <c r="BD55" s="12">
        <f>VISUM_Arterial_OD!BD55-Arterial_Truck!BD55-Arterial_HOT!BD55</f>
        <v>0</v>
      </c>
      <c r="BE55" s="12">
        <f>VISUM_Arterial_OD!BE55-Arterial_Truck!BE55-Arterial_HOT!BE55</f>
        <v>0</v>
      </c>
      <c r="BF55" s="12">
        <f>VISUM_Arterial_OD!BF55-Arterial_Truck!BF55-Arterial_HOT!BF55</f>
        <v>0</v>
      </c>
      <c r="BG55" s="12">
        <f>VISUM_Arterial_OD!BG55-Arterial_Truck!BG55-Arterial_HOT!BG55</f>
        <v>0</v>
      </c>
      <c r="BH55" s="12">
        <f>VISUM_Arterial_OD!BH55-Arterial_Truck!BH55-Arterial_HOT!BH55</f>
        <v>0</v>
      </c>
      <c r="BI55" s="12">
        <f>VISUM_Arterial_OD!BI55-Arterial_Truck!BI55-Arterial_HOT!BI55</f>
        <v>0</v>
      </c>
      <c r="BJ55" s="12">
        <f>VISUM_Arterial_OD!BJ55-Arterial_Truck!BJ55-Arterial_HOT!BJ55</f>
        <v>0</v>
      </c>
      <c r="BK55" s="12">
        <f>VISUM_Arterial_OD!BK55-Arterial_Truck!BK55-Arterial_HOT!BK55</f>
        <v>0</v>
      </c>
      <c r="BL55" s="12">
        <f>VISUM_Arterial_OD!BL55-Arterial_Truck!BL55-Arterial_HOT!BL55</f>
        <v>0</v>
      </c>
      <c r="BM55" s="12">
        <f>VISUM_Arterial_OD!BM55-Arterial_Truck!BM55-Arterial_HOT!BM55</f>
        <v>0</v>
      </c>
      <c r="BN55" s="12">
        <f>VISUM_Arterial_OD!BN55-Arterial_Truck!BN55-Arterial_HOT!BN55</f>
        <v>0</v>
      </c>
      <c r="BO55" s="12">
        <f>VISUM_Arterial_OD!BO55-Arterial_Truck!BO55-Arterial_HOT!BO55</f>
        <v>0</v>
      </c>
      <c r="BP55" s="12">
        <f>VISUM_Arterial_OD!BP55-Arterial_Truck!BP55-Arterial_HOT!BP55</f>
        <v>0</v>
      </c>
      <c r="BQ55" s="12">
        <f>VISUM_Arterial_OD!BQ55-Arterial_Truck!BQ55-Arterial_HOT!BQ55</f>
        <v>0</v>
      </c>
    </row>
    <row r="56" spans="1:69" x14ac:dyDescent="0.25">
      <c r="A56" s="5">
        <f>IF(VLOOKUP(B56,Arterial_Zone_Link_Mapping!$A:$C,2,FALSE)&lt;&gt;"",VLOOKUP(B56,Arterial_Zone_Link_Mapping!$A:$C,2,FALSE),"")</f>
        <v>20040</v>
      </c>
      <c r="B56" s="5">
        <v>78</v>
      </c>
      <c r="C56" s="12">
        <f>VISUM_Arterial_OD!C56-Arterial_Truck!C56-Arterial_HOT!C56</f>
        <v>0</v>
      </c>
      <c r="D56" s="12">
        <f>VISUM_Arterial_OD!D56-Arterial_Truck!D56-Arterial_HOT!D56</f>
        <v>0</v>
      </c>
      <c r="E56" s="12">
        <f>VISUM_Arterial_OD!E56-Arterial_Truck!E56-Arterial_HOT!E56</f>
        <v>0</v>
      </c>
      <c r="F56" s="12">
        <f>VISUM_Arterial_OD!F56-Arterial_Truck!F56-Arterial_HOT!F56</f>
        <v>0</v>
      </c>
      <c r="G56" s="12">
        <f>VISUM_Arterial_OD!G56-Arterial_Truck!G56-Arterial_HOT!G56</f>
        <v>80.158698009999995</v>
      </c>
      <c r="H56" s="12">
        <f>VISUM_Arterial_OD!H56-Arterial_Truck!H56-Arterial_HOT!H56</f>
        <v>0</v>
      </c>
      <c r="I56" s="12">
        <f>VISUM_Arterial_OD!I56-Arterial_Truck!I56-Arterial_HOT!I56</f>
        <v>0</v>
      </c>
      <c r="J56" s="12">
        <f>VISUM_Arterial_OD!J56-Arterial_Truck!J56-Arterial_HOT!J56</f>
        <v>0</v>
      </c>
      <c r="K56" s="12">
        <f>VISUM_Arterial_OD!K56-Arterial_Truck!K56-Arterial_HOT!K56</f>
        <v>0</v>
      </c>
      <c r="L56" s="12">
        <f>VISUM_Arterial_OD!L56-Arterial_Truck!L56-Arterial_HOT!L56</f>
        <v>0</v>
      </c>
      <c r="M56" s="12">
        <f>VISUM_Arterial_OD!M56-Arterial_Truck!M56-Arterial_HOT!M56</f>
        <v>0</v>
      </c>
      <c r="N56" s="12">
        <f>VISUM_Arterial_OD!N56-Arterial_Truck!N56-Arterial_HOT!N56</f>
        <v>0</v>
      </c>
      <c r="O56" s="12">
        <f>VISUM_Arterial_OD!O56-Arterial_Truck!O56-Arterial_HOT!O56</f>
        <v>0</v>
      </c>
      <c r="P56" s="12">
        <f>VISUM_Arterial_OD!P56-Arterial_Truck!P56-Arterial_HOT!P56</f>
        <v>0</v>
      </c>
      <c r="Q56" s="12">
        <f>VISUM_Arterial_OD!Q56-Arterial_Truck!Q56-Arterial_HOT!Q56</f>
        <v>9.6279590700000011</v>
      </c>
      <c r="R56" s="12">
        <f>VISUM_Arterial_OD!R56-Arterial_Truck!R56-Arterial_HOT!R56</f>
        <v>0</v>
      </c>
      <c r="S56" s="12">
        <f>VISUM_Arterial_OD!S56-Arterial_Truck!S56-Arterial_HOT!S56</f>
        <v>0</v>
      </c>
      <c r="T56" s="12">
        <f>VISUM_Arterial_OD!T56-Arterial_Truck!T56-Arterial_HOT!T56</f>
        <v>0</v>
      </c>
      <c r="U56" s="12">
        <f>VISUM_Arterial_OD!U56-Arterial_Truck!U56-Arterial_HOT!U56</f>
        <v>119.76004605</v>
      </c>
      <c r="V56" s="12">
        <f>VISUM_Arterial_OD!V56-Arterial_Truck!V56-Arterial_HOT!V56</f>
        <v>26.860653150000001</v>
      </c>
      <c r="W56" s="12">
        <f>VISUM_Arterial_OD!W56-Arterial_Truck!W56-Arterial_HOT!W56</f>
        <v>51.569577609999996</v>
      </c>
      <c r="X56" s="12">
        <f>VISUM_Arterial_OD!X56-Arterial_Truck!X56-Arterial_HOT!X56</f>
        <v>23.374043440000001</v>
      </c>
      <c r="Y56" s="12">
        <f>VISUM_Arterial_OD!Y56-Arterial_Truck!Y56-Arterial_HOT!Y56</f>
        <v>0</v>
      </c>
      <c r="Z56" s="12">
        <f>VISUM_Arterial_OD!Z56-Arterial_Truck!Z56-Arterial_HOT!Z56</f>
        <v>0</v>
      </c>
      <c r="AA56" s="12">
        <f>VISUM_Arterial_OD!AA56-Arterial_Truck!AA56-Arterial_HOT!AA56</f>
        <v>318.88256754999998</v>
      </c>
      <c r="AB56" s="12">
        <f>VISUM_Arterial_OD!AB56-Arterial_Truck!AB56-Arterial_HOT!AB56</f>
        <v>0</v>
      </c>
      <c r="AC56" s="12">
        <f>VISUM_Arterial_OD!AC56-Arterial_Truck!AC56-Arterial_HOT!AC56</f>
        <v>0</v>
      </c>
      <c r="AD56" s="12">
        <f>VISUM_Arterial_OD!AD56-Arterial_Truck!AD56-Arterial_HOT!AD56</f>
        <v>0</v>
      </c>
      <c r="AE56" s="12">
        <f>VISUM_Arterial_OD!AE56-Arterial_Truck!AE56-Arterial_HOT!AE56</f>
        <v>0</v>
      </c>
      <c r="AF56" s="12">
        <f>VISUM_Arterial_OD!AF56-Arterial_Truck!AF56-Arterial_HOT!AF56</f>
        <v>0</v>
      </c>
      <c r="AG56" s="12">
        <f>VISUM_Arterial_OD!AG56-Arterial_Truck!AG56-Arterial_HOT!AG56</f>
        <v>0</v>
      </c>
      <c r="AH56" s="12">
        <f>VISUM_Arterial_OD!AH56-Arterial_Truck!AH56-Arterial_HOT!AH56</f>
        <v>0</v>
      </c>
      <c r="AI56" s="12">
        <f>VISUM_Arterial_OD!AI56-Arterial_Truck!AI56-Arterial_HOT!AI56</f>
        <v>0</v>
      </c>
      <c r="AJ56" s="12">
        <f>VISUM_Arterial_OD!AJ56-Arterial_Truck!AJ56-Arterial_HOT!AJ56</f>
        <v>0</v>
      </c>
      <c r="AK56" s="12">
        <f>VISUM_Arterial_OD!AK56-Arterial_Truck!AK56-Arterial_HOT!AK56</f>
        <v>0</v>
      </c>
      <c r="AL56" s="12">
        <f>VISUM_Arterial_OD!AL56-Arterial_Truck!AL56-Arterial_HOT!AL56</f>
        <v>0</v>
      </c>
      <c r="AM56" s="12">
        <f>VISUM_Arterial_OD!AM56-Arterial_Truck!AM56-Arterial_HOT!AM56</f>
        <v>0</v>
      </c>
      <c r="AN56" s="12">
        <f>VISUM_Arterial_OD!AN56-Arterial_Truck!AN56-Arterial_HOT!AN56</f>
        <v>0</v>
      </c>
      <c r="AO56" s="12">
        <f>VISUM_Arterial_OD!AO56-Arterial_Truck!AO56-Arterial_HOT!AO56</f>
        <v>0</v>
      </c>
      <c r="AP56" s="12">
        <f>VISUM_Arterial_OD!AP56-Arterial_Truck!AP56-Arterial_HOT!AP56</f>
        <v>0</v>
      </c>
      <c r="AQ56" s="12">
        <f>VISUM_Arterial_OD!AQ56-Arterial_Truck!AQ56-Arterial_HOT!AQ56</f>
        <v>0</v>
      </c>
      <c r="AR56" s="12">
        <f>VISUM_Arterial_OD!AR56-Arterial_Truck!AR56-Arterial_HOT!AR56</f>
        <v>0</v>
      </c>
      <c r="AS56" s="12">
        <f>VISUM_Arterial_OD!AS56-Arterial_Truck!AS56-Arterial_HOT!AS56</f>
        <v>0</v>
      </c>
      <c r="AT56" s="12">
        <f>VISUM_Arterial_OD!AT56-Arterial_Truck!AT56-Arterial_HOT!AT56</f>
        <v>0</v>
      </c>
      <c r="AU56" s="12">
        <f>VISUM_Arterial_OD!AU56-Arterial_Truck!AU56-Arterial_HOT!AU56</f>
        <v>0</v>
      </c>
      <c r="AV56" s="12">
        <f>VISUM_Arterial_OD!AV56-Arterial_Truck!AV56-Arterial_HOT!AV56</f>
        <v>0</v>
      </c>
      <c r="AW56" s="12">
        <f>VISUM_Arterial_OD!AW56-Arterial_Truck!AW56-Arterial_HOT!AW56</f>
        <v>0</v>
      </c>
      <c r="AX56" s="12">
        <f>VISUM_Arterial_OD!AX56-Arterial_Truck!AX56-Arterial_HOT!AX56</f>
        <v>0</v>
      </c>
      <c r="AY56" s="12">
        <f>VISUM_Arterial_OD!AY56-Arterial_Truck!AY56-Arterial_HOT!AY56</f>
        <v>0</v>
      </c>
      <c r="AZ56" s="12">
        <f>VISUM_Arterial_OD!AZ56-Arterial_Truck!AZ56-Arterial_HOT!AZ56</f>
        <v>0</v>
      </c>
      <c r="BA56" s="12">
        <f>VISUM_Arterial_OD!BA56-Arterial_Truck!BA56-Arterial_HOT!BA56</f>
        <v>0</v>
      </c>
      <c r="BB56" s="12">
        <f>VISUM_Arterial_OD!BB56-Arterial_Truck!BB56-Arterial_HOT!BB56</f>
        <v>0</v>
      </c>
      <c r="BC56" s="12">
        <f>VISUM_Arterial_OD!BC56-Arterial_Truck!BC56-Arterial_HOT!BC56</f>
        <v>0</v>
      </c>
      <c r="BD56" s="12">
        <f>VISUM_Arterial_OD!BD56-Arterial_Truck!BD56-Arterial_HOT!BD56</f>
        <v>0</v>
      </c>
      <c r="BE56" s="12">
        <f>VISUM_Arterial_OD!BE56-Arterial_Truck!BE56-Arterial_HOT!BE56</f>
        <v>0</v>
      </c>
      <c r="BF56" s="12">
        <f>VISUM_Arterial_OD!BF56-Arterial_Truck!BF56-Arterial_HOT!BF56</f>
        <v>0</v>
      </c>
      <c r="BG56" s="12">
        <f>VISUM_Arterial_OD!BG56-Arterial_Truck!BG56-Arterial_HOT!BG56</f>
        <v>0</v>
      </c>
      <c r="BH56" s="12">
        <f>VISUM_Arterial_OD!BH56-Arterial_Truck!BH56-Arterial_HOT!BH56</f>
        <v>0</v>
      </c>
      <c r="BI56" s="12">
        <f>VISUM_Arterial_OD!BI56-Arterial_Truck!BI56-Arterial_HOT!BI56</f>
        <v>0</v>
      </c>
      <c r="BJ56" s="12">
        <f>VISUM_Arterial_OD!BJ56-Arterial_Truck!BJ56-Arterial_HOT!BJ56</f>
        <v>0</v>
      </c>
      <c r="BK56" s="12">
        <f>VISUM_Arterial_OD!BK56-Arterial_Truck!BK56-Arterial_HOT!BK56</f>
        <v>0</v>
      </c>
      <c r="BL56" s="12">
        <f>VISUM_Arterial_OD!BL56-Arterial_Truck!BL56-Arterial_HOT!BL56</f>
        <v>0</v>
      </c>
      <c r="BM56" s="12">
        <f>VISUM_Arterial_OD!BM56-Arterial_Truck!BM56-Arterial_HOT!BM56</f>
        <v>0</v>
      </c>
      <c r="BN56" s="12">
        <f>VISUM_Arterial_OD!BN56-Arterial_Truck!BN56-Arterial_HOT!BN56</f>
        <v>0</v>
      </c>
      <c r="BO56" s="12">
        <f>VISUM_Arterial_OD!BO56-Arterial_Truck!BO56-Arterial_HOT!BO56</f>
        <v>0</v>
      </c>
      <c r="BP56" s="12">
        <f>VISUM_Arterial_OD!BP56-Arterial_Truck!BP56-Arterial_HOT!BP56</f>
        <v>0</v>
      </c>
      <c r="BQ56" s="12">
        <f>VISUM_Arterial_OD!BQ56-Arterial_Truck!BQ56-Arterial_HOT!BQ56</f>
        <v>0</v>
      </c>
    </row>
    <row r="57" spans="1:69" x14ac:dyDescent="0.25">
      <c r="A57" s="5" t="str">
        <f>IF(VLOOKUP(B57,Arterial_Zone_Link_Mapping!$A:$C,2,FALSE)&lt;&gt;"",VLOOKUP(B57,Arterial_Zone_Link_Mapping!$A:$C,2,FALSE),"")</f>
        <v/>
      </c>
      <c r="B57" s="5">
        <v>79</v>
      </c>
      <c r="C57" s="12">
        <f>VISUM_Arterial_OD!C57-Arterial_Truck!C57-Arterial_HOT!C57</f>
        <v>0</v>
      </c>
      <c r="D57" s="12">
        <f>VISUM_Arterial_OD!D57-Arterial_Truck!D57-Arterial_HOT!D57</f>
        <v>0</v>
      </c>
      <c r="E57" s="12">
        <f>VISUM_Arterial_OD!E57-Arterial_Truck!E57-Arterial_HOT!E57</f>
        <v>0</v>
      </c>
      <c r="F57" s="12">
        <f>VISUM_Arterial_OD!F57-Arterial_Truck!F57-Arterial_HOT!F57</f>
        <v>0</v>
      </c>
      <c r="G57" s="12">
        <f>VISUM_Arterial_OD!G57-Arterial_Truck!G57-Arterial_HOT!G57</f>
        <v>0</v>
      </c>
      <c r="H57" s="12">
        <f>VISUM_Arterial_OD!H57-Arterial_Truck!H57-Arterial_HOT!H57</f>
        <v>0</v>
      </c>
      <c r="I57" s="12">
        <f>VISUM_Arterial_OD!I57-Arterial_Truck!I57-Arterial_HOT!I57</f>
        <v>0</v>
      </c>
      <c r="J57" s="12">
        <f>VISUM_Arterial_OD!J57-Arterial_Truck!J57-Arterial_HOT!J57</f>
        <v>0</v>
      </c>
      <c r="K57" s="12">
        <f>VISUM_Arterial_OD!K57-Arterial_Truck!K57-Arterial_HOT!K57</f>
        <v>0</v>
      </c>
      <c r="L57" s="12">
        <f>VISUM_Arterial_OD!L57-Arterial_Truck!L57-Arterial_HOT!L57</f>
        <v>0</v>
      </c>
      <c r="M57" s="12">
        <f>VISUM_Arterial_OD!M57-Arterial_Truck!M57-Arterial_HOT!M57</f>
        <v>0</v>
      </c>
      <c r="N57" s="12">
        <f>VISUM_Arterial_OD!N57-Arterial_Truck!N57-Arterial_HOT!N57</f>
        <v>0</v>
      </c>
      <c r="O57" s="12">
        <f>VISUM_Arterial_OD!O57-Arterial_Truck!O57-Arterial_HOT!O57</f>
        <v>0</v>
      </c>
      <c r="P57" s="12">
        <f>VISUM_Arterial_OD!P57-Arterial_Truck!P57-Arterial_HOT!P57</f>
        <v>0</v>
      </c>
      <c r="Q57" s="12">
        <f>VISUM_Arterial_OD!Q57-Arterial_Truck!Q57-Arterial_HOT!Q57</f>
        <v>0</v>
      </c>
      <c r="R57" s="12">
        <f>VISUM_Arterial_OD!R57-Arterial_Truck!R57-Arterial_HOT!R57</f>
        <v>0</v>
      </c>
      <c r="S57" s="12">
        <f>VISUM_Arterial_OD!S57-Arterial_Truck!S57-Arterial_HOT!S57</f>
        <v>0</v>
      </c>
      <c r="T57" s="12">
        <f>VISUM_Arterial_OD!T57-Arterial_Truck!T57-Arterial_HOT!T57</f>
        <v>0</v>
      </c>
      <c r="U57" s="12">
        <f>VISUM_Arterial_OD!U57-Arterial_Truck!U57-Arterial_HOT!U57</f>
        <v>0</v>
      </c>
      <c r="V57" s="12">
        <f>VISUM_Arterial_OD!V57-Arterial_Truck!V57-Arterial_HOT!V57</f>
        <v>0</v>
      </c>
      <c r="W57" s="12">
        <f>VISUM_Arterial_OD!W57-Arterial_Truck!W57-Arterial_HOT!W57</f>
        <v>0</v>
      </c>
      <c r="X57" s="12">
        <f>VISUM_Arterial_OD!X57-Arterial_Truck!X57-Arterial_HOT!X57</f>
        <v>0</v>
      </c>
      <c r="Y57" s="12">
        <f>VISUM_Arterial_OD!Y57-Arterial_Truck!Y57-Arterial_HOT!Y57</f>
        <v>0</v>
      </c>
      <c r="Z57" s="12">
        <f>VISUM_Arterial_OD!Z57-Arterial_Truck!Z57-Arterial_HOT!Z57</f>
        <v>0</v>
      </c>
      <c r="AA57" s="12">
        <f>VISUM_Arterial_OD!AA57-Arterial_Truck!AA57-Arterial_HOT!AA57</f>
        <v>0</v>
      </c>
      <c r="AB57" s="12">
        <f>VISUM_Arterial_OD!AB57-Arterial_Truck!AB57-Arterial_HOT!AB57</f>
        <v>0</v>
      </c>
      <c r="AC57" s="12">
        <f>VISUM_Arterial_OD!AC57-Arterial_Truck!AC57-Arterial_HOT!AC57</f>
        <v>0</v>
      </c>
      <c r="AD57" s="12">
        <f>VISUM_Arterial_OD!AD57-Arterial_Truck!AD57-Arterial_HOT!AD57</f>
        <v>0</v>
      </c>
      <c r="AE57" s="12">
        <f>VISUM_Arterial_OD!AE57-Arterial_Truck!AE57-Arterial_HOT!AE57</f>
        <v>0</v>
      </c>
      <c r="AF57" s="12">
        <f>VISUM_Arterial_OD!AF57-Arterial_Truck!AF57-Arterial_HOT!AF57</f>
        <v>0</v>
      </c>
      <c r="AG57" s="12">
        <f>VISUM_Arterial_OD!AG57-Arterial_Truck!AG57-Arterial_HOT!AG57</f>
        <v>0</v>
      </c>
      <c r="AH57" s="12">
        <f>VISUM_Arterial_OD!AH57-Arterial_Truck!AH57-Arterial_HOT!AH57</f>
        <v>0</v>
      </c>
      <c r="AI57" s="12">
        <f>VISUM_Arterial_OD!AI57-Arterial_Truck!AI57-Arterial_HOT!AI57</f>
        <v>0</v>
      </c>
      <c r="AJ57" s="12">
        <f>VISUM_Arterial_OD!AJ57-Arterial_Truck!AJ57-Arterial_HOT!AJ57</f>
        <v>0</v>
      </c>
      <c r="AK57" s="12">
        <f>VISUM_Arterial_OD!AK57-Arterial_Truck!AK57-Arterial_HOT!AK57</f>
        <v>0</v>
      </c>
      <c r="AL57" s="12">
        <f>VISUM_Arterial_OD!AL57-Arterial_Truck!AL57-Arterial_HOT!AL57</f>
        <v>0</v>
      </c>
      <c r="AM57" s="12">
        <f>VISUM_Arterial_OD!AM57-Arterial_Truck!AM57-Arterial_HOT!AM57</f>
        <v>0</v>
      </c>
      <c r="AN57" s="12">
        <f>VISUM_Arterial_OD!AN57-Arterial_Truck!AN57-Arterial_HOT!AN57</f>
        <v>0</v>
      </c>
      <c r="AO57" s="12">
        <f>VISUM_Arterial_OD!AO57-Arterial_Truck!AO57-Arterial_HOT!AO57</f>
        <v>0</v>
      </c>
      <c r="AP57" s="12">
        <f>VISUM_Arterial_OD!AP57-Arterial_Truck!AP57-Arterial_HOT!AP57</f>
        <v>0</v>
      </c>
      <c r="AQ57" s="12">
        <f>VISUM_Arterial_OD!AQ57-Arterial_Truck!AQ57-Arterial_HOT!AQ57</f>
        <v>0</v>
      </c>
      <c r="AR57" s="12">
        <f>VISUM_Arterial_OD!AR57-Arterial_Truck!AR57-Arterial_HOT!AR57</f>
        <v>0</v>
      </c>
      <c r="AS57" s="12">
        <f>VISUM_Arterial_OD!AS57-Arterial_Truck!AS57-Arterial_HOT!AS57</f>
        <v>0</v>
      </c>
      <c r="AT57" s="12">
        <f>VISUM_Arterial_OD!AT57-Arterial_Truck!AT57-Arterial_HOT!AT57</f>
        <v>0</v>
      </c>
      <c r="AU57" s="12">
        <f>VISUM_Arterial_OD!AU57-Arterial_Truck!AU57-Arterial_HOT!AU57</f>
        <v>0</v>
      </c>
      <c r="AV57" s="12">
        <f>VISUM_Arterial_OD!AV57-Arterial_Truck!AV57-Arterial_HOT!AV57</f>
        <v>0</v>
      </c>
      <c r="AW57" s="12">
        <f>VISUM_Arterial_OD!AW57-Arterial_Truck!AW57-Arterial_HOT!AW57</f>
        <v>0</v>
      </c>
      <c r="AX57" s="12">
        <f>VISUM_Arterial_OD!AX57-Arterial_Truck!AX57-Arterial_HOT!AX57</f>
        <v>0</v>
      </c>
      <c r="AY57" s="12">
        <f>VISUM_Arterial_OD!AY57-Arterial_Truck!AY57-Arterial_HOT!AY57</f>
        <v>0</v>
      </c>
      <c r="AZ57" s="12">
        <f>VISUM_Arterial_OD!AZ57-Arterial_Truck!AZ57-Arterial_HOT!AZ57</f>
        <v>0</v>
      </c>
      <c r="BA57" s="12">
        <f>VISUM_Arterial_OD!BA57-Arterial_Truck!BA57-Arterial_HOT!BA57</f>
        <v>0</v>
      </c>
      <c r="BB57" s="12">
        <f>VISUM_Arterial_OD!BB57-Arterial_Truck!BB57-Arterial_HOT!BB57</f>
        <v>0</v>
      </c>
      <c r="BC57" s="12">
        <f>VISUM_Arterial_OD!BC57-Arterial_Truck!BC57-Arterial_HOT!BC57</f>
        <v>0</v>
      </c>
      <c r="BD57" s="12">
        <f>VISUM_Arterial_OD!BD57-Arterial_Truck!BD57-Arterial_HOT!BD57</f>
        <v>0</v>
      </c>
      <c r="BE57" s="12">
        <f>VISUM_Arterial_OD!BE57-Arterial_Truck!BE57-Arterial_HOT!BE57</f>
        <v>0</v>
      </c>
      <c r="BF57" s="12">
        <f>VISUM_Arterial_OD!BF57-Arterial_Truck!BF57-Arterial_HOT!BF57</f>
        <v>0</v>
      </c>
      <c r="BG57" s="12">
        <f>VISUM_Arterial_OD!BG57-Arterial_Truck!BG57-Arterial_HOT!BG57</f>
        <v>0</v>
      </c>
      <c r="BH57" s="12">
        <f>VISUM_Arterial_OD!BH57-Arterial_Truck!BH57-Arterial_HOT!BH57</f>
        <v>0</v>
      </c>
      <c r="BI57" s="12">
        <f>VISUM_Arterial_OD!BI57-Arterial_Truck!BI57-Arterial_HOT!BI57</f>
        <v>0</v>
      </c>
      <c r="BJ57" s="12">
        <f>VISUM_Arterial_OD!BJ57-Arterial_Truck!BJ57-Arterial_HOT!BJ57</f>
        <v>0</v>
      </c>
      <c r="BK57" s="12">
        <f>VISUM_Arterial_OD!BK57-Arterial_Truck!BK57-Arterial_HOT!BK57</f>
        <v>0</v>
      </c>
      <c r="BL57" s="12">
        <f>VISUM_Arterial_OD!BL57-Arterial_Truck!BL57-Arterial_HOT!BL57</f>
        <v>0</v>
      </c>
      <c r="BM57" s="12">
        <f>VISUM_Arterial_OD!BM57-Arterial_Truck!BM57-Arterial_HOT!BM57</f>
        <v>0</v>
      </c>
      <c r="BN57" s="12">
        <f>VISUM_Arterial_OD!BN57-Arterial_Truck!BN57-Arterial_HOT!BN57</f>
        <v>0</v>
      </c>
      <c r="BO57" s="12">
        <f>VISUM_Arterial_OD!BO57-Arterial_Truck!BO57-Arterial_HOT!BO57</f>
        <v>0</v>
      </c>
      <c r="BP57" s="12">
        <f>VISUM_Arterial_OD!BP57-Arterial_Truck!BP57-Arterial_HOT!BP57</f>
        <v>0</v>
      </c>
      <c r="BQ57" s="12">
        <f>VISUM_Arterial_OD!BQ57-Arterial_Truck!BQ57-Arterial_HOT!BQ57</f>
        <v>0</v>
      </c>
    </row>
    <row r="58" spans="1:69" x14ac:dyDescent="0.25">
      <c r="A58" s="5">
        <f>IF(VLOOKUP(B58,Arterial_Zone_Link_Mapping!$A:$C,2,FALSE)&lt;&gt;"",VLOOKUP(B58,Arterial_Zone_Link_Mapping!$A:$C,2,FALSE),"")</f>
        <v>466</v>
      </c>
      <c r="B58" s="5">
        <v>80</v>
      </c>
      <c r="C58" s="12">
        <f>VISUM_Arterial_OD!C58-Arterial_Truck!C58-Arterial_HOT!C58</f>
        <v>0</v>
      </c>
      <c r="D58" s="12">
        <f>VISUM_Arterial_OD!D58-Arterial_Truck!D58-Arterial_HOT!D58</f>
        <v>0</v>
      </c>
      <c r="E58" s="12">
        <f>VISUM_Arterial_OD!E58-Arterial_Truck!E58-Arterial_HOT!E58</f>
        <v>20.781571</v>
      </c>
      <c r="F58" s="12">
        <f>VISUM_Arterial_OD!F58-Arterial_Truck!F58-Arterial_HOT!F58</f>
        <v>0</v>
      </c>
      <c r="G58" s="12">
        <f>VISUM_Arterial_OD!G58-Arterial_Truck!G58-Arterial_HOT!G58</f>
        <v>0</v>
      </c>
      <c r="H58" s="12">
        <f>VISUM_Arterial_OD!H58-Arterial_Truck!H58-Arterial_HOT!H58</f>
        <v>0</v>
      </c>
      <c r="I58" s="12">
        <f>VISUM_Arterial_OD!I58-Arterial_Truck!I58-Arterial_HOT!I58</f>
        <v>0</v>
      </c>
      <c r="J58" s="12">
        <f>VISUM_Arterial_OD!J58-Arterial_Truck!J58-Arterial_HOT!J58</f>
        <v>0</v>
      </c>
      <c r="K58" s="12">
        <f>VISUM_Arterial_OD!K58-Arterial_Truck!K58-Arterial_HOT!K58</f>
        <v>0</v>
      </c>
      <c r="L58" s="12">
        <f>VISUM_Arterial_OD!L58-Arterial_Truck!L58-Arterial_HOT!L58</f>
        <v>0</v>
      </c>
      <c r="M58" s="12">
        <f>VISUM_Arterial_OD!M58-Arterial_Truck!M58-Arterial_HOT!M58</f>
        <v>53.147585249999999</v>
      </c>
      <c r="N58" s="12">
        <f>VISUM_Arterial_OD!N58-Arterial_Truck!N58-Arterial_HOT!N58</f>
        <v>429.89238812999997</v>
      </c>
      <c r="O58" s="12">
        <f>VISUM_Arterial_OD!O58-Arterial_Truck!O58-Arterial_HOT!O58</f>
        <v>0</v>
      </c>
      <c r="P58" s="12">
        <f>VISUM_Arterial_OD!P58-Arterial_Truck!P58-Arterial_HOT!P58</f>
        <v>0</v>
      </c>
      <c r="Q58" s="12">
        <f>VISUM_Arterial_OD!Q58-Arterial_Truck!Q58-Arterial_HOT!Q58</f>
        <v>0</v>
      </c>
      <c r="R58" s="12">
        <f>VISUM_Arterial_OD!R58-Arterial_Truck!R58-Arterial_HOT!R58</f>
        <v>0</v>
      </c>
      <c r="S58" s="12">
        <f>VISUM_Arterial_OD!S58-Arterial_Truck!S58-Arterial_HOT!S58</f>
        <v>0</v>
      </c>
      <c r="T58" s="12">
        <f>VISUM_Arterial_OD!T58-Arterial_Truck!T58-Arterial_HOT!T58</f>
        <v>0</v>
      </c>
      <c r="U58" s="12">
        <f>VISUM_Arterial_OD!U58-Arterial_Truck!U58-Arterial_HOT!U58</f>
        <v>0</v>
      </c>
      <c r="V58" s="12">
        <f>VISUM_Arterial_OD!V58-Arterial_Truck!V58-Arterial_HOT!V58</f>
        <v>0</v>
      </c>
      <c r="W58" s="12">
        <f>VISUM_Arterial_OD!W58-Arterial_Truck!W58-Arterial_HOT!W58</f>
        <v>0</v>
      </c>
      <c r="X58" s="12">
        <f>VISUM_Arterial_OD!X58-Arterial_Truck!X58-Arterial_HOT!X58</f>
        <v>0</v>
      </c>
      <c r="Y58" s="12">
        <f>VISUM_Arterial_OD!Y58-Arterial_Truck!Y58-Arterial_HOT!Y58</f>
        <v>182.91442774999999</v>
      </c>
      <c r="Z58" s="12">
        <f>VISUM_Arterial_OD!Z58-Arterial_Truck!Z58-Arterial_HOT!Z58</f>
        <v>0</v>
      </c>
      <c r="AA58" s="12">
        <f>VISUM_Arterial_OD!AA58-Arterial_Truck!AA58-Arterial_HOT!AA58</f>
        <v>0</v>
      </c>
      <c r="AB58" s="12">
        <f>VISUM_Arterial_OD!AB58-Arterial_Truck!AB58-Arterial_HOT!AB58</f>
        <v>0</v>
      </c>
      <c r="AC58" s="12">
        <f>VISUM_Arterial_OD!AC58-Arterial_Truck!AC58-Arterial_HOT!AC58</f>
        <v>0</v>
      </c>
      <c r="AD58" s="12">
        <f>VISUM_Arterial_OD!AD58-Arterial_Truck!AD58-Arterial_HOT!AD58</f>
        <v>0.10300914999999999</v>
      </c>
      <c r="AE58" s="12">
        <f>VISUM_Arterial_OD!AE58-Arterial_Truck!AE58-Arterial_HOT!AE58</f>
        <v>1.77334624</v>
      </c>
      <c r="AF58" s="12">
        <f>VISUM_Arterial_OD!AF58-Arterial_Truck!AF58-Arterial_HOT!AF58</f>
        <v>0</v>
      </c>
      <c r="AG58" s="12">
        <f>VISUM_Arterial_OD!AG58-Arterial_Truck!AG58-Arterial_HOT!AG58</f>
        <v>0</v>
      </c>
      <c r="AH58" s="12">
        <f>VISUM_Arterial_OD!AH58-Arterial_Truck!AH58-Arterial_HOT!AH58</f>
        <v>0</v>
      </c>
      <c r="AI58" s="12">
        <f>VISUM_Arterial_OD!AI58-Arterial_Truck!AI58-Arterial_HOT!AI58</f>
        <v>0</v>
      </c>
      <c r="AJ58" s="12">
        <f>VISUM_Arterial_OD!AJ58-Arterial_Truck!AJ58-Arterial_HOT!AJ58</f>
        <v>0</v>
      </c>
      <c r="AK58" s="12">
        <f>VISUM_Arterial_OD!AK58-Arterial_Truck!AK58-Arterial_HOT!AK58</f>
        <v>0</v>
      </c>
      <c r="AL58" s="12">
        <f>VISUM_Arterial_OD!AL58-Arterial_Truck!AL58-Arterial_HOT!AL58</f>
        <v>0</v>
      </c>
      <c r="AM58" s="12">
        <f>VISUM_Arterial_OD!AM58-Arterial_Truck!AM58-Arterial_HOT!AM58</f>
        <v>0</v>
      </c>
      <c r="AN58" s="12">
        <f>VISUM_Arterial_OD!AN58-Arterial_Truck!AN58-Arterial_HOT!AN58</f>
        <v>0</v>
      </c>
      <c r="AO58" s="12">
        <f>VISUM_Arterial_OD!AO58-Arterial_Truck!AO58-Arterial_HOT!AO58</f>
        <v>0</v>
      </c>
      <c r="AP58" s="12">
        <f>VISUM_Arterial_OD!AP58-Arterial_Truck!AP58-Arterial_HOT!AP58</f>
        <v>0</v>
      </c>
      <c r="AQ58" s="12">
        <f>VISUM_Arterial_OD!AQ58-Arterial_Truck!AQ58-Arterial_HOT!AQ58</f>
        <v>0</v>
      </c>
      <c r="AR58" s="12">
        <f>VISUM_Arterial_OD!AR58-Arterial_Truck!AR58-Arterial_HOT!AR58</f>
        <v>0</v>
      </c>
      <c r="AS58" s="12">
        <f>VISUM_Arterial_OD!AS58-Arterial_Truck!AS58-Arterial_HOT!AS58</f>
        <v>0</v>
      </c>
      <c r="AT58" s="12">
        <f>VISUM_Arterial_OD!AT58-Arterial_Truck!AT58-Arterial_HOT!AT58</f>
        <v>0</v>
      </c>
      <c r="AU58" s="12">
        <f>VISUM_Arterial_OD!AU58-Arterial_Truck!AU58-Arterial_HOT!AU58</f>
        <v>0</v>
      </c>
      <c r="AV58" s="12">
        <f>VISUM_Arterial_OD!AV58-Arterial_Truck!AV58-Arterial_HOT!AV58</f>
        <v>0</v>
      </c>
      <c r="AW58" s="12">
        <f>VISUM_Arterial_OD!AW58-Arterial_Truck!AW58-Arterial_HOT!AW58</f>
        <v>0</v>
      </c>
      <c r="AX58" s="12">
        <f>VISUM_Arterial_OD!AX58-Arterial_Truck!AX58-Arterial_HOT!AX58</f>
        <v>0</v>
      </c>
      <c r="AY58" s="12">
        <f>VISUM_Arterial_OD!AY58-Arterial_Truck!AY58-Arterial_HOT!AY58</f>
        <v>0</v>
      </c>
      <c r="AZ58" s="12">
        <f>VISUM_Arterial_OD!AZ58-Arterial_Truck!AZ58-Arterial_HOT!AZ58</f>
        <v>0</v>
      </c>
      <c r="BA58" s="12">
        <f>VISUM_Arterial_OD!BA58-Arterial_Truck!BA58-Arterial_HOT!BA58</f>
        <v>0</v>
      </c>
      <c r="BB58" s="12">
        <f>VISUM_Arterial_OD!BB58-Arterial_Truck!BB58-Arterial_HOT!BB58</f>
        <v>0</v>
      </c>
      <c r="BC58" s="12">
        <f>VISUM_Arterial_OD!BC58-Arterial_Truck!BC58-Arterial_HOT!BC58</f>
        <v>0</v>
      </c>
      <c r="BD58" s="12">
        <f>VISUM_Arterial_OD!BD58-Arterial_Truck!BD58-Arterial_HOT!BD58</f>
        <v>0</v>
      </c>
      <c r="BE58" s="12">
        <f>VISUM_Arterial_OD!BE58-Arterial_Truck!BE58-Arterial_HOT!BE58</f>
        <v>0</v>
      </c>
      <c r="BF58" s="12">
        <f>VISUM_Arterial_OD!BF58-Arterial_Truck!BF58-Arterial_HOT!BF58</f>
        <v>0</v>
      </c>
      <c r="BG58" s="12">
        <f>VISUM_Arterial_OD!BG58-Arterial_Truck!BG58-Arterial_HOT!BG58</f>
        <v>0</v>
      </c>
      <c r="BH58" s="12">
        <f>VISUM_Arterial_OD!BH58-Arterial_Truck!BH58-Arterial_HOT!BH58</f>
        <v>9.6999156099999997</v>
      </c>
      <c r="BI58" s="12">
        <f>VISUM_Arterial_OD!BI58-Arterial_Truck!BI58-Arterial_HOT!BI58</f>
        <v>0</v>
      </c>
      <c r="BJ58" s="12">
        <f>VISUM_Arterial_OD!BJ58-Arterial_Truck!BJ58-Arterial_HOT!BJ58</f>
        <v>0</v>
      </c>
      <c r="BK58" s="12">
        <f>VISUM_Arterial_OD!BK58-Arterial_Truck!BK58-Arterial_HOT!BK58</f>
        <v>0</v>
      </c>
      <c r="BL58" s="12">
        <f>VISUM_Arterial_OD!BL58-Arterial_Truck!BL58-Arterial_HOT!BL58</f>
        <v>0</v>
      </c>
      <c r="BM58" s="12">
        <f>VISUM_Arterial_OD!BM58-Arterial_Truck!BM58-Arterial_HOT!BM58</f>
        <v>0</v>
      </c>
      <c r="BN58" s="12">
        <f>VISUM_Arterial_OD!BN58-Arterial_Truck!BN58-Arterial_HOT!BN58</f>
        <v>0</v>
      </c>
      <c r="BO58" s="12">
        <f>VISUM_Arterial_OD!BO58-Arterial_Truck!BO58-Arterial_HOT!BO58</f>
        <v>0</v>
      </c>
      <c r="BP58" s="12">
        <f>VISUM_Arterial_OD!BP58-Arterial_Truck!BP58-Arterial_HOT!BP58</f>
        <v>0</v>
      </c>
      <c r="BQ58" s="12">
        <f>VISUM_Arterial_OD!BQ58-Arterial_Truck!BQ58-Arterial_HOT!BQ58</f>
        <v>0</v>
      </c>
    </row>
    <row r="59" spans="1:69" x14ac:dyDescent="0.25">
      <c r="A59" s="5" t="str">
        <f>IF(VLOOKUP(B59,Arterial_Zone_Link_Mapping!$A:$C,2,FALSE)&lt;&gt;"",VLOOKUP(B59,Arterial_Zone_Link_Mapping!$A:$C,2,FALSE),"")</f>
        <v/>
      </c>
      <c r="B59" s="5">
        <v>81</v>
      </c>
      <c r="C59" s="12">
        <f>VISUM_Arterial_OD!C59-Arterial_Truck!C59-Arterial_HOT!C59</f>
        <v>0</v>
      </c>
      <c r="D59" s="12">
        <f>VISUM_Arterial_OD!D59-Arterial_Truck!D59-Arterial_HOT!D59</f>
        <v>0</v>
      </c>
      <c r="E59" s="12">
        <f>VISUM_Arterial_OD!E59-Arterial_Truck!E59-Arterial_HOT!E59</f>
        <v>0</v>
      </c>
      <c r="F59" s="12">
        <f>VISUM_Arterial_OD!F59-Arterial_Truck!F59-Arterial_HOT!F59</f>
        <v>0</v>
      </c>
      <c r="G59" s="12">
        <f>VISUM_Arterial_OD!G59-Arterial_Truck!G59-Arterial_HOT!G59</f>
        <v>0</v>
      </c>
      <c r="H59" s="12">
        <f>VISUM_Arterial_OD!H59-Arterial_Truck!H59-Arterial_HOT!H59</f>
        <v>0</v>
      </c>
      <c r="I59" s="12">
        <f>VISUM_Arterial_OD!I59-Arterial_Truck!I59-Arterial_HOT!I59</f>
        <v>0</v>
      </c>
      <c r="J59" s="12">
        <f>VISUM_Arterial_OD!J59-Arterial_Truck!J59-Arterial_HOT!J59</f>
        <v>0</v>
      </c>
      <c r="K59" s="12">
        <f>VISUM_Arterial_OD!K59-Arterial_Truck!K59-Arterial_HOT!K59</f>
        <v>0</v>
      </c>
      <c r="L59" s="12">
        <f>VISUM_Arterial_OD!L59-Arterial_Truck!L59-Arterial_HOT!L59</f>
        <v>0</v>
      </c>
      <c r="M59" s="12">
        <f>VISUM_Arterial_OD!M59-Arterial_Truck!M59-Arterial_HOT!M59</f>
        <v>0</v>
      </c>
      <c r="N59" s="12">
        <f>VISUM_Arterial_OD!N59-Arterial_Truck!N59-Arterial_HOT!N59</f>
        <v>0</v>
      </c>
      <c r="O59" s="12">
        <f>VISUM_Arterial_OD!O59-Arterial_Truck!O59-Arterial_HOT!O59</f>
        <v>0</v>
      </c>
      <c r="P59" s="12">
        <f>VISUM_Arterial_OD!P59-Arterial_Truck!P59-Arterial_HOT!P59</f>
        <v>0</v>
      </c>
      <c r="Q59" s="12">
        <f>VISUM_Arterial_OD!Q59-Arterial_Truck!Q59-Arterial_HOT!Q59</f>
        <v>0</v>
      </c>
      <c r="R59" s="12">
        <f>VISUM_Arterial_OD!R59-Arterial_Truck!R59-Arterial_HOT!R59</f>
        <v>0</v>
      </c>
      <c r="S59" s="12">
        <f>VISUM_Arterial_OD!S59-Arterial_Truck!S59-Arterial_HOT!S59</f>
        <v>0</v>
      </c>
      <c r="T59" s="12">
        <f>VISUM_Arterial_OD!T59-Arterial_Truck!T59-Arterial_HOT!T59</f>
        <v>0</v>
      </c>
      <c r="U59" s="12">
        <f>VISUM_Arterial_OD!U59-Arterial_Truck!U59-Arterial_HOT!U59</f>
        <v>0</v>
      </c>
      <c r="V59" s="12">
        <f>VISUM_Arterial_OD!V59-Arterial_Truck!V59-Arterial_HOT!V59</f>
        <v>0</v>
      </c>
      <c r="W59" s="12">
        <f>VISUM_Arterial_OD!W59-Arterial_Truck!W59-Arterial_HOT!W59</f>
        <v>0</v>
      </c>
      <c r="X59" s="12">
        <f>VISUM_Arterial_OD!X59-Arterial_Truck!X59-Arterial_HOT!X59</f>
        <v>0</v>
      </c>
      <c r="Y59" s="12">
        <f>VISUM_Arterial_OD!Y59-Arterial_Truck!Y59-Arterial_HOT!Y59</f>
        <v>0</v>
      </c>
      <c r="Z59" s="12">
        <f>VISUM_Arterial_OD!Z59-Arterial_Truck!Z59-Arterial_HOT!Z59</f>
        <v>0</v>
      </c>
      <c r="AA59" s="12">
        <f>VISUM_Arterial_OD!AA59-Arterial_Truck!AA59-Arterial_HOT!AA59</f>
        <v>0</v>
      </c>
      <c r="AB59" s="12">
        <f>VISUM_Arterial_OD!AB59-Arterial_Truck!AB59-Arterial_HOT!AB59</f>
        <v>0</v>
      </c>
      <c r="AC59" s="12">
        <f>VISUM_Arterial_OD!AC59-Arterial_Truck!AC59-Arterial_HOT!AC59</f>
        <v>0</v>
      </c>
      <c r="AD59" s="12">
        <f>VISUM_Arterial_OD!AD59-Arterial_Truck!AD59-Arterial_HOT!AD59</f>
        <v>0</v>
      </c>
      <c r="AE59" s="12">
        <f>VISUM_Arterial_OD!AE59-Arterial_Truck!AE59-Arterial_HOT!AE59</f>
        <v>0</v>
      </c>
      <c r="AF59" s="12">
        <f>VISUM_Arterial_OD!AF59-Arterial_Truck!AF59-Arterial_HOT!AF59</f>
        <v>0</v>
      </c>
      <c r="AG59" s="12">
        <f>VISUM_Arterial_OD!AG59-Arterial_Truck!AG59-Arterial_HOT!AG59</f>
        <v>0</v>
      </c>
      <c r="AH59" s="12">
        <f>VISUM_Arterial_OD!AH59-Arterial_Truck!AH59-Arterial_HOT!AH59</f>
        <v>0</v>
      </c>
      <c r="AI59" s="12">
        <f>VISUM_Arterial_OD!AI59-Arterial_Truck!AI59-Arterial_HOT!AI59</f>
        <v>0</v>
      </c>
      <c r="AJ59" s="12">
        <f>VISUM_Arterial_OD!AJ59-Arterial_Truck!AJ59-Arterial_HOT!AJ59</f>
        <v>0</v>
      </c>
      <c r="AK59" s="12">
        <f>VISUM_Arterial_OD!AK59-Arterial_Truck!AK59-Arterial_HOT!AK59</f>
        <v>0</v>
      </c>
      <c r="AL59" s="12">
        <f>VISUM_Arterial_OD!AL59-Arterial_Truck!AL59-Arterial_HOT!AL59</f>
        <v>0</v>
      </c>
      <c r="AM59" s="12">
        <f>VISUM_Arterial_OD!AM59-Arterial_Truck!AM59-Arterial_HOT!AM59</f>
        <v>0</v>
      </c>
      <c r="AN59" s="12">
        <f>VISUM_Arterial_OD!AN59-Arterial_Truck!AN59-Arterial_HOT!AN59</f>
        <v>0</v>
      </c>
      <c r="AO59" s="12">
        <f>VISUM_Arterial_OD!AO59-Arterial_Truck!AO59-Arterial_HOT!AO59</f>
        <v>0</v>
      </c>
      <c r="AP59" s="12">
        <f>VISUM_Arterial_OD!AP59-Arterial_Truck!AP59-Arterial_HOT!AP59</f>
        <v>0</v>
      </c>
      <c r="AQ59" s="12">
        <f>VISUM_Arterial_OD!AQ59-Arterial_Truck!AQ59-Arterial_HOT!AQ59</f>
        <v>0</v>
      </c>
      <c r="AR59" s="12">
        <f>VISUM_Arterial_OD!AR59-Arterial_Truck!AR59-Arterial_HOT!AR59</f>
        <v>0</v>
      </c>
      <c r="AS59" s="12">
        <f>VISUM_Arterial_OD!AS59-Arterial_Truck!AS59-Arterial_HOT!AS59</f>
        <v>0</v>
      </c>
      <c r="AT59" s="12">
        <f>VISUM_Arterial_OD!AT59-Arterial_Truck!AT59-Arterial_HOT!AT59</f>
        <v>0</v>
      </c>
      <c r="AU59" s="12">
        <f>VISUM_Arterial_OD!AU59-Arterial_Truck!AU59-Arterial_HOT!AU59</f>
        <v>0</v>
      </c>
      <c r="AV59" s="12">
        <f>VISUM_Arterial_OD!AV59-Arterial_Truck!AV59-Arterial_HOT!AV59</f>
        <v>0</v>
      </c>
      <c r="AW59" s="12">
        <f>VISUM_Arterial_OD!AW59-Arterial_Truck!AW59-Arterial_HOT!AW59</f>
        <v>0</v>
      </c>
      <c r="AX59" s="12">
        <f>VISUM_Arterial_OD!AX59-Arterial_Truck!AX59-Arterial_HOT!AX59</f>
        <v>0</v>
      </c>
      <c r="AY59" s="12">
        <f>VISUM_Arterial_OD!AY59-Arterial_Truck!AY59-Arterial_HOT!AY59</f>
        <v>0</v>
      </c>
      <c r="AZ59" s="12">
        <f>VISUM_Arterial_OD!AZ59-Arterial_Truck!AZ59-Arterial_HOT!AZ59</f>
        <v>0</v>
      </c>
      <c r="BA59" s="12">
        <f>VISUM_Arterial_OD!BA59-Arterial_Truck!BA59-Arterial_HOT!BA59</f>
        <v>0</v>
      </c>
      <c r="BB59" s="12">
        <f>VISUM_Arterial_OD!BB59-Arterial_Truck!BB59-Arterial_HOT!BB59</f>
        <v>0</v>
      </c>
      <c r="BC59" s="12">
        <f>VISUM_Arterial_OD!BC59-Arterial_Truck!BC59-Arterial_HOT!BC59</f>
        <v>0</v>
      </c>
      <c r="BD59" s="12">
        <f>VISUM_Arterial_OD!BD59-Arterial_Truck!BD59-Arterial_HOT!BD59</f>
        <v>0</v>
      </c>
      <c r="BE59" s="12">
        <f>VISUM_Arterial_OD!BE59-Arterial_Truck!BE59-Arterial_HOT!BE59</f>
        <v>0</v>
      </c>
      <c r="BF59" s="12">
        <f>VISUM_Arterial_OD!BF59-Arterial_Truck!BF59-Arterial_HOT!BF59</f>
        <v>0</v>
      </c>
      <c r="BG59" s="12">
        <f>VISUM_Arterial_OD!BG59-Arterial_Truck!BG59-Arterial_HOT!BG59</f>
        <v>0</v>
      </c>
      <c r="BH59" s="12">
        <f>VISUM_Arterial_OD!BH59-Arterial_Truck!BH59-Arterial_HOT!BH59</f>
        <v>0</v>
      </c>
      <c r="BI59" s="12">
        <f>VISUM_Arterial_OD!BI59-Arterial_Truck!BI59-Arterial_HOT!BI59</f>
        <v>0</v>
      </c>
      <c r="BJ59" s="12">
        <f>VISUM_Arterial_OD!BJ59-Arterial_Truck!BJ59-Arterial_HOT!BJ59</f>
        <v>0</v>
      </c>
      <c r="BK59" s="12">
        <f>VISUM_Arterial_OD!BK59-Arterial_Truck!BK59-Arterial_HOT!BK59</f>
        <v>0</v>
      </c>
      <c r="BL59" s="12">
        <f>VISUM_Arterial_OD!BL59-Arterial_Truck!BL59-Arterial_HOT!BL59</f>
        <v>0</v>
      </c>
      <c r="BM59" s="12">
        <f>VISUM_Arterial_OD!BM59-Arterial_Truck!BM59-Arterial_HOT!BM59</f>
        <v>0</v>
      </c>
      <c r="BN59" s="12">
        <f>VISUM_Arterial_OD!BN59-Arterial_Truck!BN59-Arterial_HOT!BN59</f>
        <v>0</v>
      </c>
      <c r="BO59" s="12">
        <f>VISUM_Arterial_OD!BO59-Arterial_Truck!BO59-Arterial_HOT!BO59</f>
        <v>0</v>
      </c>
      <c r="BP59" s="12">
        <f>VISUM_Arterial_OD!BP59-Arterial_Truck!BP59-Arterial_HOT!BP59</f>
        <v>0</v>
      </c>
      <c r="BQ59" s="12">
        <f>VISUM_Arterial_OD!BQ59-Arterial_Truck!BQ59-Arterial_HOT!BQ59</f>
        <v>0</v>
      </c>
    </row>
    <row r="60" spans="1:69" x14ac:dyDescent="0.25">
      <c r="A60" s="5" t="str">
        <f>IF(VLOOKUP(B60,Arterial_Zone_Link_Mapping!$A:$C,2,FALSE)&lt;&gt;"",VLOOKUP(B60,Arterial_Zone_Link_Mapping!$A:$C,2,FALSE),"")</f>
        <v/>
      </c>
      <c r="B60" s="5">
        <v>82</v>
      </c>
      <c r="C60" s="12">
        <f>VISUM_Arterial_OD!C60-Arterial_Truck!C60-Arterial_HOT!C60</f>
        <v>0</v>
      </c>
      <c r="D60" s="12">
        <f>VISUM_Arterial_OD!D60-Arterial_Truck!D60-Arterial_HOT!D60</f>
        <v>0</v>
      </c>
      <c r="E60" s="12">
        <f>VISUM_Arterial_OD!E60-Arterial_Truck!E60-Arterial_HOT!E60</f>
        <v>0</v>
      </c>
      <c r="F60" s="12">
        <f>VISUM_Arterial_OD!F60-Arterial_Truck!F60-Arterial_HOT!F60</f>
        <v>0</v>
      </c>
      <c r="G60" s="12">
        <f>VISUM_Arterial_OD!G60-Arterial_Truck!G60-Arterial_HOT!G60</f>
        <v>0</v>
      </c>
      <c r="H60" s="12">
        <f>VISUM_Arterial_OD!H60-Arterial_Truck!H60-Arterial_HOT!H60</f>
        <v>0</v>
      </c>
      <c r="I60" s="12">
        <f>VISUM_Arterial_OD!I60-Arterial_Truck!I60-Arterial_HOT!I60</f>
        <v>0</v>
      </c>
      <c r="J60" s="12">
        <f>VISUM_Arterial_OD!J60-Arterial_Truck!J60-Arterial_HOT!J60</f>
        <v>0</v>
      </c>
      <c r="K60" s="12">
        <f>VISUM_Arterial_OD!K60-Arterial_Truck!K60-Arterial_HOT!K60</f>
        <v>0</v>
      </c>
      <c r="L60" s="12">
        <f>VISUM_Arterial_OD!L60-Arterial_Truck!L60-Arterial_HOT!L60</f>
        <v>0</v>
      </c>
      <c r="M60" s="12">
        <f>VISUM_Arterial_OD!M60-Arterial_Truck!M60-Arterial_HOT!M60</f>
        <v>0</v>
      </c>
      <c r="N60" s="12">
        <f>VISUM_Arterial_OD!N60-Arterial_Truck!N60-Arterial_HOT!N60</f>
        <v>0</v>
      </c>
      <c r="O60" s="12">
        <f>VISUM_Arterial_OD!O60-Arterial_Truck!O60-Arterial_HOT!O60</f>
        <v>0</v>
      </c>
      <c r="P60" s="12">
        <f>VISUM_Arterial_OD!P60-Arterial_Truck!P60-Arterial_HOT!P60</f>
        <v>0</v>
      </c>
      <c r="Q60" s="12">
        <f>VISUM_Arterial_OD!Q60-Arterial_Truck!Q60-Arterial_HOT!Q60</f>
        <v>0</v>
      </c>
      <c r="R60" s="12">
        <f>VISUM_Arterial_OD!R60-Arterial_Truck!R60-Arterial_HOT!R60</f>
        <v>0</v>
      </c>
      <c r="S60" s="12">
        <f>VISUM_Arterial_OD!S60-Arterial_Truck!S60-Arterial_HOT!S60</f>
        <v>0</v>
      </c>
      <c r="T60" s="12">
        <f>VISUM_Arterial_OD!T60-Arterial_Truck!T60-Arterial_HOT!T60</f>
        <v>0</v>
      </c>
      <c r="U60" s="12">
        <f>VISUM_Arterial_OD!U60-Arterial_Truck!U60-Arterial_HOT!U60</f>
        <v>0</v>
      </c>
      <c r="V60" s="12">
        <f>VISUM_Arterial_OD!V60-Arterial_Truck!V60-Arterial_HOT!V60</f>
        <v>0</v>
      </c>
      <c r="W60" s="12">
        <f>VISUM_Arterial_OD!W60-Arterial_Truck!W60-Arterial_HOT!W60</f>
        <v>0</v>
      </c>
      <c r="X60" s="12">
        <f>VISUM_Arterial_OD!X60-Arterial_Truck!X60-Arterial_HOT!X60</f>
        <v>0</v>
      </c>
      <c r="Y60" s="12">
        <f>VISUM_Arterial_OD!Y60-Arterial_Truck!Y60-Arterial_HOT!Y60</f>
        <v>0</v>
      </c>
      <c r="Z60" s="12">
        <f>VISUM_Arterial_OD!Z60-Arterial_Truck!Z60-Arterial_HOT!Z60</f>
        <v>0</v>
      </c>
      <c r="AA60" s="12">
        <f>VISUM_Arterial_OD!AA60-Arterial_Truck!AA60-Arterial_HOT!AA60</f>
        <v>0</v>
      </c>
      <c r="AB60" s="12">
        <f>VISUM_Arterial_OD!AB60-Arterial_Truck!AB60-Arterial_HOT!AB60</f>
        <v>0</v>
      </c>
      <c r="AC60" s="12">
        <f>VISUM_Arterial_OD!AC60-Arterial_Truck!AC60-Arterial_HOT!AC60</f>
        <v>0</v>
      </c>
      <c r="AD60" s="12">
        <f>VISUM_Arterial_OD!AD60-Arterial_Truck!AD60-Arterial_HOT!AD60</f>
        <v>0</v>
      </c>
      <c r="AE60" s="12">
        <f>VISUM_Arterial_OD!AE60-Arterial_Truck!AE60-Arterial_HOT!AE60</f>
        <v>0</v>
      </c>
      <c r="AF60" s="12">
        <f>VISUM_Arterial_OD!AF60-Arterial_Truck!AF60-Arterial_HOT!AF60</f>
        <v>0</v>
      </c>
      <c r="AG60" s="12">
        <f>VISUM_Arterial_OD!AG60-Arterial_Truck!AG60-Arterial_HOT!AG60</f>
        <v>0</v>
      </c>
      <c r="AH60" s="12">
        <f>VISUM_Arterial_OD!AH60-Arterial_Truck!AH60-Arterial_HOT!AH60</f>
        <v>0</v>
      </c>
      <c r="AI60" s="12">
        <f>VISUM_Arterial_OD!AI60-Arterial_Truck!AI60-Arterial_HOT!AI60</f>
        <v>0</v>
      </c>
      <c r="AJ60" s="12">
        <f>VISUM_Arterial_OD!AJ60-Arterial_Truck!AJ60-Arterial_HOT!AJ60</f>
        <v>0</v>
      </c>
      <c r="AK60" s="12">
        <f>VISUM_Arterial_OD!AK60-Arterial_Truck!AK60-Arterial_HOT!AK60</f>
        <v>0</v>
      </c>
      <c r="AL60" s="12">
        <f>VISUM_Arterial_OD!AL60-Arterial_Truck!AL60-Arterial_HOT!AL60</f>
        <v>0</v>
      </c>
      <c r="AM60" s="12">
        <f>VISUM_Arterial_OD!AM60-Arterial_Truck!AM60-Arterial_HOT!AM60</f>
        <v>0</v>
      </c>
      <c r="AN60" s="12">
        <f>VISUM_Arterial_OD!AN60-Arterial_Truck!AN60-Arterial_HOT!AN60</f>
        <v>0</v>
      </c>
      <c r="AO60" s="12">
        <f>VISUM_Arterial_OD!AO60-Arterial_Truck!AO60-Arterial_HOT!AO60</f>
        <v>0</v>
      </c>
      <c r="AP60" s="12">
        <f>VISUM_Arterial_OD!AP60-Arterial_Truck!AP60-Arterial_HOT!AP60</f>
        <v>0</v>
      </c>
      <c r="AQ60" s="12">
        <f>VISUM_Arterial_OD!AQ60-Arterial_Truck!AQ60-Arterial_HOT!AQ60</f>
        <v>0</v>
      </c>
      <c r="AR60" s="12">
        <f>VISUM_Arterial_OD!AR60-Arterial_Truck!AR60-Arterial_HOT!AR60</f>
        <v>0</v>
      </c>
      <c r="AS60" s="12">
        <f>VISUM_Arterial_OD!AS60-Arterial_Truck!AS60-Arterial_HOT!AS60</f>
        <v>0</v>
      </c>
      <c r="AT60" s="12">
        <f>VISUM_Arterial_OD!AT60-Arterial_Truck!AT60-Arterial_HOT!AT60</f>
        <v>0</v>
      </c>
      <c r="AU60" s="12">
        <f>VISUM_Arterial_OD!AU60-Arterial_Truck!AU60-Arterial_HOT!AU60</f>
        <v>0</v>
      </c>
      <c r="AV60" s="12">
        <f>VISUM_Arterial_OD!AV60-Arterial_Truck!AV60-Arterial_HOT!AV60</f>
        <v>0</v>
      </c>
      <c r="AW60" s="12">
        <f>VISUM_Arterial_OD!AW60-Arterial_Truck!AW60-Arterial_HOT!AW60</f>
        <v>0</v>
      </c>
      <c r="AX60" s="12">
        <f>VISUM_Arterial_OD!AX60-Arterial_Truck!AX60-Arterial_HOT!AX60</f>
        <v>0</v>
      </c>
      <c r="AY60" s="12">
        <f>VISUM_Arterial_OD!AY60-Arterial_Truck!AY60-Arterial_HOT!AY60</f>
        <v>0</v>
      </c>
      <c r="AZ60" s="12">
        <f>VISUM_Arterial_OD!AZ60-Arterial_Truck!AZ60-Arterial_HOT!AZ60</f>
        <v>0</v>
      </c>
      <c r="BA60" s="12">
        <f>VISUM_Arterial_OD!BA60-Arterial_Truck!BA60-Arterial_HOT!BA60</f>
        <v>0</v>
      </c>
      <c r="BB60" s="12">
        <f>VISUM_Arterial_OD!BB60-Arterial_Truck!BB60-Arterial_HOT!BB60</f>
        <v>0</v>
      </c>
      <c r="BC60" s="12">
        <f>VISUM_Arterial_OD!BC60-Arterial_Truck!BC60-Arterial_HOT!BC60</f>
        <v>0</v>
      </c>
      <c r="BD60" s="12">
        <f>VISUM_Arterial_OD!BD60-Arterial_Truck!BD60-Arterial_HOT!BD60</f>
        <v>0</v>
      </c>
      <c r="BE60" s="12">
        <f>VISUM_Arterial_OD!BE60-Arterial_Truck!BE60-Arterial_HOT!BE60</f>
        <v>0</v>
      </c>
      <c r="BF60" s="12">
        <f>VISUM_Arterial_OD!BF60-Arterial_Truck!BF60-Arterial_HOT!BF60</f>
        <v>0</v>
      </c>
      <c r="BG60" s="12">
        <f>VISUM_Arterial_OD!BG60-Arterial_Truck!BG60-Arterial_HOT!BG60</f>
        <v>0</v>
      </c>
      <c r="BH60" s="12">
        <f>VISUM_Arterial_OD!BH60-Arterial_Truck!BH60-Arterial_HOT!BH60</f>
        <v>0</v>
      </c>
      <c r="BI60" s="12">
        <f>VISUM_Arterial_OD!BI60-Arterial_Truck!BI60-Arterial_HOT!BI60</f>
        <v>0</v>
      </c>
      <c r="BJ60" s="12">
        <f>VISUM_Arterial_OD!BJ60-Arterial_Truck!BJ60-Arterial_HOT!BJ60</f>
        <v>0</v>
      </c>
      <c r="BK60" s="12">
        <f>VISUM_Arterial_OD!BK60-Arterial_Truck!BK60-Arterial_HOT!BK60</f>
        <v>0</v>
      </c>
      <c r="BL60" s="12">
        <f>VISUM_Arterial_OD!BL60-Arterial_Truck!BL60-Arterial_HOT!BL60</f>
        <v>0</v>
      </c>
      <c r="BM60" s="12">
        <f>VISUM_Arterial_OD!BM60-Arterial_Truck!BM60-Arterial_HOT!BM60</f>
        <v>0</v>
      </c>
      <c r="BN60" s="12">
        <f>VISUM_Arterial_OD!BN60-Arterial_Truck!BN60-Arterial_HOT!BN60</f>
        <v>0</v>
      </c>
      <c r="BO60" s="12">
        <f>VISUM_Arterial_OD!BO60-Arterial_Truck!BO60-Arterial_HOT!BO60</f>
        <v>0</v>
      </c>
      <c r="BP60" s="12">
        <f>VISUM_Arterial_OD!BP60-Arterial_Truck!BP60-Arterial_HOT!BP60</f>
        <v>0</v>
      </c>
      <c r="BQ60" s="12">
        <f>VISUM_Arterial_OD!BQ60-Arterial_Truck!BQ60-Arterial_HOT!BQ60</f>
        <v>0</v>
      </c>
    </row>
    <row r="61" spans="1:69" x14ac:dyDescent="0.25">
      <c r="A61" s="5">
        <f>IF(VLOOKUP(B61,Arterial_Zone_Link_Mapping!$A:$C,2,FALSE)&lt;&gt;"",VLOOKUP(B61,Arterial_Zone_Link_Mapping!$A:$C,2,FALSE),"")</f>
        <v>453</v>
      </c>
      <c r="B61" s="5">
        <v>83</v>
      </c>
      <c r="C61" s="12">
        <f>VISUM_Arterial_OD!C61-Arterial_Truck!C61-Arterial_HOT!C61</f>
        <v>0</v>
      </c>
      <c r="D61" s="12">
        <f>VISUM_Arterial_OD!D61-Arterial_Truck!D61-Arterial_HOT!D61</f>
        <v>0</v>
      </c>
      <c r="E61" s="12">
        <f>VISUM_Arterial_OD!E61-Arterial_Truck!E61-Arterial_HOT!E61</f>
        <v>80.844638360000005</v>
      </c>
      <c r="F61" s="12">
        <f>VISUM_Arterial_OD!F61-Arterial_Truck!F61-Arterial_HOT!F61</f>
        <v>57.03576623</v>
      </c>
      <c r="G61" s="12">
        <f>VISUM_Arterial_OD!G61-Arterial_Truck!G61-Arterial_HOT!G61</f>
        <v>0</v>
      </c>
      <c r="H61" s="12">
        <f>VISUM_Arterial_OD!H61-Arterial_Truck!H61-Arterial_HOT!H61</f>
        <v>0</v>
      </c>
      <c r="I61" s="12">
        <f>VISUM_Arterial_OD!I61-Arterial_Truck!I61-Arterial_HOT!I61</f>
        <v>0</v>
      </c>
      <c r="J61" s="12">
        <f>VISUM_Arterial_OD!J61-Arterial_Truck!J61-Arterial_HOT!J61</f>
        <v>0</v>
      </c>
      <c r="K61" s="12">
        <f>VISUM_Arterial_OD!K61-Arterial_Truck!K61-Arterial_HOT!K61</f>
        <v>0</v>
      </c>
      <c r="L61" s="12">
        <f>VISUM_Arterial_OD!L61-Arterial_Truck!L61-Arterial_HOT!L61</f>
        <v>0</v>
      </c>
      <c r="M61" s="12">
        <f>VISUM_Arterial_OD!M61-Arterial_Truck!M61-Arterial_HOT!M61</f>
        <v>329.26287995999996</v>
      </c>
      <c r="N61" s="12">
        <f>VISUM_Arterial_OD!N61-Arterial_Truck!N61-Arterial_HOT!N61</f>
        <v>142.84711693</v>
      </c>
      <c r="O61" s="12">
        <f>VISUM_Arterial_OD!O61-Arterial_Truck!O61-Arterial_HOT!O61</f>
        <v>0</v>
      </c>
      <c r="P61" s="12">
        <f>VISUM_Arterial_OD!P61-Arterial_Truck!P61-Arterial_HOT!P61</f>
        <v>0</v>
      </c>
      <c r="Q61" s="12">
        <f>VISUM_Arterial_OD!Q61-Arterial_Truck!Q61-Arterial_HOT!Q61</f>
        <v>0</v>
      </c>
      <c r="R61" s="12">
        <f>VISUM_Arterial_OD!R61-Arterial_Truck!R61-Arterial_HOT!R61</f>
        <v>0</v>
      </c>
      <c r="S61" s="12">
        <f>VISUM_Arterial_OD!S61-Arterial_Truck!S61-Arterial_HOT!S61</f>
        <v>0</v>
      </c>
      <c r="T61" s="12">
        <f>VISUM_Arterial_OD!T61-Arterial_Truck!T61-Arterial_HOT!T61</f>
        <v>0</v>
      </c>
      <c r="U61" s="12">
        <f>VISUM_Arterial_OD!U61-Arterial_Truck!U61-Arterial_HOT!U61</f>
        <v>0</v>
      </c>
      <c r="V61" s="12">
        <f>VISUM_Arterial_OD!V61-Arterial_Truck!V61-Arterial_HOT!V61</f>
        <v>0</v>
      </c>
      <c r="W61" s="12">
        <f>VISUM_Arterial_OD!W61-Arterial_Truck!W61-Arterial_HOT!W61</f>
        <v>0</v>
      </c>
      <c r="X61" s="12">
        <f>VISUM_Arterial_OD!X61-Arterial_Truck!X61-Arterial_HOT!X61</f>
        <v>0</v>
      </c>
      <c r="Y61" s="12">
        <f>VISUM_Arterial_OD!Y61-Arterial_Truck!Y61-Arterial_HOT!Y61</f>
        <v>42.440540949999999</v>
      </c>
      <c r="Z61" s="12">
        <f>VISUM_Arterial_OD!Z61-Arterial_Truck!Z61-Arterial_HOT!Z61</f>
        <v>0</v>
      </c>
      <c r="AA61" s="12">
        <f>VISUM_Arterial_OD!AA61-Arterial_Truck!AA61-Arterial_HOT!AA61</f>
        <v>0</v>
      </c>
      <c r="AB61" s="12">
        <f>VISUM_Arterial_OD!AB61-Arterial_Truck!AB61-Arterial_HOT!AB61</f>
        <v>0</v>
      </c>
      <c r="AC61" s="12">
        <f>VISUM_Arterial_OD!AC61-Arterial_Truck!AC61-Arterial_HOT!AC61</f>
        <v>0</v>
      </c>
      <c r="AD61" s="12">
        <f>VISUM_Arterial_OD!AD61-Arterial_Truck!AD61-Arterial_HOT!AD61</f>
        <v>2.51728774</v>
      </c>
      <c r="AE61" s="12">
        <f>VISUM_Arterial_OD!AE61-Arterial_Truck!AE61-Arterial_HOT!AE61</f>
        <v>5.2634770499999997</v>
      </c>
      <c r="AF61" s="12">
        <f>VISUM_Arterial_OD!AF61-Arterial_Truck!AF61-Arterial_HOT!AF61</f>
        <v>0</v>
      </c>
      <c r="AG61" s="12">
        <f>VISUM_Arterial_OD!AG61-Arterial_Truck!AG61-Arterial_HOT!AG61</f>
        <v>0</v>
      </c>
      <c r="AH61" s="12">
        <f>VISUM_Arterial_OD!AH61-Arterial_Truck!AH61-Arterial_HOT!AH61</f>
        <v>0</v>
      </c>
      <c r="AI61" s="12">
        <f>VISUM_Arterial_OD!AI61-Arterial_Truck!AI61-Arterial_HOT!AI61</f>
        <v>0</v>
      </c>
      <c r="AJ61" s="12">
        <f>VISUM_Arterial_OD!AJ61-Arterial_Truck!AJ61-Arterial_HOT!AJ61</f>
        <v>0</v>
      </c>
      <c r="AK61" s="12">
        <f>VISUM_Arterial_OD!AK61-Arterial_Truck!AK61-Arterial_HOT!AK61</f>
        <v>0</v>
      </c>
      <c r="AL61" s="12">
        <f>VISUM_Arterial_OD!AL61-Arterial_Truck!AL61-Arterial_HOT!AL61</f>
        <v>0</v>
      </c>
      <c r="AM61" s="12">
        <f>VISUM_Arterial_OD!AM61-Arterial_Truck!AM61-Arterial_HOT!AM61</f>
        <v>0</v>
      </c>
      <c r="AN61" s="12">
        <f>VISUM_Arterial_OD!AN61-Arterial_Truck!AN61-Arterial_HOT!AN61</f>
        <v>0</v>
      </c>
      <c r="AO61" s="12">
        <f>VISUM_Arterial_OD!AO61-Arterial_Truck!AO61-Arterial_HOT!AO61</f>
        <v>0</v>
      </c>
      <c r="AP61" s="12">
        <f>VISUM_Arterial_OD!AP61-Arterial_Truck!AP61-Arterial_HOT!AP61</f>
        <v>0</v>
      </c>
      <c r="AQ61" s="12">
        <f>VISUM_Arterial_OD!AQ61-Arterial_Truck!AQ61-Arterial_HOT!AQ61</f>
        <v>0</v>
      </c>
      <c r="AR61" s="12">
        <f>VISUM_Arterial_OD!AR61-Arterial_Truck!AR61-Arterial_HOT!AR61</f>
        <v>0</v>
      </c>
      <c r="AS61" s="12">
        <f>VISUM_Arterial_OD!AS61-Arterial_Truck!AS61-Arterial_HOT!AS61</f>
        <v>0</v>
      </c>
      <c r="AT61" s="12">
        <f>VISUM_Arterial_OD!AT61-Arterial_Truck!AT61-Arterial_HOT!AT61</f>
        <v>0</v>
      </c>
      <c r="AU61" s="12">
        <f>VISUM_Arterial_OD!AU61-Arterial_Truck!AU61-Arterial_HOT!AU61</f>
        <v>0</v>
      </c>
      <c r="AV61" s="12">
        <f>VISUM_Arterial_OD!AV61-Arterial_Truck!AV61-Arterial_HOT!AV61</f>
        <v>0</v>
      </c>
      <c r="AW61" s="12">
        <f>VISUM_Arterial_OD!AW61-Arterial_Truck!AW61-Arterial_HOT!AW61</f>
        <v>0</v>
      </c>
      <c r="AX61" s="12">
        <f>VISUM_Arterial_OD!AX61-Arterial_Truck!AX61-Arterial_HOT!AX61</f>
        <v>0</v>
      </c>
      <c r="AY61" s="12">
        <f>VISUM_Arterial_OD!AY61-Arterial_Truck!AY61-Arterial_HOT!AY61</f>
        <v>0</v>
      </c>
      <c r="AZ61" s="12">
        <f>VISUM_Arterial_OD!AZ61-Arterial_Truck!AZ61-Arterial_HOT!AZ61</f>
        <v>0</v>
      </c>
      <c r="BA61" s="12">
        <f>VISUM_Arterial_OD!BA61-Arterial_Truck!BA61-Arterial_HOT!BA61</f>
        <v>0</v>
      </c>
      <c r="BB61" s="12">
        <f>VISUM_Arterial_OD!BB61-Arterial_Truck!BB61-Arterial_HOT!BB61</f>
        <v>0</v>
      </c>
      <c r="BC61" s="12">
        <f>VISUM_Arterial_OD!BC61-Arterial_Truck!BC61-Arterial_HOT!BC61</f>
        <v>0</v>
      </c>
      <c r="BD61" s="12">
        <f>VISUM_Arterial_OD!BD61-Arterial_Truck!BD61-Arterial_HOT!BD61</f>
        <v>0</v>
      </c>
      <c r="BE61" s="12">
        <f>VISUM_Arterial_OD!BE61-Arterial_Truck!BE61-Arterial_HOT!BE61</f>
        <v>0</v>
      </c>
      <c r="BF61" s="12">
        <f>VISUM_Arterial_OD!BF61-Arterial_Truck!BF61-Arterial_HOT!BF61</f>
        <v>0</v>
      </c>
      <c r="BG61" s="12">
        <f>VISUM_Arterial_OD!BG61-Arterial_Truck!BG61-Arterial_HOT!BG61</f>
        <v>19.255920079999999</v>
      </c>
      <c r="BH61" s="12">
        <f>VISUM_Arterial_OD!BH61-Arterial_Truck!BH61-Arterial_HOT!BH61</f>
        <v>0</v>
      </c>
      <c r="BI61" s="12">
        <f>VISUM_Arterial_OD!BI61-Arterial_Truck!BI61-Arterial_HOT!BI61</f>
        <v>0</v>
      </c>
      <c r="BJ61" s="12">
        <f>VISUM_Arterial_OD!BJ61-Arterial_Truck!BJ61-Arterial_HOT!BJ61</f>
        <v>0</v>
      </c>
      <c r="BK61" s="12">
        <f>VISUM_Arterial_OD!BK61-Arterial_Truck!BK61-Arterial_HOT!BK61</f>
        <v>0</v>
      </c>
      <c r="BL61" s="12">
        <f>VISUM_Arterial_OD!BL61-Arterial_Truck!BL61-Arterial_HOT!BL61</f>
        <v>0</v>
      </c>
      <c r="BM61" s="12">
        <f>VISUM_Arterial_OD!BM61-Arterial_Truck!BM61-Arterial_HOT!BM61</f>
        <v>0</v>
      </c>
      <c r="BN61" s="12">
        <f>VISUM_Arterial_OD!BN61-Arterial_Truck!BN61-Arterial_HOT!BN61</f>
        <v>0</v>
      </c>
      <c r="BO61" s="12">
        <f>VISUM_Arterial_OD!BO61-Arterial_Truck!BO61-Arterial_HOT!BO61</f>
        <v>0</v>
      </c>
      <c r="BP61" s="12">
        <f>VISUM_Arterial_OD!BP61-Arterial_Truck!BP61-Arterial_HOT!BP61</f>
        <v>0</v>
      </c>
      <c r="BQ61" s="12">
        <f>VISUM_Arterial_OD!BQ61-Arterial_Truck!BQ61-Arterial_HOT!BQ61</f>
        <v>0</v>
      </c>
    </row>
    <row r="62" spans="1:69" x14ac:dyDescent="0.25">
      <c r="A62" s="5">
        <f>IF(VLOOKUP(B62,Arterial_Zone_Link_Mapping!$A:$C,2,FALSE)&lt;&gt;"",VLOOKUP(B62,Arterial_Zone_Link_Mapping!$A:$C,2,FALSE),"")</f>
        <v>348</v>
      </c>
      <c r="B62" s="5">
        <v>84</v>
      </c>
      <c r="C62" s="12">
        <f>VISUM_Arterial_OD!C62-Arterial_Truck!C62-Arterial_HOT!C62</f>
        <v>0</v>
      </c>
      <c r="D62" s="12">
        <f>VISUM_Arterial_OD!D62-Arterial_Truck!D62-Arterial_HOT!D62</f>
        <v>0</v>
      </c>
      <c r="E62" s="12">
        <f>VISUM_Arterial_OD!E62-Arterial_Truck!E62-Arterial_HOT!E62</f>
        <v>0</v>
      </c>
      <c r="F62" s="12">
        <f>VISUM_Arterial_OD!F62-Arterial_Truck!F62-Arterial_HOT!F62</f>
        <v>0</v>
      </c>
      <c r="G62" s="12">
        <f>VISUM_Arterial_OD!G62-Arterial_Truck!G62-Arterial_HOT!G62</f>
        <v>0</v>
      </c>
      <c r="H62" s="12">
        <f>VISUM_Arterial_OD!H62-Arterial_Truck!H62-Arterial_HOT!H62</f>
        <v>54.596784649999996</v>
      </c>
      <c r="I62" s="12">
        <f>VISUM_Arterial_OD!I62-Arterial_Truck!I62-Arterial_HOT!I62</f>
        <v>55.822084770000004</v>
      </c>
      <c r="J62" s="12">
        <f>VISUM_Arterial_OD!J62-Arterial_Truck!J62-Arterial_HOT!J62</f>
        <v>0</v>
      </c>
      <c r="K62" s="12">
        <f>VISUM_Arterial_OD!K62-Arterial_Truck!K62-Arterial_HOT!K62</f>
        <v>0</v>
      </c>
      <c r="L62" s="12">
        <f>VISUM_Arterial_OD!L62-Arterial_Truck!L62-Arterial_HOT!L62</f>
        <v>0</v>
      </c>
      <c r="M62" s="12">
        <f>VISUM_Arterial_OD!M62-Arterial_Truck!M62-Arterial_HOT!M62</f>
        <v>0</v>
      </c>
      <c r="N62" s="12">
        <f>VISUM_Arterial_OD!N62-Arterial_Truck!N62-Arterial_HOT!N62</f>
        <v>0</v>
      </c>
      <c r="O62" s="12">
        <f>VISUM_Arterial_OD!O62-Arterial_Truck!O62-Arterial_HOT!O62</f>
        <v>0</v>
      </c>
      <c r="P62" s="12">
        <f>VISUM_Arterial_OD!P62-Arterial_Truck!P62-Arterial_HOT!P62</f>
        <v>0</v>
      </c>
      <c r="Q62" s="12">
        <f>VISUM_Arterial_OD!Q62-Arterial_Truck!Q62-Arterial_HOT!Q62</f>
        <v>0</v>
      </c>
      <c r="R62" s="12">
        <f>VISUM_Arterial_OD!R62-Arterial_Truck!R62-Arterial_HOT!R62</f>
        <v>0</v>
      </c>
      <c r="S62" s="12">
        <f>VISUM_Arterial_OD!S62-Arterial_Truck!S62-Arterial_HOT!S62</f>
        <v>0</v>
      </c>
      <c r="T62" s="12">
        <f>VISUM_Arterial_OD!T62-Arterial_Truck!T62-Arterial_HOT!T62</f>
        <v>0</v>
      </c>
      <c r="U62" s="12">
        <f>VISUM_Arterial_OD!U62-Arterial_Truck!U62-Arterial_HOT!U62</f>
        <v>0</v>
      </c>
      <c r="V62" s="12">
        <f>VISUM_Arterial_OD!V62-Arterial_Truck!V62-Arterial_HOT!V62</f>
        <v>0</v>
      </c>
      <c r="W62" s="12">
        <f>VISUM_Arterial_OD!W62-Arterial_Truck!W62-Arterial_HOT!W62</f>
        <v>0</v>
      </c>
      <c r="X62" s="12">
        <f>VISUM_Arterial_OD!X62-Arterial_Truck!X62-Arterial_HOT!X62</f>
        <v>0</v>
      </c>
      <c r="Y62" s="12">
        <f>VISUM_Arterial_OD!Y62-Arterial_Truck!Y62-Arterial_HOT!Y62</f>
        <v>0</v>
      </c>
      <c r="Z62" s="12">
        <f>VISUM_Arterial_OD!Z62-Arterial_Truck!Z62-Arterial_HOT!Z62</f>
        <v>0</v>
      </c>
      <c r="AA62" s="12">
        <f>VISUM_Arterial_OD!AA62-Arterial_Truck!AA62-Arterial_HOT!AA62</f>
        <v>0</v>
      </c>
      <c r="AB62" s="12">
        <f>VISUM_Arterial_OD!AB62-Arterial_Truck!AB62-Arterial_HOT!AB62</f>
        <v>0</v>
      </c>
      <c r="AC62" s="12">
        <f>VISUM_Arterial_OD!AC62-Arterial_Truck!AC62-Arterial_HOT!AC62</f>
        <v>0</v>
      </c>
      <c r="AD62" s="12">
        <f>VISUM_Arterial_OD!AD62-Arterial_Truck!AD62-Arterial_HOT!AD62</f>
        <v>0</v>
      </c>
      <c r="AE62" s="12">
        <f>VISUM_Arterial_OD!AE62-Arterial_Truck!AE62-Arterial_HOT!AE62</f>
        <v>0</v>
      </c>
      <c r="AF62" s="12">
        <f>VISUM_Arterial_OD!AF62-Arterial_Truck!AF62-Arterial_HOT!AF62</f>
        <v>0</v>
      </c>
      <c r="AG62" s="12">
        <f>VISUM_Arterial_OD!AG62-Arterial_Truck!AG62-Arterial_HOT!AG62</f>
        <v>0</v>
      </c>
      <c r="AH62" s="12">
        <f>VISUM_Arterial_OD!AH62-Arterial_Truck!AH62-Arterial_HOT!AH62</f>
        <v>0</v>
      </c>
      <c r="AI62" s="12">
        <f>VISUM_Arterial_OD!AI62-Arterial_Truck!AI62-Arterial_HOT!AI62</f>
        <v>0</v>
      </c>
      <c r="AJ62" s="12">
        <f>VISUM_Arterial_OD!AJ62-Arterial_Truck!AJ62-Arterial_HOT!AJ62</f>
        <v>0</v>
      </c>
      <c r="AK62" s="12">
        <f>VISUM_Arterial_OD!AK62-Arterial_Truck!AK62-Arterial_HOT!AK62</f>
        <v>0</v>
      </c>
      <c r="AL62" s="12">
        <f>VISUM_Arterial_OD!AL62-Arterial_Truck!AL62-Arterial_HOT!AL62</f>
        <v>0</v>
      </c>
      <c r="AM62" s="12">
        <f>VISUM_Arterial_OD!AM62-Arterial_Truck!AM62-Arterial_HOT!AM62</f>
        <v>0</v>
      </c>
      <c r="AN62" s="12">
        <f>VISUM_Arterial_OD!AN62-Arterial_Truck!AN62-Arterial_HOT!AN62</f>
        <v>0</v>
      </c>
      <c r="AO62" s="12">
        <f>VISUM_Arterial_OD!AO62-Arterial_Truck!AO62-Arterial_HOT!AO62</f>
        <v>0</v>
      </c>
      <c r="AP62" s="12">
        <f>VISUM_Arterial_OD!AP62-Arterial_Truck!AP62-Arterial_HOT!AP62</f>
        <v>0</v>
      </c>
      <c r="AQ62" s="12">
        <f>VISUM_Arterial_OD!AQ62-Arterial_Truck!AQ62-Arterial_HOT!AQ62</f>
        <v>0</v>
      </c>
      <c r="AR62" s="12">
        <f>VISUM_Arterial_OD!AR62-Arterial_Truck!AR62-Arterial_HOT!AR62</f>
        <v>0</v>
      </c>
      <c r="AS62" s="12">
        <f>VISUM_Arterial_OD!AS62-Arterial_Truck!AS62-Arterial_HOT!AS62</f>
        <v>0</v>
      </c>
      <c r="AT62" s="12">
        <f>VISUM_Arterial_OD!AT62-Arterial_Truck!AT62-Arterial_HOT!AT62</f>
        <v>0</v>
      </c>
      <c r="AU62" s="12">
        <f>VISUM_Arterial_OD!AU62-Arterial_Truck!AU62-Arterial_HOT!AU62</f>
        <v>0</v>
      </c>
      <c r="AV62" s="12">
        <f>VISUM_Arterial_OD!AV62-Arterial_Truck!AV62-Arterial_HOT!AV62</f>
        <v>0</v>
      </c>
      <c r="AW62" s="12">
        <f>VISUM_Arterial_OD!AW62-Arterial_Truck!AW62-Arterial_HOT!AW62</f>
        <v>0</v>
      </c>
      <c r="AX62" s="12">
        <f>VISUM_Arterial_OD!AX62-Arterial_Truck!AX62-Arterial_HOT!AX62</f>
        <v>0</v>
      </c>
      <c r="AY62" s="12">
        <f>VISUM_Arterial_OD!AY62-Arterial_Truck!AY62-Arterial_HOT!AY62</f>
        <v>0</v>
      </c>
      <c r="AZ62" s="12">
        <f>VISUM_Arterial_OD!AZ62-Arterial_Truck!AZ62-Arterial_HOT!AZ62</f>
        <v>64.759254999999996</v>
      </c>
      <c r="BA62" s="12">
        <f>VISUM_Arterial_OD!BA62-Arterial_Truck!BA62-Arterial_HOT!BA62</f>
        <v>0</v>
      </c>
      <c r="BB62" s="12">
        <f>VISUM_Arterial_OD!BB62-Arterial_Truck!BB62-Arterial_HOT!BB62</f>
        <v>16.406648000000001</v>
      </c>
      <c r="BC62" s="12">
        <f>VISUM_Arterial_OD!BC62-Arterial_Truck!BC62-Arterial_HOT!BC62</f>
        <v>0</v>
      </c>
      <c r="BD62" s="12">
        <f>VISUM_Arterial_OD!BD62-Arterial_Truck!BD62-Arterial_HOT!BD62</f>
        <v>0</v>
      </c>
      <c r="BE62" s="12">
        <f>VISUM_Arterial_OD!BE62-Arterial_Truck!BE62-Arterial_HOT!BE62</f>
        <v>0</v>
      </c>
      <c r="BF62" s="12">
        <f>VISUM_Arterial_OD!BF62-Arterial_Truck!BF62-Arterial_HOT!BF62</f>
        <v>0</v>
      </c>
      <c r="BG62" s="12">
        <f>VISUM_Arterial_OD!BG62-Arterial_Truck!BG62-Arterial_HOT!BG62</f>
        <v>0</v>
      </c>
      <c r="BH62" s="12">
        <f>VISUM_Arterial_OD!BH62-Arterial_Truck!BH62-Arterial_HOT!BH62</f>
        <v>0</v>
      </c>
      <c r="BI62" s="12">
        <f>VISUM_Arterial_OD!BI62-Arterial_Truck!BI62-Arterial_HOT!BI62</f>
        <v>0</v>
      </c>
      <c r="BJ62" s="12">
        <f>VISUM_Arterial_OD!BJ62-Arterial_Truck!BJ62-Arterial_HOT!BJ62</f>
        <v>0</v>
      </c>
      <c r="BK62" s="12">
        <f>VISUM_Arterial_OD!BK62-Arterial_Truck!BK62-Arterial_HOT!BK62</f>
        <v>28.71132682</v>
      </c>
      <c r="BL62" s="12">
        <f>VISUM_Arterial_OD!BL62-Arterial_Truck!BL62-Arterial_HOT!BL62</f>
        <v>7.7598176400000005</v>
      </c>
      <c r="BM62" s="12">
        <f>VISUM_Arterial_OD!BM62-Arterial_Truck!BM62-Arterial_HOT!BM62</f>
        <v>0.98162253999999993</v>
      </c>
      <c r="BN62" s="12">
        <f>VISUM_Arterial_OD!BN62-Arterial_Truck!BN62-Arterial_HOT!BN62</f>
        <v>99.326731240000001</v>
      </c>
      <c r="BO62" s="12">
        <f>VISUM_Arterial_OD!BO62-Arterial_Truck!BO62-Arterial_HOT!BO62</f>
        <v>0</v>
      </c>
      <c r="BP62" s="12">
        <f>VISUM_Arterial_OD!BP62-Arterial_Truck!BP62-Arterial_HOT!BP62</f>
        <v>0</v>
      </c>
      <c r="BQ62" s="12">
        <f>VISUM_Arterial_OD!BQ62-Arterial_Truck!BQ62-Arterial_HOT!BQ62</f>
        <v>0</v>
      </c>
    </row>
    <row r="63" spans="1:69" x14ac:dyDescent="0.25">
      <c r="A63" s="5">
        <f>IF(VLOOKUP(B63,Arterial_Zone_Link_Mapping!$A:$C,2,FALSE)&lt;&gt;"",VLOOKUP(B63,Arterial_Zone_Link_Mapping!$A:$C,2,FALSE),"")</f>
        <v>125</v>
      </c>
      <c r="B63" s="5">
        <v>85</v>
      </c>
      <c r="C63" s="12">
        <f>VISUM_Arterial_OD!C63-Arterial_Truck!C63-Arterial_HOT!C63</f>
        <v>0</v>
      </c>
      <c r="D63" s="12">
        <f>VISUM_Arterial_OD!D63-Arterial_Truck!D63-Arterial_HOT!D63</f>
        <v>0</v>
      </c>
      <c r="E63" s="12">
        <f>VISUM_Arterial_OD!E63-Arterial_Truck!E63-Arterial_HOT!E63</f>
        <v>0</v>
      </c>
      <c r="F63" s="12">
        <f>VISUM_Arterial_OD!F63-Arterial_Truck!F63-Arterial_HOT!F63</f>
        <v>0</v>
      </c>
      <c r="G63" s="12">
        <f>VISUM_Arterial_OD!G63-Arterial_Truck!G63-Arterial_HOT!G63</f>
        <v>0</v>
      </c>
      <c r="H63" s="12">
        <f>VISUM_Arterial_OD!H63-Arterial_Truck!H63-Arterial_HOT!H63</f>
        <v>1.7873714700000001</v>
      </c>
      <c r="I63" s="12">
        <f>VISUM_Arterial_OD!I63-Arterial_Truck!I63-Arterial_HOT!I63</f>
        <v>1.8274858200000001</v>
      </c>
      <c r="J63" s="12">
        <f>VISUM_Arterial_OD!J63-Arterial_Truck!J63-Arterial_HOT!J63</f>
        <v>0</v>
      </c>
      <c r="K63" s="12">
        <f>VISUM_Arterial_OD!K63-Arterial_Truck!K63-Arterial_HOT!K63</f>
        <v>0</v>
      </c>
      <c r="L63" s="12">
        <f>VISUM_Arterial_OD!L63-Arterial_Truck!L63-Arterial_HOT!L63</f>
        <v>0</v>
      </c>
      <c r="M63" s="12">
        <f>VISUM_Arterial_OD!M63-Arterial_Truck!M63-Arterial_HOT!M63</f>
        <v>0</v>
      </c>
      <c r="N63" s="12">
        <f>VISUM_Arterial_OD!N63-Arterial_Truck!N63-Arterial_HOT!N63</f>
        <v>0</v>
      </c>
      <c r="O63" s="12">
        <f>VISUM_Arterial_OD!O63-Arterial_Truck!O63-Arterial_HOT!O63</f>
        <v>0</v>
      </c>
      <c r="P63" s="12">
        <f>VISUM_Arterial_OD!P63-Arterial_Truck!P63-Arterial_HOT!P63</f>
        <v>0</v>
      </c>
      <c r="Q63" s="12">
        <f>VISUM_Arterial_OD!Q63-Arterial_Truck!Q63-Arterial_HOT!Q63</f>
        <v>0</v>
      </c>
      <c r="R63" s="12">
        <f>VISUM_Arterial_OD!R63-Arterial_Truck!R63-Arterial_HOT!R63</f>
        <v>0</v>
      </c>
      <c r="S63" s="12">
        <f>VISUM_Arterial_OD!S63-Arterial_Truck!S63-Arterial_HOT!S63</f>
        <v>0</v>
      </c>
      <c r="T63" s="12">
        <f>VISUM_Arterial_OD!T63-Arterial_Truck!T63-Arterial_HOT!T63</f>
        <v>0</v>
      </c>
      <c r="U63" s="12">
        <f>VISUM_Arterial_OD!U63-Arterial_Truck!U63-Arterial_HOT!U63</f>
        <v>0</v>
      </c>
      <c r="V63" s="12">
        <f>VISUM_Arterial_OD!V63-Arterial_Truck!V63-Arterial_HOT!V63</f>
        <v>0</v>
      </c>
      <c r="W63" s="12">
        <f>VISUM_Arterial_OD!W63-Arterial_Truck!W63-Arterial_HOT!W63</f>
        <v>0</v>
      </c>
      <c r="X63" s="12">
        <f>VISUM_Arterial_OD!X63-Arterial_Truck!X63-Arterial_HOT!X63</f>
        <v>0</v>
      </c>
      <c r="Y63" s="12">
        <f>VISUM_Arterial_OD!Y63-Arterial_Truck!Y63-Arterial_HOT!Y63</f>
        <v>0</v>
      </c>
      <c r="Z63" s="12">
        <f>VISUM_Arterial_OD!Z63-Arterial_Truck!Z63-Arterial_HOT!Z63</f>
        <v>0</v>
      </c>
      <c r="AA63" s="12">
        <f>VISUM_Arterial_OD!AA63-Arterial_Truck!AA63-Arterial_HOT!AA63</f>
        <v>0</v>
      </c>
      <c r="AB63" s="12">
        <f>VISUM_Arterial_OD!AB63-Arterial_Truck!AB63-Arterial_HOT!AB63</f>
        <v>0</v>
      </c>
      <c r="AC63" s="12">
        <f>VISUM_Arterial_OD!AC63-Arterial_Truck!AC63-Arterial_HOT!AC63</f>
        <v>0</v>
      </c>
      <c r="AD63" s="12">
        <f>VISUM_Arterial_OD!AD63-Arterial_Truck!AD63-Arterial_HOT!AD63</f>
        <v>0</v>
      </c>
      <c r="AE63" s="12">
        <f>VISUM_Arterial_OD!AE63-Arterial_Truck!AE63-Arterial_HOT!AE63</f>
        <v>0</v>
      </c>
      <c r="AF63" s="12">
        <f>VISUM_Arterial_OD!AF63-Arterial_Truck!AF63-Arterial_HOT!AF63</f>
        <v>0</v>
      </c>
      <c r="AG63" s="12">
        <f>VISUM_Arterial_OD!AG63-Arterial_Truck!AG63-Arterial_HOT!AG63</f>
        <v>0</v>
      </c>
      <c r="AH63" s="12">
        <f>VISUM_Arterial_OD!AH63-Arterial_Truck!AH63-Arterial_HOT!AH63</f>
        <v>0</v>
      </c>
      <c r="AI63" s="12">
        <f>VISUM_Arterial_OD!AI63-Arterial_Truck!AI63-Arterial_HOT!AI63</f>
        <v>0</v>
      </c>
      <c r="AJ63" s="12">
        <f>VISUM_Arterial_OD!AJ63-Arterial_Truck!AJ63-Arterial_HOT!AJ63</f>
        <v>0</v>
      </c>
      <c r="AK63" s="12">
        <f>VISUM_Arterial_OD!AK63-Arterial_Truck!AK63-Arterial_HOT!AK63</f>
        <v>0</v>
      </c>
      <c r="AL63" s="12">
        <f>VISUM_Arterial_OD!AL63-Arterial_Truck!AL63-Arterial_HOT!AL63</f>
        <v>0</v>
      </c>
      <c r="AM63" s="12">
        <f>VISUM_Arterial_OD!AM63-Arterial_Truck!AM63-Arterial_HOT!AM63</f>
        <v>0</v>
      </c>
      <c r="AN63" s="12">
        <f>VISUM_Arterial_OD!AN63-Arterial_Truck!AN63-Arterial_HOT!AN63</f>
        <v>0</v>
      </c>
      <c r="AO63" s="12">
        <f>VISUM_Arterial_OD!AO63-Arterial_Truck!AO63-Arterial_HOT!AO63</f>
        <v>0</v>
      </c>
      <c r="AP63" s="12">
        <f>VISUM_Arterial_OD!AP63-Arterial_Truck!AP63-Arterial_HOT!AP63</f>
        <v>0</v>
      </c>
      <c r="AQ63" s="12">
        <f>VISUM_Arterial_OD!AQ63-Arterial_Truck!AQ63-Arterial_HOT!AQ63</f>
        <v>0</v>
      </c>
      <c r="AR63" s="12">
        <f>VISUM_Arterial_OD!AR63-Arterial_Truck!AR63-Arterial_HOT!AR63</f>
        <v>0</v>
      </c>
      <c r="AS63" s="12">
        <f>VISUM_Arterial_OD!AS63-Arterial_Truck!AS63-Arterial_HOT!AS63</f>
        <v>0</v>
      </c>
      <c r="AT63" s="12">
        <f>VISUM_Arterial_OD!AT63-Arterial_Truck!AT63-Arterial_HOT!AT63</f>
        <v>0</v>
      </c>
      <c r="AU63" s="12">
        <f>VISUM_Arterial_OD!AU63-Arterial_Truck!AU63-Arterial_HOT!AU63</f>
        <v>0</v>
      </c>
      <c r="AV63" s="12">
        <f>VISUM_Arterial_OD!AV63-Arterial_Truck!AV63-Arterial_HOT!AV63</f>
        <v>0</v>
      </c>
      <c r="AW63" s="12">
        <f>VISUM_Arterial_OD!AW63-Arterial_Truck!AW63-Arterial_HOT!AW63</f>
        <v>0</v>
      </c>
      <c r="AX63" s="12">
        <f>VISUM_Arterial_OD!AX63-Arterial_Truck!AX63-Arterial_HOT!AX63</f>
        <v>0</v>
      </c>
      <c r="AY63" s="12">
        <f>VISUM_Arterial_OD!AY63-Arterial_Truck!AY63-Arterial_HOT!AY63</f>
        <v>0</v>
      </c>
      <c r="AZ63" s="12">
        <f>VISUM_Arterial_OD!AZ63-Arterial_Truck!AZ63-Arterial_HOT!AZ63</f>
        <v>1.42056</v>
      </c>
      <c r="BA63" s="12">
        <f>VISUM_Arterial_OD!BA63-Arterial_Truck!BA63-Arterial_HOT!BA63</f>
        <v>0</v>
      </c>
      <c r="BB63" s="12">
        <f>VISUM_Arterial_OD!BB63-Arterial_Truck!BB63-Arterial_HOT!BB63</f>
        <v>0.53711600000000004</v>
      </c>
      <c r="BC63" s="12">
        <f>VISUM_Arterial_OD!BC63-Arterial_Truck!BC63-Arterial_HOT!BC63</f>
        <v>0</v>
      </c>
      <c r="BD63" s="12">
        <f>VISUM_Arterial_OD!BD63-Arterial_Truck!BD63-Arterial_HOT!BD63</f>
        <v>0</v>
      </c>
      <c r="BE63" s="12">
        <f>VISUM_Arterial_OD!BE63-Arterial_Truck!BE63-Arterial_HOT!BE63</f>
        <v>0</v>
      </c>
      <c r="BF63" s="12">
        <f>VISUM_Arterial_OD!BF63-Arterial_Truck!BF63-Arterial_HOT!BF63</f>
        <v>0</v>
      </c>
      <c r="BG63" s="12">
        <f>VISUM_Arterial_OD!BG63-Arterial_Truck!BG63-Arterial_HOT!BG63</f>
        <v>0</v>
      </c>
      <c r="BH63" s="12">
        <f>VISUM_Arterial_OD!BH63-Arterial_Truck!BH63-Arterial_HOT!BH63</f>
        <v>0</v>
      </c>
      <c r="BI63" s="12">
        <f>VISUM_Arterial_OD!BI63-Arterial_Truck!BI63-Arterial_HOT!BI63</f>
        <v>0</v>
      </c>
      <c r="BJ63" s="12">
        <f>VISUM_Arterial_OD!BJ63-Arterial_Truck!BJ63-Arterial_HOT!BJ63</f>
        <v>3.9399750999999998</v>
      </c>
      <c r="BK63" s="12">
        <f>VISUM_Arterial_OD!BK63-Arterial_Truck!BK63-Arterial_HOT!BK63</f>
        <v>0</v>
      </c>
      <c r="BL63" s="12">
        <f>VISUM_Arterial_OD!BL63-Arterial_Truck!BL63-Arterial_HOT!BL63</f>
        <v>4.8499573199999997</v>
      </c>
      <c r="BM63" s="12">
        <f>VISUM_Arterial_OD!BM63-Arterial_Truck!BM63-Arterial_HOT!BM63</f>
        <v>0.24624905</v>
      </c>
      <c r="BN63" s="12">
        <f>VISUM_Arterial_OD!BN63-Arterial_Truck!BN63-Arterial_HOT!BN63</f>
        <v>101.84911147999999</v>
      </c>
      <c r="BO63" s="12">
        <f>VISUM_Arterial_OD!BO63-Arterial_Truck!BO63-Arterial_HOT!BO63</f>
        <v>0</v>
      </c>
      <c r="BP63" s="12">
        <f>VISUM_Arterial_OD!BP63-Arterial_Truck!BP63-Arterial_HOT!BP63</f>
        <v>0</v>
      </c>
      <c r="BQ63" s="12">
        <f>VISUM_Arterial_OD!BQ63-Arterial_Truck!BQ63-Arterial_HOT!BQ63</f>
        <v>0</v>
      </c>
    </row>
    <row r="64" spans="1:69" x14ac:dyDescent="0.25">
      <c r="A64" s="5">
        <f>IF(VLOOKUP(B64,Arterial_Zone_Link_Mapping!$A:$C,2,FALSE)&lt;&gt;"",VLOOKUP(B64,Arterial_Zone_Link_Mapping!$A:$C,2,FALSE),"")</f>
        <v>349</v>
      </c>
      <c r="B64" s="5">
        <v>86</v>
      </c>
      <c r="C64" s="12">
        <f>VISUM_Arterial_OD!C64-Arterial_Truck!C64-Arterial_HOT!C64</f>
        <v>0</v>
      </c>
      <c r="D64" s="12">
        <f>VISUM_Arterial_OD!D64-Arterial_Truck!D64-Arterial_HOT!D64</f>
        <v>0</v>
      </c>
      <c r="E64" s="12">
        <f>VISUM_Arterial_OD!E64-Arterial_Truck!E64-Arterial_HOT!E64</f>
        <v>0</v>
      </c>
      <c r="F64" s="12">
        <f>VISUM_Arterial_OD!F64-Arterial_Truck!F64-Arterial_HOT!F64</f>
        <v>0</v>
      </c>
      <c r="G64" s="12">
        <f>VISUM_Arterial_OD!G64-Arterial_Truck!G64-Arterial_HOT!G64</f>
        <v>0</v>
      </c>
      <c r="H64" s="12">
        <f>VISUM_Arterial_OD!H64-Arterial_Truck!H64-Arterial_HOT!H64</f>
        <v>18.467845520000001</v>
      </c>
      <c r="I64" s="12">
        <f>VISUM_Arterial_OD!I64-Arterial_Truck!I64-Arterial_HOT!I64</f>
        <v>18.882314880000003</v>
      </c>
      <c r="J64" s="12">
        <f>VISUM_Arterial_OD!J64-Arterial_Truck!J64-Arterial_HOT!J64</f>
        <v>0</v>
      </c>
      <c r="K64" s="12">
        <f>VISUM_Arterial_OD!K64-Arterial_Truck!K64-Arterial_HOT!K64</f>
        <v>0</v>
      </c>
      <c r="L64" s="12">
        <f>VISUM_Arterial_OD!L64-Arterial_Truck!L64-Arterial_HOT!L64</f>
        <v>0</v>
      </c>
      <c r="M64" s="12">
        <f>VISUM_Arterial_OD!M64-Arterial_Truck!M64-Arterial_HOT!M64</f>
        <v>0</v>
      </c>
      <c r="N64" s="12">
        <f>VISUM_Arterial_OD!N64-Arterial_Truck!N64-Arterial_HOT!N64</f>
        <v>0</v>
      </c>
      <c r="O64" s="12">
        <f>VISUM_Arterial_OD!O64-Arterial_Truck!O64-Arterial_HOT!O64</f>
        <v>0</v>
      </c>
      <c r="P64" s="12">
        <f>VISUM_Arterial_OD!P64-Arterial_Truck!P64-Arterial_HOT!P64</f>
        <v>0</v>
      </c>
      <c r="Q64" s="12">
        <f>VISUM_Arterial_OD!Q64-Arterial_Truck!Q64-Arterial_HOT!Q64</f>
        <v>0</v>
      </c>
      <c r="R64" s="12">
        <f>VISUM_Arterial_OD!R64-Arterial_Truck!R64-Arterial_HOT!R64</f>
        <v>0</v>
      </c>
      <c r="S64" s="12">
        <f>VISUM_Arterial_OD!S64-Arterial_Truck!S64-Arterial_HOT!S64</f>
        <v>0</v>
      </c>
      <c r="T64" s="12">
        <f>VISUM_Arterial_OD!T64-Arterial_Truck!T64-Arterial_HOT!T64</f>
        <v>0</v>
      </c>
      <c r="U64" s="12">
        <f>VISUM_Arterial_OD!U64-Arterial_Truck!U64-Arterial_HOT!U64</f>
        <v>0</v>
      </c>
      <c r="V64" s="12">
        <f>VISUM_Arterial_OD!V64-Arterial_Truck!V64-Arterial_HOT!V64</f>
        <v>0</v>
      </c>
      <c r="W64" s="12">
        <f>VISUM_Arterial_OD!W64-Arterial_Truck!W64-Arterial_HOT!W64</f>
        <v>0</v>
      </c>
      <c r="X64" s="12">
        <f>VISUM_Arterial_OD!X64-Arterial_Truck!X64-Arterial_HOT!X64</f>
        <v>0</v>
      </c>
      <c r="Y64" s="12">
        <f>VISUM_Arterial_OD!Y64-Arterial_Truck!Y64-Arterial_HOT!Y64</f>
        <v>0</v>
      </c>
      <c r="Z64" s="12">
        <f>VISUM_Arterial_OD!Z64-Arterial_Truck!Z64-Arterial_HOT!Z64</f>
        <v>0</v>
      </c>
      <c r="AA64" s="12">
        <f>VISUM_Arterial_OD!AA64-Arterial_Truck!AA64-Arterial_HOT!AA64</f>
        <v>0</v>
      </c>
      <c r="AB64" s="12">
        <f>VISUM_Arterial_OD!AB64-Arterial_Truck!AB64-Arterial_HOT!AB64</f>
        <v>0</v>
      </c>
      <c r="AC64" s="12">
        <f>VISUM_Arterial_OD!AC64-Arterial_Truck!AC64-Arterial_HOT!AC64</f>
        <v>0</v>
      </c>
      <c r="AD64" s="12">
        <f>VISUM_Arterial_OD!AD64-Arterial_Truck!AD64-Arterial_HOT!AD64</f>
        <v>0</v>
      </c>
      <c r="AE64" s="12">
        <f>VISUM_Arterial_OD!AE64-Arterial_Truck!AE64-Arterial_HOT!AE64</f>
        <v>0</v>
      </c>
      <c r="AF64" s="12">
        <f>VISUM_Arterial_OD!AF64-Arterial_Truck!AF64-Arterial_HOT!AF64</f>
        <v>0</v>
      </c>
      <c r="AG64" s="12">
        <f>VISUM_Arterial_OD!AG64-Arterial_Truck!AG64-Arterial_HOT!AG64</f>
        <v>0</v>
      </c>
      <c r="AH64" s="12">
        <f>VISUM_Arterial_OD!AH64-Arterial_Truck!AH64-Arterial_HOT!AH64</f>
        <v>0</v>
      </c>
      <c r="AI64" s="12">
        <f>VISUM_Arterial_OD!AI64-Arterial_Truck!AI64-Arterial_HOT!AI64</f>
        <v>0</v>
      </c>
      <c r="AJ64" s="12">
        <f>VISUM_Arterial_OD!AJ64-Arterial_Truck!AJ64-Arterial_HOT!AJ64</f>
        <v>0</v>
      </c>
      <c r="AK64" s="12">
        <f>VISUM_Arterial_OD!AK64-Arterial_Truck!AK64-Arterial_HOT!AK64</f>
        <v>0</v>
      </c>
      <c r="AL64" s="12">
        <f>VISUM_Arterial_OD!AL64-Arterial_Truck!AL64-Arterial_HOT!AL64</f>
        <v>0</v>
      </c>
      <c r="AM64" s="12">
        <f>VISUM_Arterial_OD!AM64-Arterial_Truck!AM64-Arterial_HOT!AM64</f>
        <v>0</v>
      </c>
      <c r="AN64" s="12">
        <f>VISUM_Arterial_OD!AN64-Arterial_Truck!AN64-Arterial_HOT!AN64</f>
        <v>0</v>
      </c>
      <c r="AO64" s="12">
        <f>VISUM_Arterial_OD!AO64-Arterial_Truck!AO64-Arterial_HOT!AO64</f>
        <v>0</v>
      </c>
      <c r="AP64" s="12">
        <f>VISUM_Arterial_OD!AP64-Arterial_Truck!AP64-Arterial_HOT!AP64</f>
        <v>0</v>
      </c>
      <c r="AQ64" s="12">
        <f>VISUM_Arterial_OD!AQ64-Arterial_Truck!AQ64-Arterial_HOT!AQ64</f>
        <v>0</v>
      </c>
      <c r="AR64" s="12">
        <f>VISUM_Arterial_OD!AR64-Arterial_Truck!AR64-Arterial_HOT!AR64</f>
        <v>0</v>
      </c>
      <c r="AS64" s="12">
        <f>VISUM_Arterial_OD!AS64-Arterial_Truck!AS64-Arterial_HOT!AS64</f>
        <v>0</v>
      </c>
      <c r="AT64" s="12">
        <f>VISUM_Arterial_OD!AT64-Arterial_Truck!AT64-Arterial_HOT!AT64</f>
        <v>0</v>
      </c>
      <c r="AU64" s="12">
        <f>VISUM_Arterial_OD!AU64-Arterial_Truck!AU64-Arterial_HOT!AU64</f>
        <v>0</v>
      </c>
      <c r="AV64" s="12">
        <f>VISUM_Arterial_OD!AV64-Arterial_Truck!AV64-Arterial_HOT!AV64</f>
        <v>0</v>
      </c>
      <c r="AW64" s="12">
        <f>VISUM_Arterial_OD!AW64-Arterial_Truck!AW64-Arterial_HOT!AW64</f>
        <v>0</v>
      </c>
      <c r="AX64" s="12">
        <f>VISUM_Arterial_OD!AX64-Arterial_Truck!AX64-Arterial_HOT!AX64</f>
        <v>0</v>
      </c>
      <c r="AY64" s="12">
        <f>VISUM_Arterial_OD!AY64-Arterial_Truck!AY64-Arterial_HOT!AY64</f>
        <v>0</v>
      </c>
      <c r="AZ64" s="12">
        <f>VISUM_Arterial_OD!AZ64-Arterial_Truck!AZ64-Arterial_HOT!AZ64</f>
        <v>21.349518</v>
      </c>
      <c r="BA64" s="12">
        <f>VISUM_Arterial_OD!BA64-Arterial_Truck!BA64-Arterial_HOT!BA64</f>
        <v>0</v>
      </c>
      <c r="BB64" s="12">
        <f>VISUM_Arterial_OD!BB64-Arterial_Truck!BB64-Arterial_HOT!BB64</f>
        <v>5.5496939999999997</v>
      </c>
      <c r="BC64" s="12">
        <f>VISUM_Arterial_OD!BC64-Arterial_Truck!BC64-Arterial_HOT!BC64</f>
        <v>0</v>
      </c>
      <c r="BD64" s="12">
        <f>VISUM_Arterial_OD!BD64-Arterial_Truck!BD64-Arterial_HOT!BD64</f>
        <v>0</v>
      </c>
      <c r="BE64" s="12">
        <f>VISUM_Arterial_OD!BE64-Arterial_Truck!BE64-Arterial_HOT!BE64</f>
        <v>0</v>
      </c>
      <c r="BF64" s="12">
        <f>VISUM_Arterial_OD!BF64-Arterial_Truck!BF64-Arterial_HOT!BF64</f>
        <v>0</v>
      </c>
      <c r="BG64" s="12">
        <f>VISUM_Arterial_OD!BG64-Arterial_Truck!BG64-Arterial_HOT!BG64</f>
        <v>0</v>
      </c>
      <c r="BH64" s="12">
        <f>VISUM_Arterial_OD!BH64-Arterial_Truck!BH64-Arterial_HOT!BH64</f>
        <v>0</v>
      </c>
      <c r="BI64" s="12">
        <f>VISUM_Arterial_OD!BI64-Arterial_Truck!BI64-Arterial_HOT!BI64</f>
        <v>0</v>
      </c>
      <c r="BJ64" s="12">
        <f>VISUM_Arterial_OD!BJ64-Arterial_Truck!BJ64-Arterial_HOT!BJ64</f>
        <v>40.709408140000001</v>
      </c>
      <c r="BK64" s="12">
        <f>VISUM_Arterial_OD!BK64-Arterial_Truck!BK64-Arterial_HOT!BK64</f>
        <v>14.549872930000001</v>
      </c>
      <c r="BL64" s="12">
        <f>VISUM_Arterial_OD!BL64-Arterial_Truck!BL64-Arterial_HOT!BL64</f>
        <v>0</v>
      </c>
      <c r="BM64" s="12">
        <f>VISUM_Arterial_OD!BM64-Arterial_Truck!BM64-Arterial_HOT!BM64</f>
        <v>2.5443381299999999</v>
      </c>
      <c r="BN64" s="12">
        <f>VISUM_Arterial_OD!BN64-Arterial_Truck!BN64-Arterial_HOT!BN64</f>
        <v>19.399830250000001</v>
      </c>
      <c r="BO64" s="12">
        <f>VISUM_Arterial_OD!BO64-Arterial_Truck!BO64-Arterial_HOT!BO64</f>
        <v>0</v>
      </c>
      <c r="BP64" s="12">
        <f>VISUM_Arterial_OD!BP64-Arterial_Truck!BP64-Arterial_HOT!BP64</f>
        <v>0</v>
      </c>
      <c r="BQ64" s="12">
        <f>VISUM_Arterial_OD!BQ64-Arterial_Truck!BQ64-Arterial_HOT!BQ64</f>
        <v>0</v>
      </c>
    </row>
    <row r="65" spans="1:69" x14ac:dyDescent="0.25">
      <c r="A65" s="5">
        <f>IF(VLOOKUP(B65,Arterial_Zone_Link_Mapping!$A:$C,2,FALSE)&lt;&gt;"",VLOOKUP(B65,Arterial_Zone_Link_Mapping!$A:$C,2,FALSE),"")</f>
        <v>256</v>
      </c>
      <c r="B65" s="5">
        <v>87</v>
      </c>
      <c r="C65" s="12">
        <f>VISUM_Arterial_OD!C65-Arterial_Truck!C65-Arterial_HOT!C65</f>
        <v>0</v>
      </c>
      <c r="D65" s="12">
        <f>VISUM_Arterial_OD!D65-Arterial_Truck!D65-Arterial_HOT!D65</f>
        <v>0</v>
      </c>
      <c r="E65" s="12">
        <f>VISUM_Arterial_OD!E65-Arterial_Truck!E65-Arterial_HOT!E65</f>
        <v>0</v>
      </c>
      <c r="F65" s="12">
        <f>VISUM_Arterial_OD!F65-Arterial_Truck!F65-Arterial_HOT!F65</f>
        <v>0</v>
      </c>
      <c r="G65" s="12">
        <f>VISUM_Arterial_OD!G65-Arterial_Truck!G65-Arterial_HOT!G65</f>
        <v>0</v>
      </c>
      <c r="H65" s="12">
        <f>VISUM_Arterial_OD!H65-Arterial_Truck!H65-Arterial_HOT!H65</f>
        <v>35.587949760000001</v>
      </c>
      <c r="I65" s="12">
        <f>VISUM_Arterial_OD!I65-Arterial_Truck!I65-Arterial_HOT!I65</f>
        <v>36.386639030000005</v>
      </c>
      <c r="J65" s="12">
        <f>VISUM_Arterial_OD!J65-Arterial_Truck!J65-Arterial_HOT!J65</f>
        <v>0</v>
      </c>
      <c r="K65" s="12">
        <f>VISUM_Arterial_OD!K65-Arterial_Truck!K65-Arterial_HOT!K65</f>
        <v>0</v>
      </c>
      <c r="L65" s="12">
        <f>VISUM_Arterial_OD!L65-Arterial_Truck!L65-Arterial_HOT!L65</f>
        <v>0</v>
      </c>
      <c r="M65" s="12">
        <f>VISUM_Arterial_OD!M65-Arterial_Truck!M65-Arterial_HOT!M65</f>
        <v>0</v>
      </c>
      <c r="N65" s="12">
        <f>VISUM_Arterial_OD!N65-Arterial_Truck!N65-Arterial_HOT!N65</f>
        <v>0</v>
      </c>
      <c r="O65" s="12">
        <f>VISUM_Arterial_OD!O65-Arterial_Truck!O65-Arterial_HOT!O65</f>
        <v>0</v>
      </c>
      <c r="P65" s="12">
        <f>VISUM_Arterial_OD!P65-Arterial_Truck!P65-Arterial_HOT!P65</f>
        <v>0</v>
      </c>
      <c r="Q65" s="12">
        <f>VISUM_Arterial_OD!Q65-Arterial_Truck!Q65-Arterial_HOT!Q65</f>
        <v>0</v>
      </c>
      <c r="R65" s="12">
        <f>VISUM_Arterial_OD!R65-Arterial_Truck!R65-Arterial_HOT!R65</f>
        <v>0</v>
      </c>
      <c r="S65" s="12">
        <f>VISUM_Arterial_OD!S65-Arterial_Truck!S65-Arterial_HOT!S65</f>
        <v>0</v>
      </c>
      <c r="T65" s="12">
        <f>VISUM_Arterial_OD!T65-Arterial_Truck!T65-Arterial_HOT!T65</f>
        <v>0</v>
      </c>
      <c r="U65" s="12">
        <f>VISUM_Arterial_OD!U65-Arterial_Truck!U65-Arterial_HOT!U65</f>
        <v>0</v>
      </c>
      <c r="V65" s="12">
        <f>VISUM_Arterial_OD!V65-Arterial_Truck!V65-Arterial_HOT!V65</f>
        <v>0</v>
      </c>
      <c r="W65" s="12">
        <f>VISUM_Arterial_OD!W65-Arterial_Truck!W65-Arterial_HOT!W65</f>
        <v>0</v>
      </c>
      <c r="X65" s="12">
        <f>VISUM_Arterial_OD!X65-Arterial_Truck!X65-Arterial_HOT!X65</f>
        <v>0</v>
      </c>
      <c r="Y65" s="12">
        <f>VISUM_Arterial_OD!Y65-Arterial_Truck!Y65-Arterial_HOT!Y65</f>
        <v>0</v>
      </c>
      <c r="Z65" s="12">
        <f>VISUM_Arterial_OD!Z65-Arterial_Truck!Z65-Arterial_HOT!Z65</f>
        <v>0</v>
      </c>
      <c r="AA65" s="12">
        <f>VISUM_Arterial_OD!AA65-Arterial_Truck!AA65-Arterial_HOT!AA65</f>
        <v>0</v>
      </c>
      <c r="AB65" s="12">
        <f>VISUM_Arterial_OD!AB65-Arterial_Truck!AB65-Arterial_HOT!AB65</f>
        <v>0</v>
      </c>
      <c r="AC65" s="12">
        <f>VISUM_Arterial_OD!AC65-Arterial_Truck!AC65-Arterial_HOT!AC65</f>
        <v>0</v>
      </c>
      <c r="AD65" s="12">
        <f>VISUM_Arterial_OD!AD65-Arterial_Truck!AD65-Arterial_HOT!AD65</f>
        <v>0</v>
      </c>
      <c r="AE65" s="12">
        <f>VISUM_Arterial_OD!AE65-Arterial_Truck!AE65-Arterial_HOT!AE65</f>
        <v>0</v>
      </c>
      <c r="AF65" s="12">
        <f>VISUM_Arterial_OD!AF65-Arterial_Truck!AF65-Arterial_HOT!AF65</f>
        <v>0</v>
      </c>
      <c r="AG65" s="12">
        <f>VISUM_Arterial_OD!AG65-Arterial_Truck!AG65-Arterial_HOT!AG65</f>
        <v>0</v>
      </c>
      <c r="AH65" s="12">
        <f>VISUM_Arterial_OD!AH65-Arterial_Truck!AH65-Arterial_HOT!AH65</f>
        <v>0</v>
      </c>
      <c r="AI65" s="12">
        <f>VISUM_Arterial_OD!AI65-Arterial_Truck!AI65-Arterial_HOT!AI65</f>
        <v>0</v>
      </c>
      <c r="AJ65" s="12">
        <f>VISUM_Arterial_OD!AJ65-Arterial_Truck!AJ65-Arterial_HOT!AJ65</f>
        <v>0</v>
      </c>
      <c r="AK65" s="12">
        <f>VISUM_Arterial_OD!AK65-Arterial_Truck!AK65-Arterial_HOT!AK65</f>
        <v>0</v>
      </c>
      <c r="AL65" s="12">
        <f>VISUM_Arterial_OD!AL65-Arterial_Truck!AL65-Arterial_HOT!AL65</f>
        <v>0</v>
      </c>
      <c r="AM65" s="12">
        <f>VISUM_Arterial_OD!AM65-Arterial_Truck!AM65-Arterial_HOT!AM65</f>
        <v>0</v>
      </c>
      <c r="AN65" s="12">
        <f>VISUM_Arterial_OD!AN65-Arterial_Truck!AN65-Arterial_HOT!AN65</f>
        <v>0</v>
      </c>
      <c r="AO65" s="12">
        <f>VISUM_Arterial_OD!AO65-Arterial_Truck!AO65-Arterial_HOT!AO65</f>
        <v>0</v>
      </c>
      <c r="AP65" s="12">
        <f>VISUM_Arterial_OD!AP65-Arterial_Truck!AP65-Arterial_HOT!AP65</f>
        <v>0</v>
      </c>
      <c r="AQ65" s="12">
        <f>VISUM_Arterial_OD!AQ65-Arterial_Truck!AQ65-Arterial_HOT!AQ65</f>
        <v>0</v>
      </c>
      <c r="AR65" s="12">
        <f>VISUM_Arterial_OD!AR65-Arterial_Truck!AR65-Arterial_HOT!AR65</f>
        <v>0</v>
      </c>
      <c r="AS65" s="12">
        <f>VISUM_Arterial_OD!AS65-Arterial_Truck!AS65-Arterial_HOT!AS65</f>
        <v>0</v>
      </c>
      <c r="AT65" s="12">
        <f>VISUM_Arterial_OD!AT65-Arterial_Truck!AT65-Arterial_HOT!AT65</f>
        <v>0</v>
      </c>
      <c r="AU65" s="12">
        <f>VISUM_Arterial_OD!AU65-Arterial_Truck!AU65-Arterial_HOT!AU65</f>
        <v>0</v>
      </c>
      <c r="AV65" s="12">
        <f>VISUM_Arterial_OD!AV65-Arterial_Truck!AV65-Arterial_HOT!AV65</f>
        <v>0</v>
      </c>
      <c r="AW65" s="12">
        <f>VISUM_Arterial_OD!AW65-Arterial_Truck!AW65-Arterial_HOT!AW65</f>
        <v>0</v>
      </c>
      <c r="AX65" s="12">
        <f>VISUM_Arterial_OD!AX65-Arterial_Truck!AX65-Arterial_HOT!AX65</f>
        <v>0</v>
      </c>
      <c r="AY65" s="12">
        <f>VISUM_Arterial_OD!AY65-Arterial_Truck!AY65-Arterial_HOT!AY65</f>
        <v>0</v>
      </c>
      <c r="AZ65" s="12">
        <f>VISUM_Arterial_OD!AZ65-Arterial_Truck!AZ65-Arterial_HOT!AZ65</f>
        <v>40.101568</v>
      </c>
      <c r="BA65" s="12">
        <f>VISUM_Arterial_OD!BA65-Arterial_Truck!BA65-Arterial_HOT!BA65</f>
        <v>0</v>
      </c>
      <c r="BB65" s="12">
        <f>VISUM_Arterial_OD!BB65-Arterial_Truck!BB65-Arterial_HOT!BB65</f>
        <v>10.694383999999999</v>
      </c>
      <c r="BC65" s="12">
        <f>VISUM_Arterial_OD!BC65-Arterial_Truck!BC65-Arterial_HOT!BC65</f>
        <v>0</v>
      </c>
      <c r="BD65" s="12">
        <f>VISUM_Arterial_OD!BD65-Arterial_Truck!BD65-Arterial_HOT!BD65</f>
        <v>0</v>
      </c>
      <c r="BE65" s="12">
        <f>VISUM_Arterial_OD!BE65-Arterial_Truck!BE65-Arterial_HOT!BE65</f>
        <v>0</v>
      </c>
      <c r="BF65" s="12">
        <f>VISUM_Arterial_OD!BF65-Arterial_Truck!BF65-Arterial_HOT!BF65</f>
        <v>0</v>
      </c>
      <c r="BG65" s="12">
        <f>VISUM_Arterial_OD!BG65-Arterial_Truck!BG65-Arterial_HOT!BG65</f>
        <v>0</v>
      </c>
      <c r="BH65" s="12">
        <f>VISUM_Arterial_OD!BH65-Arterial_Truck!BH65-Arterial_HOT!BH65</f>
        <v>0</v>
      </c>
      <c r="BI65" s="12">
        <f>VISUM_Arterial_OD!BI65-Arterial_Truck!BI65-Arterial_HOT!BI65</f>
        <v>0</v>
      </c>
      <c r="BJ65" s="12">
        <f>VISUM_Arterial_OD!BJ65-Arterial_Truck!BJ65-Arterial_HOT!BJ65</f>
        <v>58.199491720000005</v>
      </c>
      <c r="BK65" s="12">
        <f>VISUM_Arterial_OD!BK65-Arterial_Truck!BK65-Arterial_HOT!BK65</f>
        <v>14.35566341</v>
      </c>
      <c r="BL65" s="12">
        <f>VISUM_Arterial_OD!BL65-Arterial_Truck!BL65-Arterial_HOT!BL65</f>
        <v>3.8799097899999997</v>
      </c>
      <c r="BM65" s="12">
        <f>VISUM_Arterial_OD!BM65-Arterial_Truck!BM65-Arterial_HOT!BM65</f>
        <v>0</v>
      </c>
      <c r="BN65" s="12">
        <f>VISUM_Arterial_OD!BN65-Arterial_Truck!BN65-Arterial_HOT!BN65</f>
        <v>49.66336562</v>
      </c>
      <c r="BO65" s="12">
        <f>VISUM_Arterial_OD!BO65-Arterial_Truck!BO65-Arterial_HOT!BO65</f>
        <v>0</v>
      </c>
      <c r="BP65" s="12">
        <f>VISUM_Arterial_OD!BP65-Arterial_Truck!BP65-Arterial_HOT!BP65</f>
        <v>0</v>
      </c>
      <c r="BQ65" s="12">
        <f>VISUM_Arterial_OD!BQ65-Arterial_Truck!BQ65-Arterial_HOT!BQ65</f>
        <v>0</v>
      </c>
    </row>
    <row r="66" spans="1:69" x14ac:dyDescent="0.25">
      <c r="A66" s="5">
        <f>IF(VLOOKUP(B66,Arterial_Zone_Link_Mapping!$A:$C,2,FALSE)&lt;&gt;"",VLOOKUP(B66,Arterial_Zone_Link_Mapping!$A:$C,2,FALSE),"")</f>
        <v>235</v>
      </c>
      <c r="B66" s="5">
        <v>88</v>
      </c>
      <c r="C66" s="12">
        <f>VISUM_Arterial_OD!C66-Arterial_Truck!C66-Arterial_HOT!C66</f>
        <v>0</v>
      </c>
      <c r="D66" s="12">
        <f>VISUM_Arterial_OD!D66-Arterial_Truck!D66-Arterial_HOT!D66</f>
        <v>0</v>
      </c>
      <c r="E66" s="12">
        <f>VISUM_Arterial_OD!E66-Arterial_Truck!E66-Arterial_HOT!E66</f>
        <v>0</v>
      </c>
      <c r="F66" s="12">
        <f>VISUM_Arterial_OD!F66-Arterial_Truck!F66-Arterial_HOT!F66</f>
        <v>0</v>
      </c>
      <c r="G66" s="12">
        <f>VISUM_Arterial_OD!G66-Arterial_Truck!G66-Arterial_HOT!G66</f>
        <v>0</v>
      </c>
      <c r="H66" s="12">
        <f>VISUM_Arterial_OD!H66-Arterial_Truck!H66-Arterial_HOT!H66</f>
        <v>155.76191808999999</v>
      </c>
      <c r="I66" s="12">
        <f>VISUM_Arterial_OD!I66-Arterial_Truck!I66-Arterial_HOT!I66</f>
        <v>159.25763803999999</v>
      </c>
      <c r="J66" s="12">
        <f>VISUM_Arterial_OD!J66-Arterial_Truck!J66-Arterial_HOT!J66</f>
        <v>0</v>
      </c>
      <c r="K66" s="12">
        <f>VISUM_Arterial_OD!K66-Arterial_Truck!K66-Arterial_HOT!K66</f>
        <v>0</v>
      </c>
      <c r="L66" s="12">
        <f>VISUM_Arterial_OD!L66-Arterial_Truck!L66-Arterial_HOT!L66</f>
        <v>0</v>
      </c>
      <c r="M66" s="12">
        <f>VISUM_Arterial_OD!M66-Arterial_Truck!M66-Arterial_HOT!M66</f>
        <v>0</v>
      </c>
      <c r="N66" s="12">
        <f>VISUM_Arterial_OD!N66-Arterial_Truck!N66-Arterial_HOT!N66</f>
        <v>0</v>
      </c>
      <c r="O66" s="12">
        <f>VISUM_Arterial_OD!O66-Arterial_Truck!O66-Arterial_HOT!O66</f>
        <v>0</v>
      </c>
      <c r="P66" s="12">
        <f>VISUM_Arterial_OD!P66-Arterial_Truck!P66-Arterial_HOT!P66</f>
        <v>0</v>
      </c>
      <c r="Q66" s="12">
        <f>VISUM_Arterial_OD!Q66-Arterial_Truck!Q66-Arterial_HOT!Q66</f>
        <v>0</v>
      </c>
      <c r="R66" s="12">
        <f>VISUM_Arterial_OD!R66-Arterial_Truck!R66-Arterial_HOT!R66</f>
        <v>0</v>
      </c>
      <c r="S66" s="12">
        <f>VISUM_Arterial_OD!S66-Arterial_Truck!S66-Arterial_HOT!S66</f>
        <v>0</v>
      </c>
      <c r="T66" s="12">
        <f>VISUM_Arterial_OD!T66-Arterial_Truck!T66-Arterial_HOT!T66</f>
        <v>0</v>
      </c>
      <c r="U66" s="12">
        <f>VISUM_Arterial_OD!U66-Arterial_Truck!U66-Arterial_HOT!U66</f>
        <v>0</v>
      </c>
      <c r="V66" s="12">
        <f>VISUM_Arterial_OD!V66-Arterial_Truck!V66-Arterial_HOT!V66</f>
        <v>0</v>
      </c>
      <c r="W66" s="12">
        <f>VISUM_Arterial_OD!W66-Arterial_Truck!W66-Arterial_HOT!W66</f>
        <v>0</v>
      </c>
      <c r="X66" s="12">
        <f>VISUM_Arterial_OD!X66-Arterial_Truck!X66-Arterial_HOT!X66</f>
        <v>0</v>
      </c>
      <c r="Y66" s="12">
        <f>VISUM_Arterial_OD!Y66-Arterial_Truck!Y66-Arterial_HOT!Y66</f>
        <v>0</v>
      </c>
      <c r="Z66" s="12">
        <f>VISUM_Arterial_OD!Z66-Arterial_Truck!Z66-Arterial_HOT!Z66</f>
        <v>0</v>
      </c>
      <c r="AA66" s="12">
        <f>VISUM_Arterial_OD!AA66-Arterial_Truck!AA66-Arterial_HOT!AA66</f>
        <v>0</v>
      </c>
      <c r="AB66" s="12">
        <f>VISUM_Arterial_OD!AB66-Arterial_Truck!AB66-Arterial_HOT!AB66</f>
        <v>0</v>
      </c>
      <c r="AC66" s="12">
        <f>VISUM_Arterial_OD!AC66-Arterial_Truck!AC66-Arterial_HOT!AC66</f>
        <v>0</v>
      </c>
      <c r="AD66" s="12">
        <f>VISUM_Arterial_OD!AD66-Arterial_Truck!AD66-Arterial_HOT!AD66</f>
        <v>0</v>
      </c>
      <c r="AE66" s="12">
        <f>VISUM_Arterial_OD!AE66-Arterial_Truck!AE66-Arterial_HOT!AE66</f>
        <v>0</v>
      </c>
      <c r="AF66" s="12">
        <f>VISUM_Arterial_OD!AF66-Arterial_Truck!AF66-Arterial_HOT!AF66</f>
        <v>0</v>
      </c>
      <c r="AG66" s="12">
        <f>VISUM_Arterial_OD!AG66-Arterial_Truck!AG66-Arterial_HOT!AG66</f>
        <v>0</v>
      </c>
      <c r="AH66" s="12">
        <f>VISUM_Arterial_OD!AH66-Arterial_Truck!AH66-Arterial_HOT!AH66</f>
        <v>0</v>
      </c>
      <c r="AI66" s="12">
        <f>VISUM_Arterial_OD!AI66-Arterial_Truck!AI66-Arterial_HOT!AI66</f>
        <v>0</v>
      </c>
      <c r="AJ66" s="12">
        <f>VISUM_Arterial_OD!AJ66-Arterial_Truck!AJ66-Arterial_HOT!AJ66</f>
        <v>0</v>
      </c>
      <c r="AK66" s="12">
        <f>VISUM_Arterial_OD!AK66-Arterial_Truck!AK66-Arterial_HOT!AK66</f>
        <v>0</v>
      </c>
      <c r="AL66" s="12">
        <f>VISUM_Arterial_OD!AL66-Arterial_Truck!AL66-Arterial_HOT!AL66</f>
        <v>0</v>
      </c>
      <c r="AM66" s="12">
        <f>VISUM_Arterial_OD!AM66-Arterial_Truck!AM66-Arterial_HOT!AM66</f>
        <v>0</v>
      </c>
      <c r="AN66" s="12">
        <f>VISUM_Arterial_OD!AN66-Arterial_Truck!AN66-Arterial_HOT!AN66</f>
        <v>0</v>
      </c>
      <c r="AO66" s="12">
        <f>VISUM_Arterial_OD!AO66-Arterial_Truck!AO66-Arterial_HOT!AO66</f>
        <v>0</v>
      </c>
      <c r="AP66" s="12">
        <f>VISUM_Arterial_OD!AP66-Arterial_Truck!AP66-Arterial_HOT!AP66</f>
        <v>0</v>
      </c>
      <c r="AQ66" s="12">
        <f>VISUM_Arterial_OD!AQ66-Arterial_Truck!AQ66-Arterial_HOT!AQ66</f>
        <v>0</v>
      </c>
      <c r="AR66" s="12">
        <f>VISUM_Arterial_OD!AR66-Arterial_Truck!AR66-Arterial_HOT!AR66</f>
        <v>0</v>
      </c>
      <c r="AS66" s="12">
        <f>VISUM_Arterial_OD!AS66-Arterial_Truck!AS66-Arterial_HOT!AS66</f>
        <v>0</v>
      </c>
      <c r="AT66" s="12">
        <f>VISUM_Arterial_OD!AT66-Arterial_Truck!AT66-Arterial_HOT!AT66</f>
        <v>0</v>
      </c>
      <c r="AU66" s="12">
        <f>VISUM_Arterial_OD!AU66-Arterial_Truck!AU66-Arterial_HOT!AU66</f>
        <v>0</v>
      </c>
      <c r="AV66" s="12">
        <f>VISUM_Arterial_OD!AV66-Arterial_Truck!AV66-Arterial_HOT!AV66</f>
        <v>0</v>
      </c>
      <c r="AW66" s="12">
        <f>VISUM_Arterial_OD!AW66-Arterial_Truck!AW66-Arterial_HOT!AW66</f>
        <v>0</v>
      </c>
      <c r="AX66" s="12">
        <f>VISUM_Arterial_OD!AX66-Arterial_Truck!AX66-Arterial_HOT!AX66</f>
        <v>0</v>
      </c>
      <c r="AY66" s="12">
        <f>VISUM_Arterial_OD!AY66-Arterial_Truck!AY66-Arterial_HOT!AY66</f>
        <v>0</v>
      </c>
      <c r="AZ66" s="12">
        <f>VISUM_Arterial_OD!AZ66-Arterial_Truck!AZ66-Arterial_HOT!AZ66</f>
        <v>182.34178700000001</v>
      </c>
      <c r="BA66" s="12">
        <f>VISUM_Arterial_OD!BA66-Arterial_Truck!BA66-Arterial_HOT!BA66</f>
        <v>0</v>
      </c>
      <c r="BB66" s="12">
        <f>VISUM_Arterial_OD!BB66-Arterial_Truck!BB66-Arterial_HOT!BB66</f>
        <v>46.807352999999999</v>
      </c>
      <c r="BC66" s="12">
        <f>VISUM_Arterial_OD!BC66-Arterial_Truck!BC66-Arterial_HOT!BC66</f>
        <v>0</v>
      </c>
      <c r="BD66" s="12">
        <f>VISUM_Arterial_OD!BD66-Arterial_Truck!BD66-Arterial_HOT!BD66</f>
        <v>0</v>
      </c>
      <c r="BE66" s="12">
        <f>VISUM_Arterial_OD!BE66-Arterial_Truck!BE66-Arterial_HOT!BE66</f>
        <v>0</v>
      </c>
      <c r="BF66" s="12">
        <f>VISUM_Arterial_OD!BF66-Arterial_Truck!BF66-Arterial_HOT!BF66</f>
        <v>0</v>
      </c>
      <c r="BG66" s="12">
        <f>VISUM_Arterial_OD!BG66-Arterial_Truck!BG66-Arterial_HOT!BG66</f>
        <v>0</v>
      </c>
      <c r="BH66" s="12">
        <f>VISUM_Arterial_OD!BH66-Arterial_Truck!BH66-Arterial_HOT!BH66</f>
        <v>0</v>
      </c>
      <c r="BI66" s="12">
        <f>VISUM_Arterial_OD!BI66-Arterial_Truck!BI66-Arterial_HOT!BI66</f>
        <v>0</v>
      </c>
      <c r="BJ66" s="12">
        <f>VISUM_Arterial_OD!BJ66-Arterial_Truck!BJ66-Arterial_HOT!BJ66</f>
        <v>343.35220464999998</v>
      </c>
      <c r="BK66" s="12">
        <f>VISUM_Arterial_OD!BK66-Arterial_Truck!BK66-Arterial_HOT!BK66</f>
        <v>373.44473581</v>
      </c>
      <c r="BL66" s="12">
        <f>VISUM_Arterial_OD!BL66-Arterial_Truck!BL66-Arterial_HOT!BL66</f>
        <v>66.91543351</v>
      </c>
      <c r="BM66" s="12">
        <f>VISUM_Arterial_OD!BM66-Arterial_Truck!BM66-Arterial_HOT!BM66</f>
        <v>21.45951273</v>
      </c>
      <c r="BN66" s="12">
        <f>VISUM_Arterial_OD!BN66-Arterial_Truck!BN66-Arterial_HOT!BN66</f>
        <v>0</v>
      </c>
      <c r="BO66" s="12">
        <f>VISUM_Arterial_OD!BO66-Arterial_Truck!BO66-Arterial_HOT!BO66</f>
        <v>0</v>
      </c>
      <c r="BP66" s="12">
        <f>VISUM_Arterial_OD!BP66-Arterial_Truck!BP66-Arterial_HOT!BP66</f>
        <v>0</v>
      </c>
      <c r="BQ66" s="12">
        <f>VISUM_Arterial_OD!BQ66-Arterial_Truck!BQ66-Arterial_HOT!BQ66</f>
        <v>0</v>
      </c>
    </row>
    <row r="67" spans="1:69" x14ac:dyDescent="0.25">
      <c r="A67" s="5">
        <f>IF(VLOOKUP(B67,Arterial_Zone_Link_Mapping!$A:$C,2,FALSE)&lt;&gt;"",VLOOKUP(B67,Arterial_Zone_Link_Mapping!$A:$C,2,FALSE),"")</f>
        <v>355</v>
      </c>
      <c r="B67" s="5">
        <v>89</v>
      </c>
      <c r="C67" s="12">
        <f>VISUM_Arterial_OD!C67-Arterial_Truck!C67-Arterial_HOT!C67</f>
        <v>223.10462787</v>
      </c>
      <c r="D67" s="12">
        <f>VISUM_Arterial_OD!D67-Arterial_Truck!D67-Arterial_HOT!D67</f>
        <v>4.8712468800000002</v>
      </c>
      <c r="E67" s="12">
        <f>VISUM_Arterial_OD!E67-Arterial_Truck!E67-Arterial_HOT!E67</f>
        <v>0</v>
      </c>
      <c r="F67" s="12">
        <f>VISUM_Arterial_OD!F67-Arterial_Truck!F67-Arterial_HOT!F67</f>
        <v>0</v>
      </c>
      <c r="G67" s="12">
        <f>VISUM_Arterial_OD!G67-Arterial_Truck!G67-Arterial_HOT!G67</f>
        <v>0</v>
      </c>
      <c r="H67" s="12">
        <f>VISUM_Arterial_OD!H67-Arterial_Truck!H67-Arterial_HOT!H67</f>
        <v>0</v>
      </c>
      <c r="I67" s="12">
        <f>VISUM_Arterial_OD!I67-Arterial_Truck!I67-Arterial_HOT!I67</f>
        <v>0</v>
      </c>
      <c r="J67" s="12">
        <f>VISUM_Arterial_OD!J67-Arterial_Truck!J67-Arterial_HOT!J67</f>
        <v>26.097726809999997</v>
      </c>
      <c r="K67" s="12">
        <f>VISUM_Arterial_OD!K67-Arterial_Truck!K67-Arterial_HOT!K67</f>
        <v>15.46465665</v>
      </c>
      <c r="L67" s="12">
        <f>VISUM_Arterial_OD!L67-Arterial_Truck!L67-Arterial_HOT!L67</f>
        <v>82.561439419999999</v>
      </c>
      <c r="M67" s="12">
        <f>VISUM_Arterial_OD!M67-Arterial_Truck!M67-Arterial_HOT!M67</f>
        <v>0</v>
      </c>
      <c r="N67" s="12">
        <f>VISUM_Arterial_OD!N67-Arterial_Truck!N67-Arterial_HOT!N67</f>
        <v>0</v>
      </c>
      <c r="O67" s="12">
        <f>VISUM_Arterial_OD!O67-Arterial_Truck!O67-Arterial_HOT!O67</f>
        <v>53.230995550000003</v>
      </c>
      <c r="P67" s="12">
        <f>VISUM_Arterial_OD!P67-Arterial_Truck!P67-Arterial_HOT!P67</f>
        <v>19.096473420000002</v>
      </c>
      <c r="Q67" s="12">
        <f>VISUM_Arterial_OD!Q67-Arterial_Truck!Q67-Arterial_HOT!Q67</f>
        <v>0</v>
      </c>
      <c r="R67" s="12">
        <f>VISUM_Arterial_OD!R67-Arterial_Truck!R67-Arterial_HOT!R67</f>
        <v>0</v>
      </c>
      <c r="S67" s="12">
        <f>VISUM_Arterial_OD!S67-Arterial_Truck!S67-Arterial_HOT!S67</f>
        <v>39.304528039999994</v>
      </c>
      <c r="T67" s="12">
        <f>VISUM_Arterial_OD!T67-Arterial_Truck!T67-Arterial_HOT!T67</f>
        <v>0</v>
      </c>
      <c r="U67" s="12">
        <f>VISUM_Arterial_OD!U67-Arterial_Truck!U67-Arterial_HOT!U67</f>
        <v>0</v>
      </c>
      <c r="V67" s="12">
        <f>VISUM_Arterial_OD!V67-Arterial_Truck!V67-Arterial_HOT!V67</f>
        <v>0</v>
      </c>
      <c r="W67" s="12">
        <f>VISUM_Arterial_OD!W67-Arterial_Truck!W67-Arterial_HOT!W67</f>
        <v>0</v>
      </c>
      <c r="X67" s="12">
        <f>VISUM_Arterial_OD!X67-Arterial_Truck!X67-Arterial_HOT!X67</f>
        <v>0</v>
      </c>
      <c r="Y67" s="12">
        <f>VISUM_Arterial_OD!Y67-Arterial_Truck!Y67-Arterial_HOT!Y67</f>
        <v>0</v>
      </c>
      <c r="Z67" s="12">
        <f>VISUM_Arterial_OD!Z67-Arterial_Truck!Z67-Arterial_HOT!Z67</f>
        <v>5.1608403799999998</v>
      </c>
      <c r="AA67" s="12">
        <f>VISUM_Arterial_OD!AA67-Arterial_Truck!AA67-Arterial_HOT!AA67</f>
        <v>0</v>
      </c>
      <c r="AB67" s="12">
        <f>VISUM_Arterial_OD!AB67-Arterial_Truck!AB67-Arterial_HOT!AB67</f>
        <v>30.156321269999999</v>
      </c>
      <c r="AC67" s="12">
        <f>VISUM_Arterial_OD!AC67-Arterial_Truck!AC67-Arterial_HOT!AC67</f>
        <v>0</v>
      </c>
      <c r="AD67" s="12">
        <f>VISUM_Arterial_OD!AD67-Arterial_Truck!AD67-Arterial_HOT!AD67</f>
        <v>0</v>
      </c>
      <c r="AE67" s="12">
        <f>VISUM_Arterial_OD!AE67-Arterial_Truck!AE67-Arterial_HOT!AE67</f>
        <v>0</v>
      </c>
      <c r="AF67" s="12">
        <f>VISUM_Arterial_OD!AF67-Arterial_Truck!AF67-Arterial_HOT!AF67</f>
        <v>0</v>
      </c>
      <c r="AG67" s="12">
        <f>VISUM_Arterial_OD!AG67-Arterial_Truck!AG67-Arterial_HOT!AG67</f>
        <v>0</v>
      </c>
      <c r="AH67" s="12">
        <f>VISUM_Arterial_OD!AH67-Arterial_Truck!AH67-Arterial_HOT!AH67</f>
        <v>0</v>
      </c>
      <c r="AI67" s="12">
        <f>VISUM_Arterial_OD!AI67-Arterial_Truck!AI67-Arterial_HOT!AI67</f>
        <v>0</v>
      </c>
      <c r="AJ67" s="12">
        <f>VISUM_Arterial_OD!AJ67-Arterial_Truck!AJ67-Arterial_HOT!AJ67</f>
        <v>0</v>
      </c>
      <c r="AK67" s="12">
        <f>VISUM_Arterial_OD!AK67-Arterial_Truck!AK67-Arterial_HOT!AK67</f>
        <v>0</v>
      </c>
      <c r="AL67" s="12">
        <f>VISUM_Arterial_OD!AL67-Arterial_Truck!AL67-Arterial_HOT!AL67</f>
        <v>34.31292938</v>
      </c>
      <c r="AM67" s="12">
        <f>VISUM_Arterial_OD!AM67-Arterial_Truck!AM67-Arterial_HOT!AM67</f>
        <v>0</v>
      </c>
      <c r="AN67" s="12">
        <f>VISUM_Arterial_OD!AN67-Arterial_Truck!AN67-Arterial_HOT!AN67</f>
        <v>69.325333520000001</v>
      </c>
      <c r="AO67" s="12">
        <f>VISUM_Arterial_OD!AO67-Arterial_Truck!AO67-Arterial_HOT!AO67</f>
        <v>0</v>
      </c>
      <c r="AP67" s="12">
        <f>VISUM_Arterial_OD!AP67-Arterial_Truck!AP67-Arterial_HOT!AP67</f>
        <v>0</v>
      </c>
      <c r="AQ67" s="12">
        <f>VISUM_Arterial_OD!AQ67-Arterial_Truck!AQ67-Arterial_HOT!AQ67</f>
        <v>0</v>
      </c>
      <c r="AR67" s="12">
        <f>VISUM_Arterial_OD!AR67-Arterial_Truck!AR67-Arterial_HOT!AR67</f>
        <v>0</v>
      </c>
      <c r="AS67" s="12">
        <f>VISUM_Arterial_OD!AS67-Arterial_Truck!AS67-Arterial_HOT!AS67</f>
        <v>0</v>
      </c>
      <c r="AT67" s="12">
        <f>VISUM_Arterial_OD!AT67-Arterial_Truck!AT67-Arterial_HOT!AT67</f>
        <v>0</v>
      </c>
      <c r="AU67" s="12">
        <f>VISUM_Arterial_OD!AU67-Arterial_Truck!AU67-Arterial_HOT!AU67</f>
        <v>0</v>
      </c>
      <c r="AV67" s="12">
        <f>VISUM_Arterial_OD!AV67-Arterial_Truck!AV67-Arterial_HOT!AV67</f>
        <v>0</v>
      </c>
      <c r="AW67" s="12">
        <f>VISUM_Arterial_OD!AW67-Arterial_Truck!AW67-Arterial_HOT!AW67</f>
        <v>0</v>
      </c>
      <c r="AX67" s="12">
        <f>VISUM_Arterial_OD!AX67-Arterial_Truck!AX67-Arterial_HOT!AX67</f>
        <v>55.10010698</v>
      </c>
      <c r="AY67" s="12">
        <f>VISUM_Arterial_OD!AY67-Arterial_Truck!AY67-Arterial_HOT!AY67</f>
        <v>0</v>
      </c>
      <c r="AZ67" s="12">
        <f>VISUM_Arterial_OD!AZ67-Arterial_Truck!AZ67-Arterial_HOT!AZ67</f>
        <v>0</v>
      </c>
      <c r="BA67" s="12">
        <f>VISUM_Arterial_OD!BA67-Arterial_Truck!BA67-Arterial_HOT!BA67</f>
        <v>0</v>
      </c>
      <c r="BB67" s="12">
        <f>VISUM_Arterial_OD!BB67-Arterial_Truck!BB67-Arterial_HOT!BB67</f>
        <v>0</v>
      </c>
      <c r="BC67" s="12">
        <f>VISUM_Arterial_OD!BC67-Arterial_Truck!BC67-Arterial_HOT!BC67</f>
        <v>0</v>
      </c>
      <c r="BD67" s="12">
        <f>VISUM_Arterial_OD!BD67-Arterial_Truck!BD67-Arterial_HOT!BD67</f>
        <v>0</v>
      </c>
      <c r="BE67" s="12">
        <f>VISUM_Arterial_OD!BE67-Arterial_Truck!BE67-Arterial_HOT!BE67</f>
        <v>0</v>
      </c>
      <c r="BF67" s="12">
        <f>VISUM_Arterial_OD!BF67-Arterial_Truck!BF67-Arterial_HOT!BF67</f>
        <v>0</v>
      </c>
      <c r="BG67" s="12">
        <f>VISUM_Arterial_OD!BG67-Arterial_Truck!BG67-Arterial_HOT!BG67</f>
        <v>0</v>
      </c>
      <c r="BH67" s="12">
        <f>VISUM_Arterial_OD!BH67-Arterial_Truck!BH67-Arterial_HOT!BH67</f>
        <v>0</v>
      </c>
      <c r="BI67" s="12">
        <f>VISUM_Arterial_OD!BI67-Arterial_Truck!BI67-Arterial_HOT!BI67</f>
        <v>0</v>
      </c>
      <c r="BJ67" s="12">
        <f>VISUM_Arterial_OD!BJ67-Arterial_Truck!BJ67-Arterial_HOT!BJ67</f>
        <v>0</v>
      </c>
      <c r="BK67" s="12">
        <f>VISUM_Arterial_OD!BK67-Arterial_Truck!BK67-Arterial_HOT!BK67</f>
        <v>0</v>
      </c>
      <c r="BL67" s="12">
        <f>VISUM_Arterial_OD!BL67-Arterial_Truck!BL67-Arterial_HOT!BL67</f>
        <v>0</v>
      </c>
      <c r="BM67" s="12">
        <f>VISUM_Arterial_OD!BM67-Arterial_Truck!BM67-Arterial_HOT!BM67</f>
        <v>0</v>
      </c>
      <c r="BN67" s="12">
        <f>VISUM_Arterial_OD!BN67-Arterial_Truck!BN67-Arterial_HOT!BN67</f>
        <v>0</v>
      </c>
      <c r="BO67" s="12">
        <f>VISUM_Arterial_OD!BO67-Arterial_Truck!BO67-Arterial_HOT!BO67</f>
        <v>0</v>
      </c>
      <c r="BP67" s="12">
        <f>VISUM_Arterial_OD!BP67-Arterial_Truck!BP67-Arterial_HOT!BP67</f>
        <v>84.320555760000005</v>
      </c>
      <c r="BQ67" s="12">
        <f>VISUM_Arterial_OD!BQ67-Arterial_Truck!BQ67-Arterial_HOT!BQ67</f>
        <v>0</v>
      </c>
    </row>
    <row r="68" spans="1:69" x14ac:dyDescent="0.25">
      <c r="A68" s="5">
        <f>IF(VLOOKUP(B68,Arterial_Zone_Link_Mapping!$A:$C,2,FALSE)&lt;&gt;"",VLOOKUP(B68,Arterial_Zone_Link_Mapping!$A:$C,2,FALSE),"")</f>
        <v>431</v>
      </c>
      <c r="B68" s="5">
        <v>90</v>
      </c>
      <c r="C68" s="12">
        <f>VISUM_Arterial_OD!C68-Arterial_Truck!C68-Arterial_HOT!C68</f>
        <v>0</v>
      </c>
      <c r="D68" s="12">
        <f>VISUM_Arterial_OD!D68-Arterial_Truck!D68-Arterial_HOT!D68</f>
        <v>0</v>
      </c>
      <c r="E68" s="12">
        <f>VISUM_Arterial_OD!E68-Arterial_Truck!E68-Arterial_HOT!E68</f>
        <v>0</v>
      </c>
      <c r="F68" s="12">
        <f>VISUM_Arterial_OD!F68-Arterial_Truck!F68-Arterial_HOT!F68</f>
        <v>0</v>
      </c>
      <c r="G68" s="12">
        <f>VISUM_Arterial_OD!G68-Arterial_Truck!G68-Arterial_HOT!G68</f>
        <v>0</v>
      </c>
      <c r="H68" s="12">
        <f>VISUM_Arterial_OD!H68-Arterial_Truck!H68-Arterial_HOT!H68</f>
        <v>0</v>
      </c>
      <c r="I68" s="12">
        <f>VISUM_Arterial_OD!I68-Arterial_Truck!I68-Arterial_HOT!I68</f>
        <v>0</v>
      </c>
      <c r="J68" s="12">
        <f>VISUM_Arterial_OD!J68-Arterial_Truck!J68-Arterial_HOT!J68</f>
        <v>0</v>
      </c>
      <c r="K68" s="12">
        <f>VISUM_Arterial_OD!K68-Arterial_Truck!K68-Arterial_HOT!K68</f>
        <v>5.3186875100000002</v>
      </c>
      <c r="L68" s="12">
        <f>VISUM_Arterial_OD!L68-Arterial_Truck!L68-Arterial_HOT!L68</f>
        <v>28.394974900000001</v>
      </c>
      <c r="M68" s="12">
        <f>VISUM_Arterial_OD!M68-Arterial_Truck!M68-Arterial_HOT!M68</f>
        <v>0</v>
      </c>
      <c r="N68" s="12">
        <f>VISUM_Arterial_OD!N68-Arterial_Truck!N68-Arterial_HOT!N68</f>
        <v>0</v>
      </c>
      <c r="O68" s="12">
        <f>VISUM_Arterial_OD!O68-Arterial_Truck!O68-Arterial_HOT!O68</f>
        <v>0</v>
      </c>
      <c r="P68" s="12">
        <f>VISUM_Arterial_OD!P68-Arterial_Truck!P68-Arterial_HOT!P68</f>
        <v>6.5677623300000008</v>
      </c>
      <c r="Q68" s="12">
        <f>VISUM_Arterial_OD!Q68-Arterial_Truck!Q68-Arterial_HOT!Q68</f>
        <v>0</v>
      </c>
      <c r="R68" s="12">
        <f>VISUM_Arterial_OD!R68-Arterial_Truck!R68-Arterial_HOT!R68</f>
        <v>0</v>
      </c>
      <c r="S68" s="12">
        <f>VISUM_Arterial_OD!S68-Arterial_Truck!S68-Arterial_HOT!S68</f>
        <v>13.517824940000001</v>
      </c>
      <c r="T68" s="12">
        <f>VISUM_Arterial_OD!T68-Arterial_Truck!T68-Arterial_HOT!T68</f>
        <v>0</v>
      </c>
      <c r="U68" s="12">
        <f>VISUM_Arterial_OD!U68-Arterial_Truck!U68-Arterial_HOT!U68</f>
        <v>0</v>
      </c>
      <c r="V68" s="12">
        <f>VISUM_Arterial_OD!V68-Arterial_Truck!V68-Arterial_HOT!V68</f>
        <v>0</v>
      </c>
      <c r="W68" s="12">
        <f>VISUM_Arterial_OD!W68-Arterial_Truck!W68-Arterial_HOT!W68</f>
        <v>0</v>
      </c>
      <c r="X68" s="12">
        <f>VISUM_Arterial_OD!X68-Arterial_Truck!X68-Arterial_HOT!X68</f>
        <v>0</v>
      </c>
      <c r="Y68" s="12">
        <f>VISUM_Arterial_OD!Y68-Arterial_Truck!Y68-Arterial_HOT!Y68</f>
        <v>0</v>
      </c>
      <c r="Z68" s="12">
        <f>VISUM_Arterial_OD!Z68-Arterial_Truck!Z68-Arterial_HOT!Z68</f>
        <v>0</v>
      </c>
      <c r="AA68" s="12">
        <f>VISUM_Arterial_OD!AA68-Arterial_Truck!AA68-Arterial_HOT!AA68</f>
        <v>0</v>
      </c>
      <c r="AB68" s="12">
        <f>VISUM_Arterial_OD!AB68-Arterial_Truck!AB68-Arterial_HOT!AB68</f>
        <v>0</v>
      </c>
      <c r="AC68" s="12">
        <f>VISUM_Arterial_OD!AC68-Arterial_Truck!AC68-Arterial_HOT!AC68</f>
        <v>0</v>
      </c>
      <c r="AD68" s="12">
        <f>VISUM_Arterial_OD!AD68-Arterial_Truck!AD68-Arterial_HOT!AD68</f>
        <v>0</v>
      </c>
      <c r="AE68" s="12">
        <f>VISUM_Arterial_OD!AE68-Arterial_Truck!AE68-Arterial_HOT!AE68</f>
        <v>0</v>
      </c>
      <c r="AF68" s="12">
        <f>VISUM_Arterial_OD!AF68-Arterial_Truck!AF68-Arterial_HOT!AF68</f>
        <v>0</v>
      </c>
      <c r="AG68" s="12">
        <f>VISUM_Arterial_OD!AG68-Arterial_Truck!AG68-Arterial_HOT!AG68</f>
        <v>0</v>
      </c>
      <c r="AH68" s="12">
        <f>VISUM_Arterial_OD!AH68-Arterial_Truck!AH68-Arterial_HOT!AH68</f>
        <v>0</v>
      </c>
      <c r="AI68" s="12">
        <f>VISUM_Arterial_OD!AI68-Arterial_Truck!AI68-Arterial_HOT!AI68</f>
        <v>0</v>
      </c>
      <c r="AJ68" s="12">
        <f>VISUM_Arterial_OD!AJ68-Arterial_Truck!AJ68-Arterial_HOT!AJ68</f>
        <v>0</v>
      </c>
      <c r="AK68" s="12">
        <f>VISUM_Arterial_OD!AK68-Arterial_Truck!AK68-Arterial_HOT!AK68</f>
        <v>0</v>
      </c>
      <c r="AL68" s="12">
        <f>VISUM_Arterial_OD!AL68-Arterial_Truck!AL68-Arterial_HOT!AL68</f>
        <v>0</v>
      </c>
      <c r="AM68" s="12">
        <f>VISUM_Arterial_OD!AM68-Arterial_Truck!AM68-Arterial_HOT!AM68</f>
        <v>0</v>
      </c>
      <c r="AN68" s="12">
        <f>VISUM_Arterial_OD!AN68-Arterial_Truck!AN68-Arterial_HOT!AN68</f>
        <v>0</v>
      </c>
      <c r="AO68" s="12">
        <f>VISUM_Arterial_OD!AO68-Arterial_Truck!AO68-Arterial_HOT!AO68</f>
        <v>0</v>
      </c>
      <c r="AP68" s="12">
        <f>VISUM_Arterial_OD!AP68-Arterial_Truck!AP68-Arterial_HOT!AP68</f>
        <v>0</v>
      </c>
      <c r="AQ68" s="12">
        <f>VISUM_Arterial_OD!AQ68-Arterial_Truck!AQ68-Arterial_HOT!AQ68</f>
        <v>0</v>
      </c>
      <c r="AR68" s="12">
        <f>VISUM_Arterial_OD!AR68-Arterial_Truck!AR68-Arterial_HOT!AR68</f>
        <v>0</v>
      </c>
      <c r="AS68" s="12">
        <f>VISUM_Arterial_OD!AS68-Arterial_Truck!AS68-Arterial_HOT!AS68</f>
        <v>0</v>
      </c>
      <c r="AT68" s="12">
        <f>VISUM_Arterial_OD!AT68-Arterial_Truck!AT68-Arterial_HOT!AT68</f>
        <v>0</v>
      </c>
      <c r="AU68" s="12">
        <f>VISUM_Arterial_OD!AU68-Arterial_Truck!AU68-Arterial_HOT!AU68</f>
        <v>0</v>
      </c>
      <c r="AV68" s="12">
        <f>VISUM_Arterial_OD!AV68-Arterial_Truck!AV68-Arterial_HOT!AV68</f>
        <v>0</v>
      </c>
      <c r="AW68" s="12">
        <f>VISUM_Arterial_OD!AW68-Arterial_Truck!AW68-Arterial_HOT!AW68</f>
        <v>0</v>
      </c>
      <c r="AX68" s="12">
        <f>VISUM_Arterial_OD!AX68-Arterial_Truck!AX68-Arterial_HOT!AX68</f>
        <v>18.950325460000002</v>
      </c>
      <c r="AY68" s="12">
        <f>VISUM_Arterial_OD!AY68-Arterial_Truck!AY68-Arterial_HOT!AY68</f>
        <v>0</v>
      </c>
      <c r="AZ68" s="12">
        <f>VISUM_Arterial_OD!AZ68-Arterial_Truck!AZ68-Arterial_HOT!AZ68</f>
        <v>0</v>
      </c>
      <c r="BA68" s="12">
        <f>VISUM_Arterial_OD!BA68-Arterial_Truck!BA68-Arterial_HOT!BA68</f>
        <v>0</v>
      </c>
      <c r="BB68" s="12">
        <f>VISUM_Arterial_OD!BB68-Arterial_Truck!BB68-Arterial_HOT!BB68</f>
        <v>0</v>
      </c>
      <c r="BC68" s="12">
        <f>VISUM_Arterial_OD!BC68-Arterial_Truck!BC68-Arterial_HOT!BC68</f>
        <v>0</v>
      </c>
      <c r="BD68" s="12">
        <f>VISUM_Arterial_OD!BD68-Arterial_Truck!BD68-Arterial_HOT!BD68</f>
        <v>0</v>
      </c>
      <c r="BE68" s="12">
        <f>VISUM_Arterial_OD!BE68-Arterial_Truck!BE68-Arterial_HOT!BE68</f>
        <v>0</v>
      </c>
      <c r="BF68" s="12">
        <f>VISUM_Arterial_OD!BF68-Arterial_Truck!BF68-Arterial_HOT!BF68</f>
        <v>0</v>
      </c>
      <c r="BG68" s="12">
        <f>VISUM_Arterial_OD!BG68-Arterial_Truck!BG68-Arterial_HOT!BG68</f>
        <v>0</v>
      </c>
      <c r="BH68" s="12">
        <f>VISUM_Arterial_OD!BH68-Arterial_Truck!BH68-Arterial_HOT!BH68</f>
        <v>0</v>
      </c>
      <c r="BI68" s="12">
        <f>VISUM_Arterial_OD!BI68-Arterial_Truck!BI68-Arterial_HOT!BI68</f>
        <v>0</v>
      </c>
      <c r="BJ68" s="12">
        <f>VISUM_Arterial_OD!BJ68-Arterial_Truck!BJ68-Arterial_HOT!BJ68</f>
        <v>0</v>
      </c>
      <c r="BK68" s="12">
        <f>VISUM_Arterial_OD!BK68-Arterial_Truck!BK68-Arterial_HOT!BK68</f>
        <v>0</v>
      </c>
      <c r="BL68" s="12">
        <f>VISUM_Arterial_OD!BL68-Arterial_Truck!BL68-Arterial_HOT!BL68</f>
        <v>0</v>
      </c>
      <c r="BM68" s="12">
        <f>VISUM_Arterial_OD!BM68-Arterial_Truck!BM68-Arterial_HOT!BM68</f>
        <v>0</v>
      </c>
      <c r="BN68" s="12">
        <f>VISUM_Arterial_OD!BN68-Arterial_Truck!BN68-Arterial_HOT!BN68</f>
        <v>0</v>
      </c>
      <c r="BO68" s="12">
        <f>VISUM_Arterial_OD!BO68-Arterial_Truck!BO68-Arterial_HOT!BO68</f>
        <v>0</v>
      </c>
      <c r="BP68" s="12">
        <f>VISUM_Arterial_OD!BP68-Arterial_Truck!BP68-Arterial_HOT!BP68</f>
        <v>0</v>
      </c>
      <c r="BQ68" s="12">
        <f>VISUM_Arterial_OD!BQ68-Arterial_Truck!BQ68-Arterial_HOT!BQ68</f>
        <v>0</v>
      </c>
    </row>
    <row r="69" spans="1:69" x14ac:dyDescent="0.25">
      <c r="A69" s="5">
        <f>IF(VLOOKUP(B69,Arterial_Zone_Link_Mapping!$A:$C,2,FALSE)&lt;&gt;"",VLOOKUP(B69,Arterial_Zone_Link_Mapping!$A:$C,2,FALSE),"")</f>
        <v>257</v>
      </c>
      <c r="B69" s="5">
        <v>91</v>
      </c>
      <c r="C69" s="12">
        <f>VISUM_Arterial_OD!C69-Arterial_Truck!C69-Arterial_HOT!C69</f>
        <v>48.274014249999993</v>
      </c>
      <c r="D69" s="12">
        <f>VISUM_Arterial_OD!D69-Arterial_Truck!D69-Arterial_HOT!D69</f>
        <v>4.6651044199999996</v>
      </c>
      <c r="E69" s="12">
        <f>VISUM_Arterial_OD!E69-Arterial_Truck!E69-Arterial_HOT!E69</f>
        <v>0</v>
      </c>
      <c r="F69" s="12">
        <f>VISUM_Arterial_OD!F69-Arterial_Truck!F69-Arterial_HOT!F69</f>
        <v>0</v>
      </c>
      <c r="G69" s="12">
        <f>VISUM_Arterial_OD!G69-Arterial_Truck!G69-Arterial_HOT!G69</f>
        <v>0</v>
      </c>
      <c r="H69" s="12">
        <f>VISUM_Arterial_OD!H69-Arterial_Truck!H69-Arterial_HOT!H69</f>
        <v>0</v>
      </c>
      <c r="I69" s="12">
        <f>VISUM_Arterial_OD!I69-Arterial_Truck!I69-Arterial_HOT!I69</f>
        <v>0</v>
      </c>
      <c r="J69" s="12">
        <f>VISUM_Arterial_OD!J69-Arterial_Truck!J69-Arterial_HOT!J69</f>
        <v>24.993317790000003</v>
      </c>
      <c r="K69" s="12">
        <f>VISUM_Arterial_OD!K69-Arterial_Truck!K69-Arterial_HOT!K69</f>
        <v>0</v>
      </c>
      <c r="L69" s="12">
        <f>VISUM_Arterial_OD!L69-Arterial_Truck!L69-Arterial_HOT!L69</f>
        <v>0</v>
      </c>
      <c r="M69" s="12">
        <f>VISUM_Arterial_OD!M69-Arterial_Truck!M69-Arterial_HOT!M69</f>
        <v>0</v>
      </c>
      <c r="N69" s="12">
        <f>VISUM_Arterial_OD!N69-Arterial_Truck!N69-Arterial_HOT!N69</f>
        <v>0</v>
      </c>
      <c r="O69" s="12">
        <f>VISUM_Arterial_OD!O69-Arterial_Truck!O69-Arterial_HOT!O69</f>
        <v>50.978355819999997</v>
      </c>
      <c r="P69" s="12">
        <f>VISUM_Arterial_OD!P69-Arterial_Truck!P69-Arterial_HOT!P69</f>
        <v>0</v>
      </c>
      <c r="Q69" s="12">
        <f>VISUM_Arterial_OD!Q69-Arterial_Truck!Q69-Arterial_HOT!Q69</f>
        <v>0</v>
      </c>
      <c r="R69" s="12">
        <f>VISUM_Arterial_OD!R69-Arterial_Truck!R69-Arterial_HOT!R69</f>
        <v>0</v>
      </c>
      <c r="S69" s="12">
        <f>VISUM_Arterial_OD!S69-Arterial_Truck!S69-Arterial_HOT!S69</f>
        <v>0</v>
      </c>
      <c r="T69" s="12">
        <f>VISUM_Arterial_OD!T69-Arterial_Truck!T69-Arterial_HOT!T69</f>
        <v>0</v>
      </c>
      <c r="U69" s="12">
        <f>VISUM_Arterial_OD!U69-Arterial_Truck!U69-Arterial_HOT!U69</f>
        <v>0</v>
      </c>
      <c r="V69" s="12">
        <f>VISUM_Arterial_OD!V69-Arterial_Truck!V69-Arterial_HOT!V69</f>
        <v>0</v>
      </c>
      <c r="W69" s="12">
        <f>VISUM_Arterial_OD!W69-Arterial_Truck!W69-Arterial_HOT!W69</f>
        <v>0</v>
      </c>
      <c r="X69" s="12">
        <f>VISUM_Arterial_OD!X69-Arterial_Truck!X69-Arterial_HOT!X69</f>
        <v>0</v>
      </c>
      <c r="Y69" s="12">
        <f>VISUM_Arterial_OD!Y69-Arterial_Truck!Y69-Arterial_HOT!Y69</f>
        <v>0</v>
      </c>
      <c r="Z69" s="12">
        <f>VISUM_Arterial_OD!Z69-Arterial_Truck!Z69-Arterial_HOT!Z69</f>
        <v>4.9424429400000003</v>
      </c>
      <c r="AA69" s="12">
        <f>VISUM_Arterial_OD!AA69-Arterial_Truck!AA69-Arterial_HOT!AA69</f>
        <v>0</v>
      </c>
      <c r="AB69" s="12">
        <f>VISUM_Arterial_OD!AB69-Arterial_Truck!AB69-Arterial_HOT!AB69</f>
        <v>28.88016017</v>
      </c>
      <c r="AC69" s="12">
        <f>VISUM_Arterial_OD!AC69-Arterial_Truck!AC69-Arterial_HOT!AC69</f>
        <v>0</v>
      </c>
      <c r="AD69" s="12">
        <f>VISUM_Arterial_OD!AD69-Arterial_Truck!AD69-Arterial_HOT!AD69</f>
        <v>0</v>
      </c>
      <c r="AE69" s="12">
        <f>VISUM_Arterial_OD!AE69-Arterial_Truck!AE69-Arterial_HOT!AE69</f>
        <v>0</v>
      </c>
      <c r="AF69" s="12">
        <f>VISUM_Arterial_OD!AF69-Arterial_Truck!AF69-Arterial_HOT!AF69</f>
        <v>0</v>
      </c>
      <c r="AG69" s="12">
        <f>VISUM_Arterial_OD!AG69-Arterial_Truck!AG69-Arterial_HOT!AG69</f>
        <v>0</v>
      </c>
      <c r="AH69" s="12">
        <f>VISUM_Arterial_OD!AH69-Arterial_Truck!AH69-Arterial_HOT!AH69</f>
        <v>0</v>
      </c>
      <c r="AI69" s="12">
        <f>VISUM_Arterial_OD!AI69-Arterial_Truck!AI69-Arterial_HOT!AI69</f>
        <v>0</v>
      </c>
      <c r="AJ69" s="12">
        <f>VISUM_Arterial_OD!AJ69-Arterial_Truck!AJ69-Arterial_HOT!AJ69</f>
        <v>0</v>
      </c>
      <c r="AK69" s="12">
        <f>VISUM_Arterial_OD!AK69-Arterial_Truck!AK69-Arterial_HOT!AK69</f>
        <v>0</v>
      </c>
      <c r="AL69" s="12">
        <f>VISUM_Arterial_OD!AL69-Arterial_Truck!AL69-Arterial_HOT!AL69</f>
        <v>32.860868480000001</v>
      </c>
      <c r="AM69" s="12">
        <f>VISUM_Arterial_OD!AM69-Arterial_Truck!AM69-Arterial_HOT!AM69</f>
        <v>0</v>
      </c>
      <c r="AN69" s="12">
        <f>VISUM_Arterial_OD!AN69-Arterial_Truck!AN69-Arterial_HOT!AN69</f>
        <v>66.391610229999998</v>
      </c>
      <c r="AO69" s="12">
        <f>VISUM_Arterial_OD!AO69-Arterial_Truck!AO69-Arterial_HOT!AO69</f>
        <v>0</v>
      </c>
      <c r="AP69" s="12">
        <f>VISUM_Arterial_OD!AP69-Arterial_Truck!AP69-Arterial_HOT!AP69</f>
        <v>0</v>
      </c>
      <c r="AQ69" s="12">
        <f>VISUM_Arterial_OD!AQ69-Arterial_Truck!AQ69-Arterial_HOT!AQ69</f>
        <v>0</v>
      </c>
      <c r="AR69" s="12">
        <f>VISUM_Arterial_OD!AR69-Arterial_Truck!AR69-Arterial_HOT!AR69</f>
        <v>0</v>
      </c>
      <c r="AS69" s="12">
        <f>VISUM_Arterial_OD!AS69-Arterial_Truck!AS69-Arterial_HOT!AS69</f>
        <v>0</v>
      </c>
      <c r="AT69" s="12">
        <f>VISUM_Arterial_OD!AT69-Arterial_Truck!AT69-Arterial_HOT!AT69</f>
        <v>0</v>
      </c>
      <c r="AU69" s="12">
        <f>VISUM_Arterial_OD!AU69-Arterial_Truck!AU69-Arterial_HOT!AU69</f>
        <v>0</v>
      </c>
      <c r="AV69" s="12">
        <f>VISUM_Arterial_OD!AV69-Arterial_Truck!AV69-Arterial_HOT!AV69</f>
        <v>0</v>
      </c>
      <c r="AW69" s="12">
        <f>VISUM_Arterial_OD!AW69-Arterial_Truck!AW69-Arterial_HOT!AW69</f>
        <v>0</v>
      </c>
      <c r="AX69" s="12">
        <f>VISUM_Arterial_OD!AX69-Arterial_Truck!AX69-Arterial_HOT!AX69</f>
        <v>0</v>
      </c>
      <c r="AY69" s="12">
        <f>VISUM_Arterial_OD!AY69-Arterial_Truck!AY69-Arterial_HOT!AY69</f>
        <v>0</v>
      </c>
      <c r="AZ69" s="12">
        <f>VISUM_Arterial_OD!AZ69-Arterial_Truck!AZ69-Arterial_HOT!AZ69</f>
        <v>0</v>
      </c>
      <c r="BA69" s="12">
        <f>VISUM_Arterial_OD!BA69-Arterial_Truck!BA69-Arterial_HOT!BA69</f>
        <v>0</v>
      </c>
      <c r="BB69" s="12">
        <f>VISUM_Arterial_OD!BB69-Arterial_Truck!BB69-Arterial_HOT!BB69</f>
        <v>0</v>
      </c>
      <c r="BC69" s="12">
        <f>VISUM_Arterial_OD!BC69-Arterial_Truck!BC69-Arterial_HOT!BC69</f>
        <v>0</v>
      </c>
      <c r="BD69" s="12">
        <f>VISUM_Arterial_OD!BD69-Arterial_Truck!BD69-Arterial_HOT!BD69</f>
        <v>0</v>
      </c>
      <c r="BE69" s="12">
        <f>VISUM_Arterial_OD!BE69-Arterial_Truck!BE69-Arterial_HOT!BE69</f>
        <v>0</v>
      </c>
      <c r="BF69" s="12">
        <f>VISUM_Arterial_OD!BF69-Arterial_Truck!BF69-Arterial_HOT!BF69</f>
        <v>0</v>
      </c>
      <c r="BG69" s="12">
        <f>VISUM_Arterial_OD!BG69-Arterial_Truck!BG69-Arterial_HOT!BG69</f>
        <v>0</v>
      </c>
      <c r="BH69" s="12">
        <f>VISUM_Arterial_OD!BH69-Arterial_Truck!BH69-Arterial_HOT!BH69</f>
        <v>0</v>
      </c>
      <c r="BI69" s="12">
        <f>VISUM_Arterial_OD!BI69-Arterial_Truck!BI69-Arterial_HOT!BI69</f>
        <v>0</v>
      </c>
      <c r="BJ69" s="12">
        <f>VISUM_Arterial_OD!BJ69-Arterial_Truck!BJ69-Arterial_HOT!BJ69</f>
        <v>0</v>
      </c>
      <c r="BK69" s="12">
        <f>VISUM_Arterial_OD!BK69-Arterial_Truck!BK69-Arterial_HOT!BK69</f>
        <v>0</v>
      </c>
      <c r="BL69" s="12">
        <f>VISUM_Arterial_OD!BL69-Arterial_Truck!BL69-Arterial_HOT!BL69</f>
        <v>0</v>
      </c>
      <c r="BM69" s="12">
        <f>VISUM_Arterial_OD!BM69-Arterial_Truck!BM69-Arterial_HOT!BM69</f>
        <v>0</v>
      </c>
      <c r="BN69" s="12">
        <f>VISUM_Arterial_OD!BN69-Arterial_Truck!BN69-Arterial_HOT!BN69</f>
        <v>0</v>
      </c>
      <c r="BO69" s="12">
        <f>VISUM_Arterial_OD!BO69-Arterial_Truck!BO69-Arterial_HOT!BO69</f>
        <v>0</v>
      </c>
      <c r="BP69" s="12">
        <f>VISUM_Arterial_OD!BP69-Arterial_Truck!BP69-Arterial_HOT!BP69</f>
        <v>0</v>
      </c>
      <c r="BQ69" s="12">
        <f>VISUM_Arterial_OD!BQ69-Arterial_Truck!BQ69-Arterial_HOT!BQ69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5792E-23FC-49D6-8364-F434F0E7CBD8}">
  <sheetPr codeName="Sheet16">
    <tabColor theme="1"/>
  </sheetPr>
  <dimension ref="A1:AX50"/>
  <sheetViews>
    <sheetView workbookViewId="0">
      <pane xSplit="2" ySplit="2" topLeftCell="AE24" activePane="bottomRight" state="frozen"/>
      <selection pane="topRight" activeCell="C1" sqref="C1"/>
      <selection pane="bottomLeft" activeCell="A3" sqref="A3"/>
      <selection pane="bottomRight" activeCell="AN58" sqref="AN58"/>
    </sheetView>
  </sheetViews>
  <sheetFormatPr defaultRowHeight="15" x14ac:dyDescent="0.25"/>
  <cols>
    <col min="1" max="1" width="11.28515625" customWidth="1"/>
    <col min="3" max="40" width="9.85546875" customWidth="1"/>
  </cols>
  <sheetData>
    <row r="1" spans="1:50" x14ac:dyDescent="0.25">
      <c r="A1" s="34">
        <v>10</v>
      </c>
      <c r="B1" s="34"/>
      <c r="C1" s="34">
        <f>IF(VLOOKUP(C2,Freeway_Zone_Link_Mapping!$A:$C,3,FALSE)&lt;&gt;"",VLOOKUP(C2,Freeway_Zone_Link_Mapping!$A:$C,3,FALSE),"")</f>
        <v>105920061</v>
      </c>
      <c r="D1" s="34" t="str">
        <f>IF(VLOOKUP(D2,Freeway_Zone_Link_Mapping!$A:$C,3,FALSE)&lt;&gt;"",VLOOKUP(D2,Freeway_Zone_Link_Mapping!$A:$C,3,FALSE),"")</f>
        <v/>
      </c>
      <c r="E1" s="34">
        <f>IF(VLOOKUP(E2,Freeway_Zone_Link_Mapping!$A:$C,3,FALSE)&lt;&gt;"",VLOOKUP(E2,Freeway_Zone_Link_Mapping!$A:$C,3,FALSE),"")</f>
        <v>105920056</v>
      </c>
      <c r="F1" s="34">
        <f>IF(VLOOKUP(F2,Freeway_Zone_Link_Mapping!$A:$C,3,FALSE)&lt;&gt;"",VLOOKUP(F2,Freeway_Zone_Link_Mapping!$A:$C,3,FALSE),"")</f>
        <v>308</v>
      </c>
      <c r="G1" s="34">
        <f>IF(VLOOKUP(G2,Freeway_Zone_Link_Mapping!$A:$C,3,FALSE)&lt;&gt;"",VLOOKUP(G2,Freeway_Zone_Link_Mapping!$A:$C,3,FALSE),"")</f>
        <v>389</v>
      </c>
      <c r="H1" s="34">
        <f>IF(VLOOKUP(H2,Freeway_Zone_Link_Mapping!$A:$C,3,FALSE)&lt;&gt;"",VLOOKUP(H2,Freeway_Zone_Link_Mapping!$A:$C,3,FALSE),"")</f>
        <v>189</v>
      </c>
      <c r="I1" s="34" t="str">
        <f>IF(VLOOKUP(I2,Freeway_Zone_Link_Mapping!$A:$C,3,FALSE)&lt;&gt;"",VLOOKUP(I2,Freeway_Zone_Link_Mapping!$A:$C,3,FALSE),"")</f>
        <v/>
      </c>
      <c r="J1" s="34" t="str">
        <f>IF(VLOOKUP(J2,Freeway_Zone_Link_Mapping!$A:$C,3,FALSE)&lt;&gt;"",VLOOKUP(J2,Freeway_Zone_Link_Mapping!$A:$C,3,FALSE),"")</f>
        <v/>
      </c>
      <c r="K1" s="34">
        <f>IF(VLOOKUP(K2,Freeway_Zone_Link_Mapping!$A:$C,3,FALSE)&lt;&gt;"",VLOOKUP(K2,Freeway_Zone_Link_Mapping!$A:$C,3,FALSE),"")</f>
        <v>321</v>
      </c>
      <c r="L1" s="34" t="str">
        <f>IF(VLOOKUP(L2,Freeway_Zone_Link_Mapping!$A:$C,3,FALSE)&lt;&gt;"",VLOOKUP(L2,Freeway_Zone_Link_Mapping!$A:$C,3,FALSE),"")</f>
        <v/>
      </c>
      <c r="M1" s="34">
        <f>IF(VLOOKUP(M2,Freeway_Zone_Link_Mapping!$A:$C,3,FALSE)&lt;&gt;"",VLOOKUP(M2,Freeway_Zone_Link_Mapping!$A:$C,3,FALSE),"")</f>
        <v>323</v>
      </c>
      <c r="N1" s="34">
        <f>IF(VLOOKUP(N2,Freeway_Zone_Link_Mapping!$A:$C,3,FALSE)&lt;&gt;"",VLOOKUP(N2,Freeway_Zone_Link_Mapping!$A:$C,3,FALSE),"")</f>
        <v>43</v>
      </c>
      <c r="O1" s="34" t="str">
        <f>IF(VLOOKUP(O2,Freeway_Zone_Link_Mapping!$A:$C,3,FALSE)&lt;&gt;"",VLOOKUP(O2,Freeway_Zone_Link_Mapping!$A:$C,3,FALSE),"")</f>
        <v/>
      </c>
      <c r="P1" s="34">
        <f>IF(VLOOKUP(P2,Freeway_Zone_Link_Mapping!$A:$C,3,FALSE)&lt;&gt;"",VLOOKUP(P2,Freeway_Zone_Link_Mapping!$A:$C,3,FALSE),"")</f>
        <v>190</v>
      </c>
      <c r="Q1" s="34" t="str">
        <f>IF(VLOOKUP(Q2,Freeway_Zone_Link_Mapping!$A:$C,3,FALSE)&lt;&gt;"",VLOOKUP(Q2,Freeway_Zone_Link_Mapping!$A:$C,3,FALSE),"")</f>
        <v/>
      </c>
      <c r="R1" s="34" t="str">
        <f>IF(VLOOKUP(R2,Freeway_Zone_Link_Mapping!$A:$C,3,FALSE)&lt;&gt;"",VLOOKUP(R2,Freeway_Zone_Link_Mapping!$A:$C,3,FALSE),"")</f>
        <v/>
      </c>
      <c r="S1" s="34">
        <f>IF(VLOOKUP(S2,Freeway_Zone_Link_Mapping!$A:$C,3,FALSE)&lt;&gt;"",VLOOKUP(S2,Freeway_Zone_Link_Mapping!$A:$C,3,FALSE),"")</f>
        <v>10228</v>
      </c>
      <c r="T1" s="34">
        <f>IF(VLOOKUP(T2,Freeway_Zone_Link_Mapping!$A:$C,3,FALSE)&lt;&gt;"",VLOOKUP(T2,Freeway_Zone_Link_Mapping!$A:$C,3,FALSE),"")</f>
        <v>10619</v>
      </c>
      <c r="U1" s="34" t="str">
        <f>IF(VLOOKUP(U2,Freeway_Zone_Link_Mapping!$A:$C,3,FALSE)&lt;&gt;"",VLOOKUP(U2,Freeway_Zone_Link_Mapping!$A:$C,3,FALSE),"")</f>
        <v/>
      </c>
      <c r="V1" s="34">
        <f>IF(VLOOKUP(V2,Freeway_Zone_Link_Mapping!$A:$C,3,FALSE)&lt;&gt;"",VLOOKUP(V2,Freeway_Zone_Link_Mapping!$A:$C,3,FALSE),"")</f>
        <v>10290</v>
      </c>
      <c r="W1" s="34" t="str">
        <f>IF(VLOOKUP(W2,Freeway_Zone_Link_Mapping!$A:$C,3,FALSE)&lt;&gt;"",VLOOKUP(W2,Freeway_Zone_Link_Mapping!$A:$C,3,FALSE),"")</f>
        <v/>
      </c>
      <c r="X1" s="34">
        <f>IF(VLOOKUP(X2,Freeway_Zone_Link_Mapping!$A:$C,3,FALSE)&lt;&gt;"",VLOOKUP(X2,Freeway_Zone_Link_Mapping!$A:$C,3,FALSE),"")</f>
        <v>10664</v>
      </c>
      <c r="Y1" s="34" t="str">
        <f>IF(VLOOKUP(Y2,Freeway_Zone_Link_Mapping!$A:$C,3,FALSE)&lt;&gt;"",VLOOKUP(Y2,Freeway_Zone_Link_Mapping!$A:$C,3,FALSE),"")</f>
        <v/>
      </c>
      <c r="Z1" s="34">
        <f>IF(VLOOKUP(Z2,Freeway_Zone_Link_Mapping!$A:$C,3,FALSE)&lt;&gt;"",VLOOKUP(Z2,Freeway_Zone_Link_Mapping!$A:$C,3,FALSE),"")</f>
        <v>201</v>
      </c>
      <c r="AA1" s="34">
        <f>IF(VLOOKUP(AA2,Freeway_Zone_Link_Mapping!$A:$C,3,FALSE)&lt;&gt;"",VLOOKUP(AA2,Freeway_Zone_Link_Mapping!$A:$C,3,FALSE),"")</f>
        <v>193</v>
      </c>
      <c r="AB1" s="34">
        <f>IF(VLOOKUP(AB2,Freeway_Zone_Link_Mapping!$A:$C,3,FALSE)&lt;&gt;"",VLOOKUP(AB2,Freeway_Zone_Link_Mapping!$A:$C,3,FALSE),"")</f>
        <v>369</v>
      </c>
      <c r="AC1" s="34" t="str">
        <f>IF(VLOOKUP(AC2,Freeway_Zone_Link_Mapping!$A:$C,3,FALSE)&lt;&gt;"",VLOOKUP(AC2,Freeway_Zone_Link_Mapping!$A:$C,3,FALSE),"")</f>
        <v/>
      </c>
      <c r="AD1" s="34" t="str">
        <f>IF(VLOOKUP(AD2,Freeway_Zone_Link_Mapping!$A:$C,3,FALSE)&lt;&gt;"",VLOOKUP(AD2,Freeway_Zone_Link_Mapping!$A:$C,3,FALSE),"")</f>
        <v/>
      </c>
      <c r="AE1" s="34">
        <f>IF(VLOOKUP(AE2,Freeway_Zone_Link_Mapping!$A:$C,3,FALSE)&lt;&gt;"",VLOOKUP(AE2,Freeway_Zone_Link_Mapping!$A:$C,3,FALSE),"")</f>
        <v>380</v>
      </c>
      <c r="AF1" s="34">
        <f>IF(VLOOKUP(AF2,Freeway_Zone_Link_Mapping!$A:$C,3,FALSE)&lt;&gt;"",VLOOKUP(AF2,Freeway_Zone_Link_Mapping!$A:$C,3,FALSE),"")</f>
        <v>401</v>
      </c>
      <c r="AG1" s="34">
        <f>IF(VLOOKUP(AG2,Freeway_Zone_Link_Mapping!$A:$C,3,FALSE)&lt;&gt;"",VLOOKUP(AG2,Freeway_Zone_Link_Mapping!$A:$C,3,FALSE),"")</f>
        <v>392</v>
      </c>
      <c r="AH1" s="34" t="str">
        <f>IF(VLOOKUP(AH2,Freeway_Zone_Link_Mapping!$A:$C,3,FALSE)&lt;&gt;"",VLOOKUP(AH2,Freeway_Zone_Link_Mapping!$A:$C,3,FALSE),"")</f>
        <v/>
      </c>
      <c r="AI1" s="34">
        <f>IF(VLOOKUP(AI2,Freeway_Zone_Link_Mapping!$A:$C,3,FALSE)&lt;&gt;"",VLOOKUP(AI2,Freeway_Zone_Link_Mapping!$A:$C,3,FALSE),"")</f>
        <v>61</v>
      </c>
      <c r="AJ1" s="34">
        <f>IF(VLOOKUP(AJ2,Freeway_Zone_Link_Mapping!$A:$C,3,FALSE)&lt;&gt;"",VLOOKUP(AJ2,Freeway_Zone_Link_Mapping!$A:$C,3,FALSE),"")</f>
        <v>20040</v>
      </c>
      <c r="AK1" s="34">
        <f>IF(VLOOKUP(AK2,Freeway_Zone_Link_Mapping!$A:$C,3,FALSE)&lt;&gt;"",VLOOKUP(AK2,Freeway_Zone_Link_Mapping!$A:$C,3,FALSE),"")</f>
        <v>466</v>
      </c>
      <c r="AL1" s="34">
        <f>IF(VLOOKUP(AL2,Freeway_Zone_Link_Mapping!$A:$C,3,FALSE)&lt;&gt;"",VLOOKUP(AL2,Freeway_Zone_Link_Mapping!$A:$C,3,FALSE),"")</f>
        <v>453</v>
      </c>
      <c r="AM1" s="34">
        <f>IF(VLOOKUP(AM2,Freeway_Zone_Link_Mapping!$A:$C,3,FALSE)&lt;&gt;"",VLOOKUP(AM2,Freeway_Zone_Link_Mapping!$A:$C,3,FALSE),"")</f>
        <v>28280063</v>
      </c>
      <c r="AN1" s="34">
        <f>IF(VLOOKUP(AN2,Freeway_Zone_Link_Mapping!$A:$C,3,FALSE)&lt;&gt;"",VLOOKUP(AN2,Freeway_Zone_Link_Mapping!$A:$C,3,FALSE),"")</f>
        <v>28280070</v>
      </c>
      <c r="AO1" s="34" t="str">
        <f>IF(VLOOKUP(AO2,Freeway_Zone_Link_Mapping!$A:$C,3,FALSE)&lt;&gt;"",VLOOKUP(AO2,Freeway_Zone_Link_Mapping!$A:$C,3,FALSE),"")</f>
        <v/>
      </c>
      <c r="AP1" s="34" t="str">
        <f>IF(VLOOKUP(AP2,Freeway_Zone_Link_Mapping!$A:$C,3,FALSE)&lt;&gt;"",VLOOKUP(AP2,Freeway_Zone_Link_Mapping!$A:$C,3,FALSE),"")</f>
        <v/>
      </c>
      <c r="AQ1" s="34">
        <f>IF(VLOOKUP(AQ2,Freeway_Zone_Link_Mapping!$A:$C,3,FALSE)&lt;&gt;"",VLOOKUP(AQ2,Freeway_Zone_Link_Mapping!$A:$C,3,FALSE),"")</f>
        <v>434</v>
      </c>
      <c r="AR1" s="34">
        <f>IF(VLOOKUP(AR2,Freeway_Zone_Link_Mapping!$A:$C,3,FALSE)&lt;&gt;"",VLOOKUP(AR2,Freeway_Zone_Link_Mapping!$A:$C,3,FALSE),"")</f>
        <v>42</v>
      </c>
      <c r="AS1" s="34">
        <f>IF(VLOOKUP(AS2,Freeway_Zone_Link_Mapping!$A:$C,3,FALSE)&lt;&gt;"",VLOOKUP(AS2,Freeway_Zone_Link_Mapping!$A:$C,3,FALSE),"")</f>
        <v>460</v>
      </c>
      <c r="AT1" s="34">
        <f>IF(VLOOKUP(AT2,Freeway_Zone_Link_Mapping!$A:$C,3,FALSE)&lt;&gt;"",VLOOKUP(AT2,Freeway_Zone_Link_Mapping!$A:$C,3,FALSE),"")</f>
        <v>31</v>
      </c>
      <c r="AU1" s="34">
        <f>IF(VLOOKUP(AU2,Freeway_Zone_Link_Mapping!$A:$C,3,FALSE)&lt;&gt;"",VLOOKUP(AU2,Freeway_Zone_Link_Mapping!$A:$C,3,FALSE),"")</f>
        <v>28280069</v>
      </c>
      <c r="AV1" s="34">
        <f>IF(VLOOKUP(AV2,Freeway_Zone_Link_Mapping!$A:$C,3,FALSE)&lt;&gt;"",VLOOKUP(AV2,Freeway_Zone_Link_Mapping!$A:$C,3,FALSE),"")</f>
        <v>447</v>
      </c>
      <c r="AW1" s="34">
        <f>IF(VLOOKUP(AW2,Freeway_Zone_Link_Mapping!$A:$C,3,FALSE)&lt;&gt;"",VLOOKUP(AW2,Freeway_Zone_Link_Mapping!$A:$C,3,FALSE),"")</f>
        <v>523</v>
      </c>
      <c r="AX1" s="34">
        <f>IF(VLOOKUP(AX2,Freeway_Zone_Link_Mapping!$A:$C,3,FALSE)&lt;&gt;"",VLOOKUP(AX2,Freeway_Zone_Link_Mapping!$A:$C,3,FALSE),"")</f>
        <v>522</v>
      </c>
    </row>
    <row r="2" spans="1:50" x14ac:dyDescent="0.25">
      <c r="A2" s="34"/>
      <c r="B2" s="34"/>
      <c r="C2" s="34">
        <v>12</v>
      </c>
      <c r="D2" s="34">
        <v>13</v>
      </c>
      <c r="E2" s="34">
        <v>14</v>
      </c>
      <c r="F2" s="34">
        <v>15</v>
      </c>
      <c r="G2" s="34">
        <v>24</v>
      </c>
      <c r="H2" s="34">
        <v>28</v>
      </c>
      <c r="I2" s="34">
        <v>29</v>
      </c>
      <c r="J2" s="34">
        <v>30</v>
      </c>
      <c r="K2" s="34">
        <v>31</v>
      </c>
      <c r="L2" s="34">
        <v>32</v>
      </c>
      <c r="M2" s="34">
        <v>33</v>
      </c>
      <c r="N2" s="34">
        <v>34</v>
      </c>
      <c r="O2" s="34">
        <v>35</v>
      </c>
      <c r="P2" s="34">
        <v>36</v>
      </c>
      <c r="Q2" s="34">
        <v>37</v>
      </c>
      <c r="R2" s="34">
        <v>38</v>
      </c>
      <c r="S2" s="34">
        <v>39</v>
      </c>
      <c r="T2" s="34">
        <v>40</v>
      </c>
      <c r="U2" s="34">
        <v>41</v>
      </c>
      <c r="V2" s="34">
        <v>42</v>
      </c>
      <c r="W2" s="34">
        <v>43</v>
      </c>
      <c r="X2" s="34">
        <v>44</v>
      </c>
      <c r="Y2" s="34">
        <v>45</v>
      </c>
      <c r="Z2" s="34">
        <v>46</v>
      </c>
      <c r="AA2" s="34">
        <v>47</v>
      </c>
      <c r="AB2" s="34">
        <v>48</v>
      </c>
      <c r="AC2" s="34">
        <v>49</v>
      </c>
      <c r="AD2" s="34">
        <v>50</v>
      </c>
      <c r="AE2" s="34">
        <v>51</v>
      </c>
      <c r="AF2" s="34">
        <v>52</v>
      </c>
      <c r="AG2" s="34">
        <v>53</v>
      </c>
      <c r="AH2" s="34">
        <v>54</v>
      </c>
      <c r="AI2" s="34">
        <v>55</v>
      </c>
      <c r="AJ2" s="34">
        <v>56</v>
      </c>
      <c r="AK2" s="34">
        <v>57</v>
      </c>
      <c r="AL2" s="34">
        <v>58</v>
      </c>
      <c r="AM2" s="34">
        <v>59</v>
      </c>
      <c r="AN2" s="34">
        <v>60</v>
      </c>
      <c r="AO2" s="34">
        <v>61</v>
      </c>
      <c r="AP2" s="34">
        <v>62</v>
      </c>
      <c r="AQ2" s="34">
        <v>63</v>
      </c>
      <c r="AR2" s="34">
        <v>64</v>
      </c>
      <c r="AS2" s="20">
        <v>66</v>
      </c>
      <c r="AT2" s="20">
        <v>67</v>
      </c>
      <c r="AU2" s="20">
        <v>68</v>
      </c>
      <c r="AV2" s="20">
        <v>69</v>
      </c>
      <c r="AW2" s="20">
        <v>70</v>
      </c>
      <c r="AX2" s="20">
        <v>71</v>
      </c>
    </row>
    <row r="3" spans="1:50" x14ac:dyDescent="0.25">
      <c r="A3" s="34">
        <f>IF(VLOOKUP(B3,Freeway_Zone_Link_Mapping!$A:$C,2,FALSE)&lt;&gt;"",VLOOKUP(B3,Freeway_Zone_Link_Mapping!$A:$C,2,FALSE),"")</f>
        <v>105920028</v>
      </c>
      <c r="B3" s="34">
        <v>12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</row>
    <row r="4" spans="1:50" x14ac:dyDescent="0.25">
      <c r="A4" s="34">
        <f>IF(VLOOKUP(B4,Freeway_Zone_Link_Mapping!$A:$C,2,FALSE)&lt;&gt;"",VLOOKUP(B4,Freeway_Zone_Link_Mapping!$A:$C,2,FALSE),"")</f>
        <v>105920065</v>
      </c>
      <c r="B4" s="34">
        <v>13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</row>
    <row r="5" spans="1:50" x14ac:dyDescent="0.25">
      <c r="A5" s="34">
        <f>IF(VLOOKUP(B5,Freeway_Zone_Link_Mapping!$A:$C,2,FALSE)&lt;&gt;"",VLOOKUP(B5,Freeway_Zone_Link_Mapping!$A:$C,2,FALSE),"")</f>
        <v>105920026</v>
      </c>
      <c r="B5" s="34">
        <v>14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</row>
    <row r="6" spans="1:50" x14ac:dyDescent="0.25">
      <c r="A6" s="34" t="str">
        <f>IF(VLOOKUP(B6,Freeway_Zone_Link_Mapping!$A:$C,2,FALSE)&lt;&gt;"",VLOOKUP(B6,Freeway_Zone_Link_Mapping!$A:$C,2,FALSE),"")</f>
        <v/>
      </c>
      <c r="B6" s="34">
        <v>15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</row>
    <row r="7" spans="1:50" x14ac:dyDescent="0.25">
      <c r="A7" s="34">
        <f>IF(VLOOKUP(B7,Freeway_Zone_Link_Mapping!$A:$C,2,FALSE)&lt;&gt;"",VLOOKUP(B7,Freeway_Zone_Link_Mapping!$A:$C,2,FALSE),"")</f>
        <v>246</v>
      </c>
      <c r="B7" s="34">
        <v>24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</row>
    <row r="8" spans="1:50" x14ac:dyDescent="0.25">
      <c r="A8" s="34" t="str">
        <f>IF(VLOOKUP(B8,Freeway_Zone_Link_Mapping!$A:$C,2,FALSE)&lt;&gt;"",VLOOKUP(B8,Freeway_Zone_Link_Mapping!$A:$C,2,FALSE),"")</f>
        <v/>
      </c>
      <c r="B8" s="34">
        <v>28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</row>
    <row r="9" spans="1:50" x14ac:dyDescent="0.25">
      <c r="A9" s="34">
        <f>IF(VLOOKUP(B9,Freeway_Zone_Link_Mapping!$A:$C,2,FALSE)&lt;&gt;"",VLOOKUP(B9,Freeway_Zone_Link_Mapping!$A:$C,2,FALSE),"")</f>
        <v>210</v>
      </c>
      <c r="B9" s="34">
        <v>29</v>
      </c>
      <c r="C9">
        <v>0</v>
      </c>
      <c r="D9">
        <v>0</v>
      </c>
      <c r="E9">
        <v>0</v>
      </c>
      <c r="F9" s="20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</row>
    <row r="10" spans="1:50" x14ac:dyDescent="0.25">
      <c r="A10" s="34">
        <f>IF(VLOOKUP(B10,Freeway_Zone_Link_Mapping!$A:$C,2,FALSE)&lt;&gt;"",VLOOKUP(B10,Freeway_Zone_Link_Mapping!$A:$C,2,FALSE),"")</f>
        <v>24</v>
      </c>
      <c r="B10" s="34">
        <v>30</v>
      </c>
      <c r="C10">
        <v>0</v>
      </c>
      <c r="D10">
        <v>0</v>
      </c>
      <c r="E10">
        <v>0</v>
      </c>
      <c r="F10" s="2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</row>
    <row r="11" spans="1:50" x14ac:dyDescent="0.25">
      <c r="A11" s="34" t="str">
        <f>IF(VLOOKUP(B11,Freeway_Zone_Link_Mapping!$A:$C,2,FALSE)&lt;&gt;"",VLOOKUP(B11,Freeway_Zone_Link_Mapping!$A:$C,2,FALSE),"")</f>
        <v/>
      </c>
      <c r="B11" s="34">
        <v>31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</row>
    <row r="12" spans="1:50" x14ac:dyDescent="0.25">
      <c r="A12" s="34">
        <f>IF(VLOOKUP(B12,Freeway_Zone_Link_Mapping!$A:$C,2,FALSE)&lt;&gt;"",VLOOKUP(B12,Freeway_Zone_Link_Mapping!$A:$C,2,FALSE),"")</f>
        <v>65</v>
      </c>
      <c r="B12" s="34">
        <v>32</v>
      </c>
      <c r="C12">
        <v>0</v>
      </c>
      <c r="D12">
        <v>0</v>
      </c>
      <c r="E12">
        <v>0</v>
      </c>
      <c r="F12" s="20">
        <v>1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</row>
    <row r="13" spans="1:50" x14ac:dyDescent="0.25">
      <c r="A13" s="34" t="str">
        <f>IF(VLOOKUP(B13,Freeway_Zone_Link_Mapping!$A:$C,2,FALSE)&lt;&gt;"",VLOOKUP(B13,Freeway_Zone_Link_Mapping!$A:$C,2,FALSE),"")</f>
        <v/>
      </c>
      <c r="B13" s="34">
        <v>33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</row>
    <row r="14" spans="1:50" x14ac:dyDescent="0.25">
      <c r="A14" s="34" t="str">
        <f>IF(VLOOKUP(B14,Freeway_Zone_Link_Mapping!$A:$C,2,FALSE)&lt;&gt;"",VLOOKUP(B14,Freeway_Zone_Link_Mapping!$A:$C,2,FALSE),"")</f>
        <v/>
      </c>
      <c r="B14" s="34">
        <v>34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</row>
    <row r="15" spans="1:50" x14ac:dyDescent="0.25">
      <c r="A15" s="34">
        <f>IF(VLOOKUP(B15,Freeway_Zone_Link_Mapping!$A:$C,2,FALSE)&lt;&gt;"",VLOOKUP(B15,Freeway_Zone_Link_Mapping!$A:$C,2,FALSE),"")</f>
        <v>59</v>
      </c>
      <c r="B15" s="34">
        <v>35</v>
      </c>
      <c r="C15" s="20">
        <v>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</row>
    <row r="16" spans="1:50" x14ac:dyDescent="0.25">
      <c r="A16" s="34" t="str">
        <f>IF(VLOOKUP(B16,Freeway_Zone_Link_Mapping!$A:$C,2,FALSE)&lt;&gt;"",VLOOKUP(B16,Freeway_Zone_Link_Mapping!$A:$C,2,FALSE),"")</f>
        <v/>
      </c>
      <c r="B16" s="34">
        <v>36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</row>
    <row r="17" spans="1:50" x14ac:dyDescent="0.25">
      <c r="A17" s="34">
        <f>IF(VLOOKUP(B17,Freeway_Zone_Link_Mapping!$A:$C,2,FALSE)&lt;&gt;"",VLOOKUP(B17,Freeway_Zone_Link_Mapping!$A:$C,2,FALSE),"")</f>
        <v>245</v>
      </c>
      <c r="B17" s="34">
        <v>37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</row>
    <row r="18" spans="1:50" x14ac:dyDescent="0.25">
      <c r="A18" s="34">
        <f>IF(VLOOKUP(B18,Freeway_Zone_Link_Mapping!$A:$C,2,FALSE)&lt;&gt;"",VLOOKUP(B18,Freeway_Zone_Link_Mapping!$A:$C,2,FALSE),"")</f>
        <v>183</v>
      </c>
      <c r="B18" s="34">
        <v>38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</row>
    <row r="19" spans="1:50" x14ac:dyDescent="0.25">
      <c r="A19" s="34" t="str">
        <f>IF(VLOOKUP(B19,Freeway_Zone_Link_Mapping!$A:$C,2,FALSE)&lt;&gt;"",VLOOKUP(B19,Freeway_Zone_Link_Mapping!$A:$C,2,FALSE),"")</f>
        <v/>
      </c>
      <c r="B19" s="34">
        <v>39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</row>
    <row r="20" spans="1:50" x14ac:dyDescent="0.25">
      <c r="A20" s="34" t="str">
        <f>IF(VLOOKUP(B20,Freeway_Zone_Link_Mapping!$A:$C,2,FALSE)&lt;&gt;"",VLOOKUP(B20,Freeway_Zone_Link_Mapping!$A:$C,2,FALSE),"")</f>
        <v/>
      </c>
      <c r="B20" s="34">
        <v>40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</row>
    <row r="21" spans="1:50" x14ac:dyDescent="0.25">
      <c r="A21" s="34">
        <f>IF(VLOOKUP(B21,Freeway_Zone_Link_Mapping!$A:$C,2,FALSE)&lt;&gt;"",VLOOKUP(B21,Freeway_Zone_Link_Mapping!$A:$C,2,FALSE),"")</f>
        <v>179</v>
      </c>
      <c r="B21" s="34">
        <v>41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</row>
    <row r="22" spans="1:50" x14ac:dyDescent="0.25">
      <c r="A22" s="34" t="str">
        <f>IF(VLOOKUP(B22,Freeway_Zone_Link_Mapping!$A:$C,2,FALSE)&lt;&gt;"",VLOOKUP(B22,Freeway_Zone_Link_Mapping!$A:$C,2,FALSE),"")</f>
        <v/>
      </c>
      <c r="B22" s="34">
        <v>42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</row>
    <row r="23" spans="1:50" x14ac:dyDescent="0.25">
      <c r="A23" s="34">
        <f>IF(VLOOKUP(B23,Freeway_Zone_Link_Mapping!$A:$C,2,FALSE)&lt;&gt;"",VLOOKUP(B23,Freeway_Zone_Link_Mapping!$A:$C,2,FALSE),"")</f>
        <v>105920110</v>
      </c>
      <c r="B23" s="34">
        <v>43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</row>
    <row r="24" spans="1:50" x14ac:dyDescent="0.25">
      <c r="A24" s="34" t="str">
        <f>IF(VLOOKUP(B24,Freeway_Zone_Link_Mapping!$A:$C,2,FALSE)&lt;&gt;"",VLOOKUP(B24,Freeway_Zone_Link_Mapping!$A:$C,2,FALSE),"")</f>
        <v/>
      </c>
      <c r="B24" s="34">
        <v>44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</row>
    <row r="25" spans="1:50" x14ac:dyDescent="0.25">
      <c r="A25" s="34">
        <f>IF(VLOOKUP(B25,Freeway_Zone_Link_Mapping!$A:$C,2,FALSE)&lt;&gt;"",VLOOKUP(B25,Freeway_Zone_Link_Mapping!$A:$C,2,FALSE),"")</f>
        <v>214</v>
      </c>
      <c r="B25" s="34">
        <v>45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</row>
    <row r="26" spans="1:50" x14ac:dyDescent="0.25">
      <c r="A26" s="34">
        <f>IF(VLOOKUP(B26,Freeway_Zone_Link_Mapping!$A:$C,2,FALSE)&lt;&gt;"",VLOOKUP(B26,Freeway_Zone_Link_Mapping!$A:$C,2,FALSE),"")</f>
        <v>191</v>
      </c>
      <c r="B26" s="34">
        <v>46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</row>
    <row r="27" spans="1:50" x14ac:dyDescent="0.25">
      <c r="A27" s="34">
        <f>IF(VLOOKUP(B27,Freeway_Zone_Link_Mapping!$A:$C,2,FALSE)&lt;&gt;"",VLOOKUP(B27,Freeway_Zone_Link_Mapping!$A:$C,2,FALSE),"")</f>
        <v>196</v>
      </c>
      <c r="B27" s="34">
        <v>47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</row>
    <row r="28" spans="1:50" x14ac:dyDescent="0.25">
      <c r="A28" s="34" t="str">
        <f>IF(VLOOKUP(B28,Freeway_Zone_Link_Mapping!$A:$C,2,FALSE)&lt;&gt;"",VLOOKUP(B28,Freeway_Zone_Link_Mapping!$A:$C,2,FALSE),"")</f>
        <v/>
      </c>
      <c r="B28" s="34">
        <v>48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</row>
    <row r="29" spans="1:50" x14ac:dyDescent="0.25">
      <c r="A29" s="34">
        <f>IF(VLOOKUP(B29,Freeway_Zone_Link_Mapping!$A:$C,2,FALSE)&lt;&gt;"",VLOOKUP(B29,Freeway_Zone_Link_Mapping!$A:$C,2,FALSE),"")</f>
        <v>500</v>
      </c>
      <c r="B29" s="34">
        <v>49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</row>
    <row r="30" spans="1:50" x14ac:dyDescent="0.25">
      <c r="A30" s="34">
        <f>IF(VLOOKUP(B30,Freeway_Zone_Link_Mapping!$A:$C,2,FALSE)&lt;&gt;"",VLOOKUP(B30,Freeway_Zone_Link_Mapping!$A:$C,2,FALSE),"")</f>
        <v>384</v>
      </c>
      <c r="B30" s="34">
        <v>50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</row>
    <row r="31" spans="1:50" x14ac:dyDescent="0.25">
      <c r="A31" s="34" t="str">
        <f>IF(VLOOKUP(B31,Freeway_Zone_Link_Mapping!$A:$C,2,FALSE)&lt;&gt;"",VLOOKUP(B31,Freeway_Zone_Link_Mapping!$A:$C,2,FALSE),"")</f>
        <v/>
      </c>
      <c r="B31" s="34">
        <v>51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</row>
    <row r="32" spans="1:50" x14ac:dyDescent="0.25">
      <c r="A32" s="34" t="str">
        <f>IF(VLOOKUP(B32,Freeway_Zone_Link_Mapping!$A:$C,2,FALSE)&lt;&gt;"",VLOOKUP(B32,Freeway_Zone_Link_Mapping!$A:$C,2,FALSE),"")</f>
        <v/>
      </c>
      <c r="B32" s="34">
        <v>52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</row>
    <row r="33" spans="1:50" x14ac:dyDescent="0.25">
      <c r="A33" s="34" t="str">
        <f>IF(VLOOKUP(B33,Freeway_Zone_Link_Mapping!$A:$C,2,FALSE)&lt;&gt;"",VLOOKUP(B33,Freeway_Zone_Link_Mapping!$A:$C,2,FALSE),"")</f>
        <v/>
      </c>
      <c r="B33" s="34">
        <v>53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</row>
    <row r="34" spans="1:50" x14ac:dyDescent="0.25">
      <c r="A34" s="34">
        <f>IF(VLOOKUP(B34,Freeway_Zone_Link_Mapping!$A:$C,2,FALSE)&lt;&gt;"",VLOOKUP(B34,Freeway_Zone_Link_Mapping!$A:$C,2,FALSE),"")</f>
        <v>398</v>
      </c>
      <c r="B34" s="34">
        <v>54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</row>
    <row r="35" spans="1:50" x14ac:dyDescent="0.25">
      <c r="A35" s="34">
        <f>IF(VLOOKUP(B35,Freeway_Zone_Link_Mapping!$A:$C,2,FALSE)&lt;&gt;"",VLOOKUP(B35,Freeway_Zone_Link_Mapping!$A:$C,2,FALSE),"")</f>
        <v>304</v>
      </c>
      <c r="B35" s="34">
        <v>55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</row>
    <row r="36" spans="1:50" x14ac:dyDescent="0.25">
      <c r="A36" s="34">
        <f>IF(VLOOKUP(B36,Freeway_Zone_Link_Mapping!$A:$C,2,FALSE)&lt;&gt;"",VLOOKUP(B36,Freeway_Zone_Link_Mapping!$A:$C,2,FALSE),"")</f>
        <v>262</v>
      </c>
      <c r="B36" s="34">
        <v>56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</row>
    <row r="37" spans="1:50" x14ac:dyDescent="0.25">
      <c r="A37" s="34">
        <f>IF(VLOOKUP(B37,Freeway_Zone_Link_Mapping!$A:$C,2,FALSE)&lt;&gt;"",VLOOKUP(B37,Freeway_Zone_Link_Mapping!$A:$C,2,FALSE),"")</f>
        <v>459</v>
      </c>
      <c r="B37" s="34">
        <v>57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</row>
    <row r="38" spans="1:50" x14ac:dyDescent="0.25">
      <c r="A38" s="34">
        <f>IF(VLOOKUP(B38,Freeway_Zone_Link_Mapping!$A:$C,2,FALSE)&lt;&gt;"",VLOOKUP(B38,Freeway_Zone_Link_Mapping!$A:$C,2,FALSE),"")</f>
        <v>28240364</v>
      </c>
      <c r="B38" s="34">
        <v>58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</row>
    <row r="39" spans="1:50" x14ac:dyDescent="0.25">
      <c r="A39" s="34">
        <f>IF(VLOOKUP(B39,Freeway_Zone_Link_Mapping!$A:$C,2,FALSE)&lt;&gt;"",VLOOKUP(B39,Freeway_Zone_Link_Mapping!$A:$C,2,FALSE),"")</f>
        <v>28280066</v>
      </c>
      <c r="B39" s="34">
        <v>59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</row>
    <row r="40" spans="1:50" x14ac:dyDescent="0.25">
      <c r="A40" s="34">
        <f>IF(VLOOKUP(B40,Freeway_Zone_Link_Mapping!$A:$C,2,FALSE)&lt;&gt;"",VLOOKUP(B40,Freeway_Zone_Link_Mapping!$A:$C,2,FALSE),"")</f>
        <v>105920001</v>
      </c>
      <c r="B40" s="34">
        <v>60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</row>
    <row r="41" spans="1:50" x14ac:dyDescent="0.25">
      <c r="A41" s="34">
        <f>IF(VLOOKUP(B41,Freeway_Zone_Link_Mapping!$A:$C,2,FALSE)&lt;&gt;"",VLOOKUP(B41,Freeway_Zone_Link_Mapping!$A:$C,2,FALSE),"")</f>
        <v>371</v>
      </c>
      <c r="B41" s="34">
        <v>61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</row>
    <row r="42" spans="1:50" x14ac:dyDescent="0.25">
      <c r="A42" s="34">
        <f>IF(VLOOKUP(B42,Freeway_Zone_Link_Mapping!$A:$C,2,FALSE)&lt;&gt;"",VLOOKUP(B42,Freeway_Zone_Link_Mapping!$A:$C,2,FALSE),"")</f>
        <v>424</v>
      </c>
      <c r="B42" s="34">
        <v>62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</row>
    <row r="43" spans="1:50" x14ac:dyDescent="0.25">
      <c r="A43" s="34" t="str">
        <f>IF(VLOOKUP(B43,Freeway_Zone_Link_Mapping!$A:$C,2,FALSE)&lt;&gt;"",VLOOKUP(B43,Freeway_Zone_Link_Mapping!$A:$C,2,FALSE),"")</f>
        <v/>
      </c>
      <c r="B43" s="34">
        <v>63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</row>
    <row r="44" spans="1:50" x14ac:dyDescent="0.25">
      <c r="A44" s="34" t="str">
        <f>IF(VLOOKUP(B44,Freeway_Zone_Link_Mapping!$A:$C,2,FALSE)&lt;&gt;"",VLOOKUP(B44,Freeway_Zone_Link_Mapping!$A:$C,2,FALSE),"")</f>
        <v/>
      </c>
      <c r="B44" s="34">
        <v>64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</row>
    <row r="45" spans="1:50" x14ac:dyDescent="0.25">
      <c r="A45" s="34">
        <f>IF(VLOOKUP(B45,Freeway_Zone_Link_Mapping!$A:$C,2,FALSE)&lt;&gt;"",VLOOKUP(B45,Freeway_Zone_Link_Mapping!$A:$C,2,FALSE),"")</f>
        <v>460</v>
      </c>
      <c r="B45" s="20">
        <v>66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</row>
    <row r="46" spans="1:50" x14ac:dyDescent="0.25">
      <c r="A46" s="34">
        <f>IF(VLOOKUP(B46,Freeway_Zone_Link_Mapping!$A:$C,2,FALSE)&lt;&gt;"",VLOOKUP(B46,Freeway_Zone_Link_Mapping!$A:$C,2,FALSE),"")</f>
        <v>31</v>
      </c>
      <c r="B46" s="20">
        <v>67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</row>
    <row r="47" spans="1:50" x14ac:dyDescent="0.25">
      <c r="A47" s="34">
        <f>IF(VLOOKUP(B47,Freeway_Zone_Link_Mapping!$A:$C,2,FALSE)&lt;&gt;"",VLOOKUP(B47,Freeway_Zone_Link_Mapping!$A:$C,2,FALSE),"")</f>
        <v>28280069</v>
      </c>
      <c r="B47" s="20">
        <v>68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</row>
    <row r="48" spans="1:50" x14ac:dyDescent="0.25">
      <c r="A48" s="34">
        <f>IF(VLOOKUP(B48,Freeway_Zone_Link_Mapping!$A:$C,2,FALSE)&lt;&gt;"",VLOOKUP(B48,Freeway_Zone_Link_Mapping!$A:$C,2,FALSE),"")</f>
        <v>447</v>
      </c>
      <c r="B48" s="20">
        <v>69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</row>
    <row r="49" spans="1:50" x14ac:dyDescent="0.25">
      <c r="A49" s="34">
        <f>IF(VLOOKUP(B49,Freeway_Zone_Link_Mapping!$A:$C,2,FALSE)&lt;&gt;"",VLOOKUP(B49,Freeway_Zone_Link_Mapping!$A:$C,2,FALSE),"")</f>
        <v>523</v>
      </c>
      <c r="B49" s="20">
        <v>70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</row>
    <row r="50" spans="1:50" x14ac:dyDescent="0.25">
      <c r="A50" s="34">
        <f>IF(VLOOKUP(B50,Freeway_Zone_Link_Mapping!$A:$C,2,FALSE)&lt;&gt;"",VLOOKUP(B50,Freeway_Zone_Link_Mapping!$A:$C,2,FALSE),"")</f>
        <v>522</v>
      </c>
      <c r="B50" s="20">
        <v>71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002060"/>
  </sheetPr>
  <dimension ref="A1:P52"/>
  <sheetViews>
    <sheetView workbookViewId="0">
      <selection activeCell="R10" sqref="R10"/>
    </sheetView>
  </sheetViews>
  <sheetFormatPr defaultRowHeight="15" x14ac:dyDescent="0.25"/>
  <cols>
    <col min="1" max="3" width="15.140625" customWidth="1"/>
    <col min="4" max="4" width="36.28515625" customWidth="1"/>
    <col min="5" max="5" width="15.5703125" customWidth="1"/>
  </cols>
  <sheetData>
    <row r="1" spans="1:16" x14ac:dyDescent="0.25">
      <c r="A1" s="16" t="s">
        <v>3</v>
      </c>
      <c r="B1" s="16" t="s">
        <v>44</v>
      </c>
      <c r="C1" s="16" t="s">
        <v>45</v>
      </c>
      <c r="D1" s="16" t="s">
        <v>17</v>
      </c>
      <c r="E1" s="16">
        <v>1</v>
      </c>
      <c r="F1" s="16">
        <v>1</v>
      </c>
      <c r="G1" s="16">
        <v>2</v>
      </c>
      <c r="H1" s="16">
        <v>2</v>
      </c>
      <c r="I1" s="16">
        <v>3</v>
      </c>
      <c r="J1" s="16">
        <v>3</v>
      </c>
      <c r="K1" s="16">
        <v>5</v>
      </c>
      <c r="L1" s="16">
        <v>5</v>
      </c>
      <c r="M1" s="16">
        <v>6</v>
      </c>
      <c r="N1" s="16">
        <v>6</v>
      </c>
      <c r="O1" s="16">
        <v>8</v>
      </c>
      <c r="P1" s="16">
        <v>8</v>
      </c>
    </row>
    <row r="2" spans="1:16" x14ac:dyDescent="0.25">
      <c r="A2">
        <v>105920065</v>
      </c>
      <c r="B2">
        <v>1</v>
      </c>
      <c r="C2">
        <f>IFERROR(VLOOKUP(A2,Freeway_Car!A:B,2,FALSE),VLOOKUP(A2,Arterial_Car!A:B,2,FALSE))</f>
        <v>13</v>
      </c>
      <c r="D2" t="s">
        <v>8</v>
      </c>
      <c r="E2" s="12">
        <f ca="1">IFERROR(SUM(INDIRECT("Freeway_Car!C"&amp;MATCH(A2,Freeway_Car!A:A,0)&amp;":AZ"&amp;MATCH(A2,Freeway_Car!A:A,0))),SUM(INDIRECT("Arterial_Car!C"&amp;MATCH(A2,Arterial_Car!A:A,0)&amp;":BQ"&amp;MATCH(A2,Arterial_Car!A:A,0))))</f>
        <v>6962.3311539100005</v>
      </c>
      <c r="F2">
        <v>55</v>
      </c>
      <c r="G2" s="12">
        <f ca="1">IFERROR(SUM(INDIRECT("Freeway_HOT!C"&amp;MATCH(A2,Freeway_HOT!A:A,0)&amp;":AN"&amp;MATCH(A2,Freeway_HOT!A:A,0))),SUM(INDIRECT("Arterial_HOT!C"&amp;MATCH(A2,Arterial_HOT!A:A,0)&amp;":BQ"&amp;MATCH(A2,Arterial_HOT!A:A,0))))</f>
        <v>0</v>
      </c>
      <c r="H2">
        <f>F2</f>
        <v>55</v>
      </c>
      <c r="I2" s="12">
        <f ca="1">IFERROR(SUM(INDIRECT("Freeway_Truck!C"&amp;MATCH(A2,Freeway_Truck!A:A,0)&amp;":AZ"&amp;MATCH(A2,Freeway_Truck!A:A,0))),SUM(INDIRECT("Arterial_Truck!C"&amp;MATCH(A2,Arterial_Truck!A:A,0)&amp;":BQ"&amp;MATCH(A2,Arterial_Truck!A:A,0))))</f>
        <v>836.58085309000012</v>
      </c>
      <c r="J2">
        <f>F2</f>
        <v>55</v>
      </c>
      <c r="K2">
        <v>0</v>
      </c>
      <c r="L2">
        <v>1</v>
      </c>
      <c r="M2">
        <v>0</v>
      </c>
      <c r="N2">
        <f>L2</f>
        <v>1</v>
      </c>
      <c r="O2">
        <v>0</v>
      </c>
      <c r="P2">
        <f>F2</f>
        <v>55</v>
      </c>
    </row>
    <row r="3" spans="1:16" x14ac:dyDescent="0.25">
      <c r="A3">
        <v>105920026</v>
      </c>
      <c r="B3">
        <v>2</v>
      </c>
      <c r="C3">
        <f>IFERROR(VLOOKUP(A3,Freeway_Car!A:B,2,FALSE),VLOOKUP(A3,Arterial_Car!A:B,2,FALSE))</f>
        <v>14</v>
      </c>
      <c r="D3" t="s">
        <v>9</v>
      </c>
      <c r="E3" s="12">
        <f ca="1">IFERROR(SUM(INDIRECT("Freeway_Car!C"&amp;MATCH(A3,Freeway_Car!A:A,0)&amp;":AZ"&amp;MATCH(A3,Freeway_Car!A:A,0))),SUM(INDIRECT("Arterial_Car!C"&amp;MATCH(A3,Arterial_Car!A:A,0)&amp;":BQ"&amp;MATCH(A3,Arterial_Car!A:A,0))))</f>
        <v>990.82384495000008</v>
      </c>
      <c r="F3">
        <v>50</v>
      </c>
      <c r="G3" s="12">
        <f ca="1">IFERROR(SUM(INDIRECT("Freeway_HOT!C"&amp;MATCH(A3,Freeway_HOT!A:A,0)&amp;":AN"&amp;MATCH(A3,Freeway_HOT!A:A,0))),SUM(INDIRECT("Arterial_HOT!C"&amp;MATCH(A3,Arterial_HOT!A:A,0)&amp;":BQ"&amp;MATCH(A3,Arterial_HOT!A:A,0))))</f>
        <v>0</v>
      </c>
      <c r="H3">
        <f t="shared" ref="H3:H48" si="0">F3</f>
        <v>50</v>
      </c>
      <c r="I3" s="12">
        <f ca="1">IFERROR(SUM(INDIRECT("Freeway_Truck!C"&amp;MATCH(A3,Freeway_Truck!A:A,0)&amp;":AZ"&amp;MATCH(A3,Freeway_Truck!A:A,0))),SUM(INDIRECT("Arterial_Truck!C"&amp;MATCH(A3,Arterial_Truck!A:A,0)&amp;":BQ"&amp;MATCH(A3,Arterial_Truck!A:A,0))))</f>
        <v>29.078317050000003</v>
      </c>
      <c r="J3">
        <f t="shared" ref="J3:J48" si="1">F3</f>
        <v>50</v>
      </c>
      <c r="K3">
        <v>0</v>
      </c>
      <c r="L3">
        <v>1</v>
      </c>
      <c r="M3">
        <v>0</v>
      </c>
      <c r="N3">
        <f t="shared" ref="N3:N38" si="2">L3</f>
        <v>1</v>
      </c>
      <c r="O3">
        <v>0</v>
      </c>
      <c r="P3">
        <f t="shared" ref="P3:P46" si="3">F3</f>
        <v>50</v>
      </c>
    </row>
    <row r="4" spans="1:16" x14ac:dyDescent="0.25">
      <c r="A4">
        <v>105920028</v>
      </c>
      <c r="B4">
        <v>3</v>
      </c>
      <c r="C4">
        <f>IFERROR(VLOOKUP(A4,Freeway_Car!A:B,2,FALSE),VLOOKUP(A4,Arterial_Car!A:B,2,FALSE))</f>
        <v>12</v>
      </c>
      <c r="D4" t="s">
        <v>10</v>
      </c>
      <c r="E4" s="12">
        <f ca="1">IFERROR(SUM(INDIRECT("Freeway_Car!C"&amp;MATCH(A4,Freeway_Car!A:A,0)&amp;":AZ"&amp;MATCH(A4,Freeway_Car!A:A,0))),SUM(INDIRECT("Arterial_Car!C"&amp;MATCH(A4,Arterial_Car!A:A,0)&amp;":BQ"&amp;MATCH(A4,Arterial_Car!A:A,0))))</f>
        <v>795.30091776999996</v>
      </c>
      <c r="F4">
        <v>50</v>
      </c>
      <c r="G4" s="12">
        <f ca="1">IFERROR(SUM(INDIRECT("Freeway_HOT!C"&amp;MATCH(A4,Freeway_HOT!A:A,0)&amp;":AN"&amp;MATCH(A4,Freeway_HOT!A:A,0))),SUM(INDIRECT("Arterial_HOT!C"&amp;MATCH(A4,Arterial_HOT!A:A,0)&amp;":BQ"&amp;MATCH(A4,Arterial_HOT!A:A,0))))</f>
        <v>0</v>
      </c>
      <c r="H4">
        <f t="shared" si="0"/>
        <v>50</v>
      </c>
      <c r="I4" s="12">
        <f ca="1">IFERROR(SUM(INDIRECT("Freeway_Truck!C"&amp;MATCH(A4,Freeway_Truck!A:A,0)&amp;":AZ"&amp;MATCH(A4,Freeway_Truck!A:A,0))),SUM(INDIRECT("Arterial_Truck!C"&amp;MATCH(A4,Arterial_Truck!A:A,0)&amp;":BQ"&amp;MATCH(A4,Arterial_Truck!A:A,0))))</f>
        <v>24.591868229999999</v>
      </c>
      <c r="J4">
        <f t="shared" si="1"/>
        <v>50</v>
      </c>
      <c r="K4">
        <v>0</v>
      </c>
      <c r="L4">
        <v>1</v>
      </c>
      <c r="M4">
        <v>0</v>
      </c>
      <c r="N4">
        <f t="shared" si="2"/>
        <v>1</v>
      </c>
      <c r="O4">
        <v>0</v>
      </c>
      <c r="P4">
        <f t="shared" si="3"/>
        <v>50</v>
      </c>
    </row>
    <row r="5" spans="1:16" x14ac:dyDescent="0.25">
      <c r="A5">
        <v>246</v>
      </c>
      <c r="B5">
        <v>4</v>
      </c>
      <c r="C5">
        <f>IFERROR(VLOOKUP(A5,Freeway_Car!A:B,2,FALSE),VLOOKUP(A5,Arterial_Car!A:B,2,FALSE))</f>
        <v>24</v>
      </c>
      <c r="D5" t="s">
        <v>11</v>
      </c>
      <c r="E5" s="12">
        <f ca="1">IFERROR(SUM(INDIRECT("Freeway_Car!C"&amp;MATCH(A5,Freeway_Car!A:A,0)&amp;":AZ"&amp;MATCH(A5,Freeway_Car!A:A,0))),SUM(INDIRECT("Arterial_Car!C"&amp;MATCH(A5,Arterial_Car!A:A,0)&amp;":BQ"&amp;MATCH(A5,Arterial_Car!A:A,0))))</f>
        <v>2271.1018459999996</v>
      </c>
      <c r="F5">
        <v>50</v>
      </c>
      <c r="G5" s="12">
        <f ca="1">IFERROR(SUM(INDIRECT("Freeway_HOT!C"&amp;MATCH(A5,Freeway_HOT!A:A,0)&amp;":AN"&amp;MATCH(A5,Freeway_HOT!A:A,0))),SUM(INDIRECT("Arterial_HOT!C"&amp;MATCH(A5,Arterial_HOT!A:A,0)&amp;":BQ"&amp;MATCH(A5,Arterial_HOT!A:A,0))))</f>
        <v>0</v>
      </c>
      <c r="H5">
        <f t="shared" si="0"/>
        <v>50</v>
      </c>
      <c r="I5" s="12">
        <f ca="1">IFERROR(SUM(INDIRECT("Freeway_Truck!C"&amp;MATCH(A5,Freeway_Truck!A:A,0)&amp;":AZ"&amp;MATCH(A5,Freeway_Truck!A:A,0))),SUM(INDIRECT("Arterial_Truck!C"&amp;MATCH(A5,Arterial_Truck!A:A,0)&amp;":BQ"&amp;MATCH(A5,Arterial_Truck!A:A,0))))</f>
        <v>0</v>
      </c>
      <c r="J5">
        <f t="shared" si="1"/>
        <v>50</v>
      </c>
      <c r="K5">
        <v>0</v>
      </c>
      <c r="L5">
        <v>1</v>
      </c>
      <c r="M5">
        <v>0</v>
      </c>
      <c r="N5">
        <f t="shared" si="2"/>
        <v>1</v>
      </c>
      <c r="O5">
        <v>0</v>
      </c>
      <c r="P5">
        <f t="shared" si="3"/>
        <v>50</v>
      </c>
    </row>
    <row r="6" spans="1:16" x14ac:dyDescent="0.25">
      <c r="A6">
        <v>480</v>
      </c>
      <c r="B6">
        <v>5</v>
      </c>
      <c r="C6">
        <f>IFERROR(VLOOKUP(A6,Freeway_Car!A:B,2,FALSE),VLOOKUP(A6,Arterial_Car!A:B,2,FALSE))</f>
        <v>25</v>
      </c>
      <c r="D6" t="s">
        <v>54</v>
      </c>
      <c r="E6" s="12">
        <f ca="1">IFERROR(SUM(INDIRECT("Freeway_Car!C"&amp;MATCH(A6,Freeway_Car!A:A,0)&amp;":AZ"&amp;MATCH(A6,Freeway_Car!A:A,0))),SUM(INDIRECT("Arterial_Car!C"&amp;MATCH(A6,Arterial_Car!A:A,0)&amp;":BQ"&amp;MATCH(A6,Arterial_Car!A:A,0))))</f>
        <v>999.65210266000008</v>
      </c>
      <c r="F6">
        <v>35</v>
      </c>
      <c r="G6" s="12">
        <f ca="1">IFERROR(SUM(INDIRECT("Freeway_HOT!C"&amp;MATCH(A6,Freeway_HOT!A:A,0)&amp;":AN"&amp;MATCH(A6,Freeway_HOT!A:A,0))),SUM(INDIRECT("Arterial_HOT!C"&amp;MATCH(A6,Arterial_HOT!A:A,0)&amp;":BQ"&amp;MATCH(A6,Arterial_HOT!A:A,0))))</f>
        <v>0</v>
      </c>
      <c r="H6">
        <f t="shared" si="0"/>
        <v>35</v>
      </c>
      <c r="I6" s="12">
        <f ca="1">IFERROR(SUM(INDIRECT("Freeway_Truck!C"&amp;MATCH(A6,Freeway_Truck!A:A,0)&amp;":AZ"&amp;MATCH(A6,Freeway_Truck!A:A,0))),SUM(INDIRECT("Arterial_Truck!C"&amp;MATCH(A6,Arterial_Truck!A:A,0)&amp;":BQ"&amp;MATCH(A6,Arterial_Truck!A:A,0))))</f>
        <v>30.917075339999997</v>
      </c>
      <c r="J6">
        <f t="shared" si="1"/>
        <v>35</v>
      </c>
      <c r="K6">
        <v>0</v>
      </c>
      <c r="L6">
        <v>1</v>
      </c>
      <c r="M6">
        <v>0</v>
      </c>
      <c r="N6">
        <f t="shared" si="2"/>
        <v>1</v>
      </c>
      <c r="O6">
        <v>0</v>
      </c>
      <c r="P6">
        <f t="shared" si="3"/>
        <v>35</v>
      </c>
    </row>
    <row r="7" spans="1:16" x14ac:dyDescent="0.25">
      <c r="A7">
        <v>474</v>
      </c>
      <c r="B7">
        <v>6</v>
      </c>
      <c r="C7">
        <f>IFERROR(VLOOKUP(A7,Freeway_Car!A:B,2,FALSE),VLOOKUP(A7,Arterial_Car!A:B,2,FALSE))</f>
        <v>52</v>
      </c>
      <c r="D7" t="s">
        <v>12</v>
      </c>
      <c r="E7" s="12">
        <f ca="1">IFERROR(SUM(INDIRECT("Freeway_Car!C"&amp;MATCH(A7,Freeway_Car!A:A,0)&amp;":AZ"&amp;MATCH(A7,Freeway_Car!A:A,0))),SUM(INDIRECT("Arterial_Car!C"&amp;MATCH(A7,Arterial_Car!A:A,0)&amp;":BQ"&amp;MATCH(A7,Arterial_Car!A:A,0))))</f>
        <v>19.378648359999996</v>
      </c>
      <c r="F7">
        <v>25</v>
      </c>
      <c r="G7" s="12">
        <f ca="1">IFERROR(SUM(INDIRECT("Freeway_HOT!C"&amp;MATCH(A7,Freeway_HOT!A:A,0)&amp;":AN"&amp;MATCH(A7,Freeway_HOT!A:A,0))),SUM(INDIRECT("Arterial_HOT!C"&amp;MATCH(A7,Arterial_HOT!A:A,0)&amp;":BQ"&amp;MATCH(A7,Arterial_HOT!A:A,0))))</f>
        <v>0</v>
      </c>
      <c r="H7">
        <f t="shared" si="0"/>
        <v>25</v>
      </c>
      <c r="I7" s="12">
        <f ca="1">IFERROR(SUM(INDIRECT("Freeway_Truck!C"&amp;MATCH(A7,Freeway_Truck!A:A,0)&amp;":AZ"&amp;MATCH(A7,Freeway_Truck!A:A,0))),SUM(INDIRECT("Arterial_Truck!C"&amp;MATCH(A7,Arterial_Truck!A:A,0)&amp;":BQ"&amp;MATCH(A7,Arterial_Truck!A:A,0))))</f>
        <v>0.59933963999999995</v>
      </c>
      <c r="J7">
        <f t="shared" si="1"/>
        <v>25</v>
      </c>
      <c r="K7">
        <v>0</v>
      </c>
      <c r="L7">
        <v>1</v>
      </c>
      <c r="M7">
        <v>0</v>
      </c>
      <c r="N7">
        <f t="shared" si="2"/>
        <v>1</v>
      </c>
      <c r="O7">
        <v>0</v>
      </c>
      <c r="P7">
        <f t="shared" si="3"/>
        <v>25</v>
      </c>
    </row>
    <row r="8" spans="1:16" x14ac:dyDescent="0.25">
      <c r="A8">
        <v>473</v>
      </c>
      <c r="B8">
        <v>7</v>
      </c>
      <c r="C8">
        <f>IFERROR(VLOOKUP(A8,Freeway_Car!A:B,2,FALSE),VLOOKUP(A8,Arterial_Car!A:B,2,FALSE))</f>
        <v>53</v>
      </c>
      <c r="D8" t="s">
        <v>13</v>
      </c>
      <c r="E8" s="12">
        <f ca="1">IFERROR(SUM(INDIRECT("Freeway_Car!C"&amp;MATCH(A8,Freeway_Car!A:A,0)&amp;":AZ"&amp;MATCH(A8,Freeway_Car!A:A,0))),SUM(INDIRECT("Arterial_Car!C"&amp;MATCH(A8,Arterial_Car!A:A,0)&amp;":BQ"&amp;MATCH(A8,Arterial_Car!A:A,0))))</f>
        <v>10.176940269999999</v>
      </c>
      <c r="F8">
        <v>25</v>
      </c>
      <c r="G8" s="12">
        <f ca="1">IFERROR(SUM(INDIRECT("Freeway_HOT!C"&amp;MATCH(A8,Freeway_HOT!A:A,0)&amp;":AN"&amp;MATCH(A8,Freeway_HOT!A:A,0))),SUM(INDIRECT("Arterial_HOT!C"&amp;MATCH(A8,Arterial_HOT!A:A,0)&amp;":BQ"&amp;MATCH(A8,Arterial_HOT!A:A,0))))</f>
        <v>0</v>
      </c>
      <c r="H8">
        <f t="shared" si="0"/>
        <v>25</v>
      </c>
      <c r="I8" s="12">
        <f ca="1">IFERROR(SUM(INDIRECT("Freeway_Truck!C"&amp;MATCH(A8,Freeway_Truck!A:A,0)&amp;":AZ"&amp;MATCH(A8,Freeway_Truck!A:A,0))),SUM(INDIRECT("Arterial_Truck!C"&amp;MATCH(A8,Arterial_Truck!A:A,0)&amp;":BQ"&amp;MATCH(A8,Arterial_Truck!A:A,0))))</f>
        <v>0.31475072999999998</v>
      </c>
      <c r="J8">
        <f t="shared" si="1"/>
        <v>25</v>
      </c>
      <c r="K8">
        <v>0</v>
      </c>
      <c r="L8">
        <v>1</v>
      </c>
      <c r="M8">
        <v>0</v>
      </c>
      <c r="N8">
        <f t="shared" si="2"/>
        <v>1</v>
      </c>
      <c r="O8">
        <v>0</v>
      </c>
      <c r="P8">
        <f t="shared" si="3"/>
        <v>25</v>
      </c>
    </row>
    <row r="9" spans="1:16" x14ac:dyDescent="0.25">
      <c r="A9">
        <v>488</v>
      </c>
      <c r="B9">
        <v>8</v>
      </c>
      <c r="C9">
        <f>IFERROR(VLOOKUP(A9,Freeway_Car!A:B,2,FALSE),VLOOKUP(A9,Arterial_Car!A:B,2,FALSE))</f>
        <v>46</v>
      </c>
      <c r="D9" t="s">
        <v>14</v>
      </c>
      <c r="E9" s="12">
        <f ca="1">IFERROR(SUM(INDIRECT("Freeway_Car!C"&amp;MATCH(A9,Freeway_Car!A:A,0)&amp;":AZ"&amp;MATCH(A9,Freeway_Car!A:A,0))),SUM(INDIRECT("Arterial_Car!C"&amp;MATCH(A9,Arterial_Car!A:A,0)&amp;":BQ"&amp;MATCH(A9,Arterial_Car!A:A,0))))</f>
        <v>383.03040773000004</v>
      </c>
      <c r="F9">
        <v>35</v>
      </c>
      <c r="G9" s="12">
        <f ca="1">IFERROR(SUM(INDIRECT("Freeway_HOT!C"&amp;MATCH(A9,Freeway_HOT!A:A,0)&amp;":AN"&amp;MATCH(A9,Freeway_HOT!A:A,0))),SUM(INDIRECT("Arterial_HOT!C"&amp;MATCH(A9,Arterial_HOT!A:A,0)&amp;":BQ"&amp;MATCH(A9,Arterial_HOT!A:A,0))))</f>
        <v>0</v>
      </c>
      <c r="H9">
        <f t="shared" si="0"/>
        <v>35</v>
      </c>
      <c r="I9" s="12">
        <f ca="1">IFERROR(SUM(INDIRECT("Freeway_Truck!C"&amp;MATCH(A9,Freeway_Truck!A:A,0)&amp;":AZ"&amp;MATCH(A9,Freeway_Truck!A:A,0))),SUM(INDIRECT("Arterial_Truck!C"&amp;MATCH(A9,Arterial_Truck!A:A,0)&amp;":BQ"&amp;MATCH(A9,Arterial_Truck!A:A,0))))</f>
        <v>11.84630127</v>
      </c>
      <c r="J9">
        <f t="shared" si="1"/>
        <v>35</v>
      </c>
      <c r="K9">
        <v>0</v>
      </c>
      <c r="L9">
        <v>1</v>
      </c>
      <c r="M9">
        <v>0</v>
      </c>
      <c r="N9">
        <f t="shared" si="2"/>
        <v>1</v>
      </c>
      <c r="O9">
        <v>0</v>
      </c>
      <c r="P9">
        <f t="shared" si="3"/>
        <v>35</v>
      </c>
    </row>
    <row r="10" spans="1:16" x14ac:dyDescent="0.25">
      <c r="A10">
        <v>485</v>
      </c>
      <c r="B10">
        <v>9</v>
      </c>
      <c r="C10">
        <f>IFERROR(VLOOKUP(A10,Freeway_Car!A:B,2,FALSE),VLOOKUP(A10,Arterial_Car!A:B,2,FALSE))</f>
        <v>10</v>
      </c>
      <c r="D10" t="s">
        <v>27</v>
      </c>
      <c r="E10" s="12">
        <f ca="1">IFERROR(SUM(INDIRECT("Freeway_Car!C"&amp;MATCH(A10,Freeway_Car!A:A,0)&amp;":AZ"&amp;MATCH(A10,Freeway_Car!A:A,0))),SUM(INDIRECT("Arterial_Car!C"&amp;MATCH(A10,Arterial_Car!A:A,0)&amp;":BQ"&amp;MATCH(A10,Arterial_Car!A:A,0))))</f>
        <v>101.84081409999999</v>
      </c>
      <c r="F10">
        <v>25</v>
      </c>
      <c r="G10" s="12">
        <f ca="1">IFERROR(SUM(INDIRECT("Freeway_HOT!C"&amp;MATCH(A10,Freeway_HOT!A:A,0)&amp;":AN"&amp;MATCH(A10,Freeway_HOT!A:A,0))),SUM(INDIRECT("Arterial_HOT!C"&amp;MATCH(A10,Arterial_HOT!A:A,0)&amp;":BQ"&amp;MATCH(A10,Arterial_HOT!A:A,0))))</f>
        <v>0</v>
      </c>
      <c r="H10">
        <f t="shared" si="0"/>
        <v>25</v>
      </c>
      <c r="I10" s="12">
        <f ca="1">IFERROR(SUM(INDIRECT("Freeway_Truck!C"&amp;MATCH(A10,Freeway_Truck!A:A,0)&amp;":AZ"&amp;MATCH(A10,Freeway_Truck!A:A,0))),SUM(INDIRECT("Arterial_Truck!C"&amp;MATCH(A10,Arterial_Truck!A:A,0)&amp;":BQ"&amp;MATCH(A10,Arterial_Truck!A:A,0))))</f>
        <v>3.1497158999999999</v>
      </c>
      <c r="J10">
        <f t="shared" si="1"/>
        <v>25</v>
      </c>
      <c r="K10">
        <v>0</v>
      </c>
      <c r="L10">
        <v>1</v>
      </c>
      <c r="M10">
        <v>0</v>
      </c>
      <c r="N10">
        <f t="shared" si="2"/>
        <v>1</v>
      </c>
      <c r="O10">
        <v>0</v>
      </c>
      <c r="P10">
        <f t="shared" si="3"/>
        <v>25</v>
      </c>
    </row>
    <row r="11" spans="1:16" x14ac:dyDescent="0.25">
      <c r="A11">
        <v>84</v>
      </c>
      <c r="B11">
        <v>10</v>
      </c>
      <c r="C11">
        <f>IFERROR(VLOOKUP(A11,Freeway_Car!A:B,2,FALSE),VLOOKUP(A11,Arterial_Car!A:B,2,FALSE))</f>
        <v>11</v>
      </c>
      <c r="D11" t="s">
        <v>15</v>
      </c>
      <c r="E11" s="12">
        <f ca="1">IFERROR(SUM(INDIRECT("Freeway_Car!C"&amp;MATCH(A11,Freeway_Car!A:A,0)&amp;":AZ"&amp;MATCH(A11,Freeway_Car!A:A,0))),SUM(INDIRECT("Arterial_Car!C"&amp;MATCH(A11,Arterial_Car!A:A,0)&amp;":BQ"&amp;MATCH(A11,Arterial_Car!A:A,0))))</f>
        <v>111.49046430999999</v>
      </c>
      <c r="F11">
        <v>25</v>
      </c>
      <c r="G11" s="12">
        <f ca="1">IFERROR(SUM(INDIRECT("Freeway_HOT!C"&amp;MATCH(A11,Freeway_HOT!A:A,0)&amp;":AN"&amp;MATCH(A11,Freeway_HOT!A:A,0))),SUM(INDIRECT("Arterial_HOT!C"&amp;MATCH(A11,Arterial_HOT!A:A,0)&amp;":BQ"&amp;MATCH(A11,Arterial_HOT!A:A,0))))</f>
        <v>0</v>
      </c>
      <c r="H11">
        <f t="shared" si="0"/>
        <v>25</v>
      </c>
      <c r="I11" s="12">
        <f ca="1">IFERROR(SUM(INDIRECT("Freeway_Truck!C"&amp;MATCH(A11,Freeway_Truck!A:A,0)&amp;":AZ"&amp;MATCH(A11,Freeway_Truck!A:A,0))),SUM(INDIRECT("Arterial_Truck!C"&amp;MATCH(A11,Arterial_Truck!A:A,0)&amp;":BQ"&amp;MATCH(A11,Arterial_Truck!A:A,0))))</f>
        <v>3.4481586900000001</v>
      </c>
      <c r="J11">
        <f t="shared" si="1"/>
        <v>25</v>
      </c>
      <c r="K11">
        <v>0</v>
      </c>
      <c r="L11">
        <v>1</v>
      </c>
      <c r="M11">
        <v>0</v>
      </c>
      <c r="N11">
        <f t="shared" si="2"/>
        <v>1</v>
      </c>
      <c r="O11">
        <v>0</v>
      </c>
      <c r="P11">
        <f t="shared" si="3"/>
        <v>25</v>
      </c>
    </row>
    <row r="12" spans="1:16" x14ac:dyDescent="0.25">
      <c r="A12">
        <v>81</v>
      </c>
      <c r="B12">
        <v>11</v>
      </c>
      <c r="C12">
        <f>IFERROR(VLOOKUP(A12,Freeway_Car!A:B,2,FALSE),VLOOKUP(A12,Arterial_Car!A:B,2,FALSE))</f>
        <v>23</v>
      </c>
      <c r="D12" t="s">
        <v>16</v>
      </c>
      <c r="E12" s="12">
        <f ca="1">IFERROR(SUM(INDIRECT("Freeway_Car!C"&amp;MATCH(A12,Freeway_Car!A:A,0)&amp;":AZ"&amp;MATCH(A12,Freeway_Car!A:A,0))),SUM(INDIRECT("Arterial_Car!C"&amp;MATCH(A12,Arterial_Car!A:A,0)&amp;":BQ"&amp;MATCH(A12,Arterial_Car!A:A,0))))</f>
        <v>616.0472231</v>
      </c>
      <c r="F12">
        <v>35</v>
      </c>
      <c r="G12" s="12">
        <f ca="1">IFERROR(SUM(INDIRECT("Freeway_HOT!C"&amp;MATCH(A12,Freeway_HOT!A:A,0)&amp;":AN"&amp;MATCH(A12,Freeway_HOT!A:A,0))),SUM(INDIRECT("Arterial_HOT!C"&amp;MATCH(A12,Arterial_HOT!A:A,0)&amp;":BQ"&amp;MATCH(A12,Arterial_HOT!A:A,0))))</f>
        <v>0</v>
      </c>
      <c r="H12">
        <f t="shared" si="0"/>
        <v>35</v>
      </c>
      <c r="I12" s="12">
        <f ca="1">IFERROR(SUM(INDIRECT("Freeway_Truck!C"&amp;MATCH(A12,Freeway_Truck!A:A,0)&amp;":AZ"&amp;MATCH(A12,Freeway_Truck!A:A,0))),SUM(INDIRECT("Arterial_Truck!C"&amp;MATCH(A12,Arterial_Truck!A:A,0)&amp;":BQ"&amp;MATCH(A12,Arterial_Truck!A:A,0))))</f>
        <v>19.0530069</v>
      </c>
      <c r="J12">
        <f t="shared" si="1"/>
        <v>35</v>
      </c>
      <c r="K12">
        <v>0</v>
      </c>
      <c r="L12">
        <v>1</v>
      </c>
      <c r="M12">
        <v>0</v>
      </c>
      <c r="N12">
        <f t="shared" si="2"/>
        <v>1</v>
      </c>
      <c r="O12">
        <v>0</v>
      </c>
      <c r="P12">
        <f t="shared" si="3"/>
        <v>35</v>
      </c>
    </row>
    <row r="13" spans="1:16" x14ac:dyDescent="0.25">
      <c r="A13">
        <v>59</v>
      </c>
      <c r="B13">
        <v>12</v>
      </c>
      <c r="C13">
        <f>IFERROR(VLOOKUP(A13,Freeway_Car!A:B,2,FALSE),VLOOKUP(A13,Arterial_Car!A:B,2,FALSE))</f>
        <v>35</v>
      </c>
      <c r="D13" t="s">
        <v>18</v>
      </c>
      <c r="E13" s="12">
        <f ca="1">IFERROR(SUM(INDIRECT("Freeway_Car!C"&amp;MATCH(A13,Freeway_Car!A:A,0)&amp;":AZ"&amp;MATCH(A13,Freeway_Car!A:A,0))),SUM(INDIRECT("Arterial_Car!C"&amp;MATCH(A13,Arterial_Car!A:A,0)&amp;":BQ"&amp;MATCH(A13,Arterial_Car!A:A,0))))</f>
        <v>7493.8670584900001</v>
      </c>
      <c r="F13">
        <v>35</v>
      </c>
      <c r="G13" s="12">
        <f ca="1">IFERROR(SUM(INDIRECT("Freeway_HOT!C"&amp;MATCH(A13,Freeway_HOT!A:A,0)&amp;":AN"&amp;MATCH(A13,Freeway_HOT!A:A,0))),SUM(INDIRECT("Arterial_HOT!C"&amp;MATCH(A13,Arterial_HOT!A:A,0)&amp;":BQ"&amp;MATCH(A13,Arterial_HOT!A:A,0))))</f>
        <v>0</v>
      </c>
      <c r="H13">
        <f t="shared" si="0"/>
        <v>35</v>
      </c>
      <c r="I13" s="12">
        <f ca="1">IFERROR(SUM(INDIRECT("Freeway_Truck!C"&amp;MATCH(A13,Freeway_Truck!A:A,0)&amp;":AZ"&amp;MATCH(A13,Freeway_Truck!A:A,0))),SUM(INDIRECT("Arterial_Truck!C"&amp;MATCH(A13,Arterial_Truck!A:A,0)&amp;":BQ"&amp;MATCH(A13,Arterial_Truck!A:A,0))))</f>
        <v>641.69342850999999</v>
      </c>
      <c r="J13">
        <f t="shared" si="1"/>
        <v>35</v>
      </c>
      <c r="K13">
        <v>0</v>
      </c>
      <c r="L13">
        <v>1</v>
      </c>
      <c r="M13">
        <v>0</v>
      </c>
      <c r="N13">
        <f t="shared" si="2"/>
        <v>1</v>
      </c>
      <c r="O13">
        <v>0</v>
      </c>
      <c r="P13">
        <f t="shared" si="3"/>
        <v>35</v>
      </c>
    </row>
    <row r="14" spans="1:16" x14ac:dyDescent="0.25">
      <c r="A14">
        <v>65</v>
      </c>
      <c r="B14">
        <v>13</v>
      </c>
      <c r="C14">
        <f>IFERROR(VLOOKUP(A14,Freeway_Car!A:B,2,FALSE),VLOOKUP(A14,Arterial_Car!A:B,2,FALSE))</f>
        <v>32</v>
      </c>
      <c r="D14" t="s">
        <v>19</v>
      </c>
      <c r="E14" s="12">
        <f ca="1">IFERROR(SUM(INDIRECT("Freeway_Car!C"&amp;MATCH(A14,Freeway_Car!A:A,0)&amp;":AZ"&amp;MATCH(A14,Freeway_Car!A:A,0))),SUM(INDIRECT("Arterial_Car!C"&amp;MATCH(A14,Arterial_Car!A:A,0)&amp;":BQ"&amp;MATCH(A14,Arterial_Car!A:A,0))))</f>
        <v>2191.7080461599999</v>
      </c>
      <c r="F14">
        <v>55</v>
      </c>
      <c r="G14" s="12">
        <f ca="1">IFERROR(SUM(INDIRECT("Freeway_HOT!C"&amp;MATCH(A14,Freeway_HOT!A:A,0)&amp;":AN"&amp;MATCH(A14,Freeway_HOT!A:A,0))),SUM(INDIRECT("Arterial_HOT!C"&amp;MATCH(A14,Arterial_HOT!A:A,0)&amp;":BQ"&amp;MATCH(A14,Arterial_HOT!A:A,0))))</f>
        <v>0</v>
      </c>
      <c r="H14">
        <f t="shared" si="0"/>
        <v>55</v>
      </c>
      <c r="I14" s="12">
        <f ca="1">IFERROR(SUM(INDIRECT("Freeway_Truck!C"&amp;MATCH(A14,Freeway_Truck!A:A,0)&amp;":AZ"&amp;MATCH(A14,Freeway_Truck!A:A,0))),SUM(INDIRECT("Arterial_Truck!C"&amp;MATCH(A14,Arterial_Truck!A:A,0)&amp;":BQ"&amp;MATCH(A14,Arterial_Truck!A:A,0))))</f>
        <v>67.779867840000009</v>
      </c>
      <c r="J14">
        <f t="shared" si="1"/>
        <v>55</v>
      </c>
      <c r="K14">
        <v>0</v>
      </c>
      <c r="L14">
        <v>1</v>
      </c>
      <c r="M14">
        <v>0</v>
      </c>
      <c r="N14">
        <f t="shared" si="2"/>
        <v>1</v>
      </c>
      <c r="O14">
        <v>0</v>
      </c>
      <c r="P14">
        <f t="shared" si="3"/>
        <v>55</v>
      </c>
    </row>
    <row r="15" spans="1:16" x14ac:dyDescent="0.25">
      <c r="A15">
        <v>24</v>
      </c>
      <c r="B15">
        <v>14</v>
      </c>
      <c r="C15">
        <f>IFERROR(VLOOKUP(A15,Freeway_Car!A:B,2,FALSE),VLOOKUP(A15,Arterial_Car!A:B,2,FALSE))</f>
        <v>30</v>
      </c>
      <c r="D15" t="s">
        <v>20</v>
      </c>
      <c r="E15" s="12">
        <f ca="1">IFERROR(SUM(INDIRECT("Freeway_Car!C"&amp;MATCH(A15,Freeway_Car!A:A,0)&amp;":AZ"&amp;MATCH(A15,Freeway_Car!A:A,0))),SUM(INDIRECT("Arterial_Car!C"&amp;MATCH(A15,Arterial_Car!A:A,0)&amp;":BQ"&amp;MATCH(A15,Arterial_Car!A:A,0))))</f>
        <v>4705.6932843000004</v>
      </c>
      <c r="F15">
        <v>55</v>
      </c>
      <c r="G15" s="12">
        <f ca="1">IFERROR(SUM(INDIRECT("Freeway_HOT!C"&amp;MATCH(A15,Freeway_HOT!A:A,0)&amp;":AN"&amp;MATCH(A15,Freeway_HOT!A:A,0))),SUM(INDIRECT("Arterial_HOT!C"&amp;MATCH(A15,Arterial_HOT!A:A,0)&amp;":BQ"&amp;MATCH(A15,Arterial_HOT!A:A,0))))</f>
        <v>0</v>
      </c>
      <c r="H15">
        <f t="shared" si="0"/>
        <v>55</v>
      </c>
      <c r="I15" s="12">
        <f ca="1">IFERROR(SUM(INDIRECT("Freeway_Truck!C"&amp;MATCH(A15,Freeway_Truck!A:A,0)&amp;":AZ"&amp;MATCH(A15,Freeway_Truck!A:A,0))),SUM(INDIRECT("Arterial_Truck!C"&amp;MATCH(A15,Arterial_Truck!A:A,0)&amp;":BQ"&amp;MATCH(A15,Arterial_Truck!A:A,0))))</f>
        <v>145.53690569999998</v>
      </c>
      <c r="J15">
        <f t="shared" si="1"/>
        <v>55</v>
      </c>
      <c r="K15">
        <v>0</v>
      </c>
      <c r="L15">
        <v>1</v>
      </c>
      <c r="M15">
        <v>0</v>
      </c>
      <c r="N15">
        <f t="shared" si="2"/>
        <v>1</v>
      </c>
      <c r="O15">
        <v>0</v>
      </c>
      <c r="P15">
        <f t="shared" si="3"/>
        <v>55</v>
      </c>
    </row>
    <row r="16" spans="1:16" x14ac:dyDescent="0.25">
      <c r="A16">
        <v>20017</v>
      </c>
      <c r="B16">
        <v>15</v>
      </c>
      <c r="C16">
        <f>IFERROR(VLOOKUP(A16,Freeway_Car!A:B,2,FALSE),VLOOKUP(A16,Arterial_Car!A:B,2,FALSE))</f>
        <v>44</v>
      </c>
      <c r="D16" t="s">
        <v>21</v>
      </c>
      <c r="E16" s="12">
        <f ca="1">IFERROR(SUM(INDIRECT("Freeway_Car!C"&amp;MATCH(A16,Freeway_Car!A:A,0)&amp;":AZ"&amp;MATCH(A16,Freeway_Car!A:A,0))),SUM(INDIRECT("Arterial_Car!C"&amp;MATCH(A16,Arterial_Car!A:A,0)&amp;":BQ"&amp;MATCH(A16,Arterial_Car!A:A,0))))</f>
        <v>339.52644511</v>
      </c>
      <c r="F16">
        <v>30</v>
      </c>
      <c r="G16" s="12">
        <f ca="1">IFERROR(SUM(INDIRECT("Freeway_HOT!C"&amp;MATCH(A16,Freeway_HOT!A:A,0)&amp;":AN"&amp;MATCH(A16,Freeway_HOT!A:A,0))),SUM(INDIRECT("Arterial_HOT!C"&amp;MATCH(A16,Arterial_HOT!A:A,0)&amp;":BQ"&amp;MATCH(A16,Arterial_HOT!A:A,0))))</f>
        <v>0</v>
      </c>
      <c r="H16">
        <f t="shared" si="0"/>
        <v>30</v>
      </c>
      <c r="I16" s="12">
        <f ca="1">IFERROR(SUM(INDIRECT("Freeway_Truck!C"&amp;MATCH(A16,Freeway_Truck!A:A,0)&amp;":AZ"&amp;MATCH(A16,Freeway_Truck!A:A,0))),SUM(INDIRECT("Arterial_Truck!C"&amp;MATCH(A16,Arterial_Truck!A:A,0)&amp;":BQ"&amp;MATCH(A16,Arterial_Truck!A:A,0))))</f>
        <v>10.50081789</v>
      </c>
      <c r="J16">
        <f t="shared" si="1"/>
        <v>30</v>
      </c>
      <c r="K16">
        <v>0</v>
      </c>
      <c r="L16">
        <v>1</v>
      </c>
      <c r="M16">
        <v>0</v>
      </c>
      <c r="N16">
        <f t="shared" si="2"/>
        <v>1</v>
      </c>
      <c r="O16">
        <v>0</v>
      </c>
      <c r="P16">
        <f t="shared" si="3"/>
        <v>30</v>
      </c>
    </row>
    <row r="17" spans="1:16" x14ac:dyDescent="0.25">
      <c r="A17">
        <v>56</v>
      </c>
      <c r="B17">
        <v>16</v>
      </c>
      <c r="C17">
        <f>IFERROR(VLOOKUP(A17,Freeway_Car!A:B,2,FALSE),VLOOKUP(A17,Arterial_Car!A:B,2,FALSE))</f>
        <v>43</v>
      </c>
      <c r="D17" t="s">
        <v>22</v>
      </c>
      <c r="E17" s="12">
        <f ca="1">IFERROR(SUM(INDIRECT("Freeway_Car!C"&amp;MATCH(A17,Freeway_Car!A:A,0)&amp;":AZ"&amp;MATCH(A17,Freeway_Car!A:A,0))),SUM(INDIRECT("Arterial_Car!C"&amp;MATCH(A17,Arterial_Car!A:A,0)&amp;":BQ"&amp;MATCH(A17,Arterial_Car!A:A,0))))</f>
        <v>611.11066029999984</v>
      </c>
      <c r="F17">
        <v>35</v>
      </c>
      <c r="G17" s="12">
        <f ca="1">IFERROR(SUM(INDIRECT("Freeway_HOT!C"&amp;MATCH(A17,Freeway_HOT!A:A,0)&amp;":AN"&amp;MATCH(A17,Freeway_HOT!A:A,0))),SUM(INDIRECT("Arterial_HOT!C"&amp;MATCH(A17,Arterial_HOT!A:A,0)&amp;":BQ"&amp;MATCH(A17,Arterial_HOT!A:A,0))))</f>
        <v>0</v>
      </c>
      <c r="H17">
        <f t="shared" si="0"/>
        <v>35</v>
      </c>
      <c r="I17" s="12">
        <f ca="1">IFERROR(SUM(INDIRECT("Freeway_Truck!C"&amp;MATCH(A17,Freeway_Truck!A:A,0)&amp;":AZ"&amp;MATCH(A17,Freeway_Truck!A:A,0))),SUM(INDIRECT("Arterial_Truck!C"&amp;MATCH(A17,Arterial_Truck!A:A,0)&amp;":BQ"&amp;MATCH(A17,Arterial_Truck!A:A,0))))</f>
        <v>18.900329700000004</v>
      </c>
      <c r="J17">
        <f t="shared" si="1"/>
        <v>35</v>
      </c>
      <c r="K17">
        <v>0</v>
      </c>
      <c r="L17">
        <v>1</v>
      </c>
      <c r="M17">
        <v>0</v>
      </c>
      <c r="N17">
        <f t="shared" si="2"/>
        <v>1</v>
      </c>
      <c r="O17">
        <v>0</v>
      </c>
      <c r="P17">
        <f t="shared" si="3"/>
        <v>35</v>
      </c>
    </row>
    <row r="18" spans="1:16" x14ac:dyDescent="0.25">
      <c r="A18">
        <v>20057</v>
      </c>
      <c r="B18">
        <v>17</v>
      </c>
      <c r="C18">
        <f>IFERROR(VLOOKUP(A18,Freeway_Car!A:B,2,FALSE),VLOOKUP(A18,Arterial_Car!A:B,2,FALSE))</f>
        <v>42</v>
      </c>
      <c r="D18" t="s">
        <v>23</v>
      </c>
      <c r="E18" s="12">
        <f ca="1">IFERROR(SUM(INDIRECT("Freeway_Car!C"&amp;MATCH(A18,Freeway_Car!A:A,0)&amp;":AZ"&amp;MATCH(A18,Freeway_Car!A:A,0))),SUM(INDIRECT("Arterial_Car!C"&amp;MATCH(A18,Arterial_Car!A:A,0)&amp;":BQ"&amp;MATCH(A18,Arterial_Car!A:A,0))))</f>
        <v>518.94723647000001</v>
      </c>
      <c r="F18">
        <v>35</v>
      </c>
      <c r="G18" s="12">
        <f ca="1">IFERROR(SUM(INDIRECT("Freeway_HOT!C"&amp;MATCH(A18,Freeway_HOT!A:A,0)&amp;":AN"&amp;MATCH(A18,Freeway_HOT!A:A,0))),SUM(INDIRECT("Arterial_HOT!C"&amp;MATCH(A18,Arterial_HOT!A:A,0)&amp;":BQ"&amp;MATCH(A18,Arterial_HOT!A:A,0))))</f>
        <v>0</v>
      </c>
      <c r="H18">
        <f t="shared" si="0"/>
        <v>35</v>
      </c>
      <c r="I18" s="12">
        <f ca="1">IFERROR(SUM(INDIRECT("Freeway_Truck!C"&amp;MATCH(A18,Freeway_Truck!A:A,0)&amp;":AZ"&amp;MATCH(A18,Freeway_Truck!A:A,0))),SUM(INDIRECT("Arterial_Truck!C"&amp;MATCH(A18,Arterial_Truck!A:A,0)&amp;":BQ"&amp;MATCH(A18,Arterial_Truck!A:A,0))))</f>
        <v>16.049914529999999</v>
      </c>
      <c r="J18">
        <f t="shared" si="1"/>
        <v>35</v>
      </c>
      <c r="K18">
        <v>0</v>
      </c>
      <c r="L18">
        <v>1</v>
      </c>
      <c r="M18">
        <v>0</v>
      </c>
      <c r="N18">
        <f t="shared" si="2"/>
        <v>1</v>
      </c>
      <c r="O18">
        <v>0</v>
      </c>
      <c r="P18">
        <f t="shared" si="3"/>
        <v>35</v>
      </c>
    </row>
    <row r="19" spans="1:16" x14ac:dyDescent="0.25">
      <c r="A19">
        <v>135</v>
      </c>
      <c r="B19">
        <v>18</v>
      </c>
      <c r="C19">
        <f>IFERROR(VLOOKUP(A19,Freeway_Car!A:B,2,FALSE),VLOOKUP(A19,Arterial_Car!A:B,2,FALSE))</f>
        <v>49</v>
      </c>
      <c r="D19" t="s">
        <v>24</v>
      </c>
      <c r="E19" s="12">
        <f ca="1">IFERROR(SUM(INDIRECT("Freeway_Car!C"&amp;MATCH(A19,Freeway_Car!A:A,0)&amp;":AZ"&amp;MATCH(A19,Freeway_Car!A:A,0))),SUM(INDIRECT("Arterial_Car!C"&amp;MATCH(A19,Arterial_Car!A:A,0)&amp;":BQ"&amp;MATCH(A19,Arterial_Car!A:A,0))))</f>
        <v>528.647381</v>
      </c>
      <c r="F19">
        <v>35</v>
      </c>
      <c r="G19" s="12">
        <f ca="1">IFERROR(SUM(INDIRECT("Freeway_HOT!C"&amp;MATCH(A19,Freeway_HOT!A:A,0)&amp;":AN"&amp;MATCH(A19,Freeway_HOT!A:A,0))),SUM(INDIRECT("Arterial_HOT!C"&amp;MATCH(A19,Arterial_HOT!A:A,0)&amp;":BQ"&amp;MATCH(A19,Arterial_HOT!A:A,0))))</f>
        <v>0</v>
      </c>
      <c r="H19">
        <f t="shared" si="0"/>
        <v>35</v>
      </c>
      <c r="I19" s="12">
        <f ca="1">IFERROR(SUM(INDIRECT("Freeway_Truck!C"&amp;MATCH(A19,Freeway_Truck!A:A,0)&amp;":AZ"&amp;MATCH(A19,Freeway_Truck!A:A,0))),SUM(INDIRECT("Arterial_Truck!C"&amp;MATCH(A19,Arterial_Truck!A:A,0)&amp;":BQ"&amp;MATCH(A19,Arterial_Truck!A:A,0))))</f>
        <v>16.349918999999996</v>
      </c>
      <c r="J19">
        <f t="shared" si="1"/>
        <v>35</v>
      </c>
      <c r="K19">
        <v>0</v>
      </c>
      <c r="L19">
        <v>1</v>
      </c>
      <c r="M19">
        <v>0</v>
      </c>
      <c r="N19">
        <f t="shared" si="2"/>
        <v>1</v>
      </c>
      <c r="O19">
        <v>0</v>
      </c>
      <c r="P19">
        <f t="shared" si="3"/>
        <v>35</v>
      </c>
    </row>
    <row r="20" spans="1:16" x14ac:dyDescent="0.25">
      <c r="A20">
        <v>288</v>
      </c>
      <c r="B20">
        <v>19</v>
      </c>
      <c r="C20">
        <f>IFERROR(VLOOKUP(A20,Freeway_Car!A:B,2,FALSE),VLOOKUP(A20,Arterial_Car!A:B,2,FALSE))</f>
        <v>41</v>
      </c>
      <c r="D20" t="s">
        <v>25</v>
      </c>
      <c r="E20" s="12">
        <f ca="1">IFERROR(SUM(INDIRECT("Freeway_Car!C"&amp;MATCH(A20,Freeway_Car!A:A,0)&amp;":AZ"&amp;MATCH(A20,Freeway_Car!A:A,0))),SUM(INDIRECT("Arterial_Car!C"&amp;MATCH(A20,Arterial_Car!A:A,0)&amp;":BQ"&amp;MATCH(A20,Arterial_Car!A:A,0))))</f>
        <v>421.96890626999993</v>
      </c>
      <c r="F20">
        <v>35</v>
      </c>
      <c r="G20" s="12">
        <f ca="1">IFERROR(SUM(INDIRECT("Freeway_HOT!C"&amp;MATCH(A20,Freeway_HOT!A:A,0)&amp;":AN"&amp;MATCH(A20,Freeway_HOT!A:A,0))),SUM(INDIRECT("Arterial_HOT!C"&amp;MATCH(A20,Arterial_HOT!A:A,0)&amp;":BQ"&amp;MATCH(A20,Arterial_HOT!A:A,0))))</f>
        <v>0</v>
      </c>
      <c r="H20">
        <f t="shared" si="0"/>
        <v>35</v>
      </c>
      <c r="I20" s="12">
        <f ca="1">IFERROR(SUM(INDIRECT("Freeway_Truck!C"&amp;MATCH(A20,Freeway_Truck!A:A,0)&amp;":AZ"&amp;MATCH(A20,Freeway_Truck!A:A,0))),SUM(INDIRECT("Arterial_Truck!C"&amp;MATCH(A20,Arterial_Truck!A:A,0)&amp;":BQ"&amp;MATCH(A20,Arterial_Truck!A:A,0))))</f>
        <v>13.050584730000001</v>
      </c>
      <c r="J20">
        <f t="shared" si="1"/>
        <v>35</v>
      </c>
      <c r="K20">
        <v>0</v>
      </c>
      <c r="L20">
        <v>1</v>
      </c>
      <c r="M20">
        <v>0</v>
      </c>
      <c r="N20">
        <f t="shared" si="2"/>
        <v>1</v>
      </c>
      <c r="O20">
        <v>0</v>
      </c>
      <c r="P20">
        <f t="shared" si="3"/>
        <v>35</v>
      </c>
    </row>
    <row r="21" spans="1:16" x14ac:dyDescent="0.25">
      <c r="A21">
        <v>48</v>
      </c>
      <c r="B21">
        <v>20</v>
      </c>
      <c r="C21">
        <f>IFERROR(VLOOKUP(A21,Freeway_Car!A:B,2,FALSE),VLOOKUP(A21,Arterial_Car!A:B,2,FALSE))</f>
        <v>16</v>
      </c>
      <c r="D21" t="s">
        <v>26</v>
      </c>
      <c r="E21" s="12">
        <f ca="1">IFERROR(SUM(INDIRECT("Freeway_Car!C"&amp;MATCH(A21,Freeway_Car!A:A,0)&amp;":AZ"&amp;MATCH(A21,Freeway_Car!A:A,0))),SUM(INDIRECT("Arterial_Car!C"&amp;MATCH(A21,Arterial_Car!A:A,0)&amp;":BQ"&amp;MATCH(A21,Arterial_Car!A:A,0))))</f>
        <v>548.02300683999999</v>
      </c>
      <c r="F21">
        <v>40</v>
      </c>
      <c r="G21" s="12">
        <f ca="1">IFERROR(SUM(INDIRECT("Freeway_HOT!C"&amp;MATCH(A21,Freeway_HOT!A:A,0)&amp;":AN"&amp;MATCH(A21,Freeway_HOT!A:A,0))),SUM(INDIRECT("Arterial_HOT!C"&amp;MATCH(A21,Arterial_HOT!A:A,0)&amp;":BQ"&amp;MATCH(A21,Arterial_HOT!A:A,0))))</f>
        <v>0</v>
      </c>
      <c r="H21">
        <f t="shared" si="0"/>
        <v>40</v>
      </c>
      <c r="I21" s="12">
        <f ca="1">IFERROR(SUM(INDIRECT("Freeway_Truck!C"&amp;MATCH(A21,Freeway_Truck!A:A,0)&amp;":AZ"&amp;MATCH(A21,Freeway_Truck!A:A,0))),SUM(INDIRECT("Arterial_Truck!C"&amp;MATCH(A21,Arterial_Truck!A:A,0)&amp;":BQ"&amp;MATCH(A21,Arterial_Truck!A:A,0))))</f>
        <v>16.94916516</v>
      </c>
      <c r="J21">
        <f t="shared" si="1"/>
        <v>40</v>
      </c>
      <c r="K21">
        <v>0</v>
      </c>
      <c r="L21">
        <v>1</v>
      </c>
      <c r="M21">
        <v>0</v>
      </c>
      <c r="N21">
        <f t="shared" si="2"/>
        <v>1</v>
      </c>
      <c r="O21">
        <v>0</v>
      </c>
      <c r="P21">
        <f t="shared" si="3"/>
        <v>40</v>
      </c>
    </row>
    <row r="22" spans="1:16" x14ac:dyDescent="0.25">
      <c r="A22">
        <v>29</v>
      </c>
      <c r="B22">
        <v>21</v>
      </c>
      <c r="C22">
        <f>IFERROR(VLOOKUP(A22,Freeway_Car!A:B,2,FALSE),VLOOKUP(A22,Arterial_Car!A:B,2,FALSE))</f>
        <v>22</v>
      </c>
      <c r="D22" t="s">
        <v>29</v>
      </c>
      <c r="E22" s="12">
        <f ca="1">IFERROR(SUM(INDIRECT("Freeway_Car!C"&amp;MATCH(A22,Freeway_Car!A:A,0)&amp;":AZ"&amp;MATCH(A22,Freeway_Car!A:A,0))),SUM(INDIRECT("Arterial_Car!C"&amp;MATCH(A22,Arterial_Car!A:A,0)&amp;":BQ"&amp;MATCH(A22,Arterial_Car!A:A,0))))</f>
        <v>1842.98114126</v>
      </c>
      <c r="F22">
        <v>35</v>
      </c>
      <c r="G22" s="12">
        <f ca="1">IFERROR(SUM(INDIRECT("Freeway_HOT!C"&amp;MATCH(A22,Freeway_HOT!A:A,0)&amp;":AN"&amp;MATCH(A22,Freeway_HOT!A:A,0))),SUM(INDIRECT("Arterial_HOT!C"&amp;MATCH(A22,Arterial_HOT!A:A,0)&amp;":BQ"&amp;MATCH(A22,Arterial_HOT!A:A,0))))</f>
        <v>0</v>
      </c>
      <c r="H22">
        <f t="shared" si="0"/>
        <v>35</v>
      </c>
      <c r="I22" s="12">
        <f ca="1">IFERROR(SUM(INDIRECT("Freeway_Truck!C"&amp;MATCH(A22,Freeway_Truck!A:A,0)&amp;":AZ"&amp;MATCH(A22,Freeway_Truck!A:A,0))),SUM(INDIRECT("Arterial_Truck!C"&amp;MATCH(A22,Arterial_Truck!A:A,0)&amp;":BQ"&amp;MATCH(A22,Arterial_Truck!A:A,0))))</f>
        <v>56.999416740000008</v>
      </c>
      <c r="J22">
        <f t="shared" si="1"/>
        <v>35</v>
      </c>
      <c r="K22">
        <v>0</v>
      </c>
      <c r="L22">
        <v>1</v>
      </c>
      <c r="M22">
        <v>0</v>
      </c>
      <c r="N22">
        <f t="shared" si="2"/>
        <v>1</v>
      </c>
      <c r="O22">
        <v>0</v>
      </c>
      <c r="P22">
        <f t="shared" si="3"/>
        <v>35</v>
      </c>
    </row>
    <row r="23" spans="1:16" x14ac:dyDescent="0.25">
      <c r="A23">
        <v>23</v>
      </c>
      <c r="B23">
        <v>22</v>
      </c>
      <c r="C23">
        <f>IFERROR(VLOOKUP(A23,Freeway_Car!A:B,2,FALSE),VLOOKUP(A23,Arterial_Car!A:B,2,FALSE))</f>
        <v>51</v>
      </c>
      <c r="D23" t="s">
        <v>28</v>
      </c>
      <c r="E23" s="12">
        <f ca="1">IFERROR(SUM(INDIRECT("Freeway_Car!C"&amp;MATCH(A23,Freeway_Car!A:A,0)&amp;":AZ"&amp;MATCH(A23,Freeway_Car!A:A,0))),SUM(INDIRECT("Arterial_Car!C"&amp;MATCH(A23,Arterial_Car!A:A,0)&amp;":BQ"&amp;MATCH(A23,Arterial_Car!A:A,0))))</f>
        <v>266.74936756</v>
      </c>
      <c r="F23">
        <v>35</v>
      </c>
      <c r="G23" s="12">
        <f ca="1">IFERROR(SUM(INDIRECT("Freeway_HOT!C"&amp;MATCH(A23,Freeway_HOT!A:A,0)&amp;":AN"&amp;MATCH(A23,Freeway_HOT!A:A,0))),SUM(INDIRECT("Arterial_HOT!C"&amp;MATCH(A23,Arterial_HOT!A:A,0)&amp;":BQ"&amp;MATCH(A23,Arterial_HOT!A:A,0))))</f>
        <v>0</v>
      </c>
      <c r="H23">
        <f t="shared" si="0"/>
        <v>35</v>
      </c>
      <c r="I23" s="12">
        <f ca="1">IFERROR(SUM(INDIRECT("Freeway_Truck!C"&amp;MATCH(A23,Freeway_Truck!A:A,0)&amp;":AZ"&amp;MATCH(A23,Freeway_Truck!A:A,0))),SUM(INDIRECT("Arterial_Truck!C"&amp;MATCH(A23,Arterial_Truck!A:A,0)&amp;":BQ"&amp;MATCH(A23,Arterial_Truck!A:A,0))))</f>
        <v>8.2499804399999981</v>
      </c>
      <c r="J23">
        <f t="shared" si="1"/>
        <v>35</v>
      </c>
      <c r="K23">
        <v>0</v>
      </c>
      <c r="L23">
        <v>1</v>
      </c>
      <c r="M23">
        <v>0</v>
      </c>
      <c r="N23">
        <f t="shared" si="2"/>
        <v>1</v>
      </c>
      <c r="O23">
        <v>0</v>
      </c>
      <c r="P23">
        <f t="shared" si="3"/>
        <v>35</v>
      </c>
    </row>
    <row r="24" spans="1:16" x14ac:dyDescent="0.25">
      <c r="A24">
        <v>91</v>
      </c>
      <c r="B24">
        <v>23</v>
      </c>
      <c r="C24">
        <f>IFERROR(VLOOKUP(A24,Freeway_Car!A:B,2,FALSE),VLOOKUP(A24,Arterial_Car!A:B,2,FALSE))</f>
        <v>27</v>
      </c>
      <c r="D24" t="s">
        <v>30</v>
      </c>
      <c r="E24" s="12">
        <f ca="1">IFERROR(SUM(INDIRECT("Freeway_Car!C"&amp;MATCH(A24,Freeway_Car!A:A,0)&amp;":AZ"&amp;MATCH(A24,Freeway_Car!A:A,0))),SUM(INDIRECT("Arterial_Car!C"&amp;MATCH(A24,Arterial_Car!A:A,0)&amp;":BQ"&amp;MATCH(A24,Arterial_Car!A:A,0))))</f>
        <v>659.59791741000015</v>
      </c>
      <c r="F24">
        <v>35</v>
      </c>
      <c r="G24" s="12">
        <f ca="1">IFERROR(SUM(INDIRECT("Freeway_HOT!C"&amp;MATCH(A24,Freeway_HOT!A:A,0)&amp;":AN"&amp;MATCH(A24,Freeway_HOT!A:A,0))),SUM(INDIRECT("Arterial_HOT!C"&amp;MATCH(A24,Arterial_HOT!A:A,0)&amp;":BQ"&amp;MATCH(A24,Arterial_HOT!A:A,0))))</f>
        <v>0</v>
      </c>
      <c r="H24">
        <f t="shared" si="0"/>
        <v>35</v>
      </c>
      <c r="I24" s="12">
        <f ca="1">IFERROR(SUM(INDIRECT("Freeway_Truck!C"&amp;MATCH(A24,Freeway_Truck!A:A,0)&amp;":AZ"&amp;MATCH(A24,Freeway_Truck!A:A,0))),SUM(INDIRECT("Arterial_Truck!C"&amp;MATCH(A24,Arterial_Truck!A:A,0)&amp;":BQ"&amp;MATCH(A24,Arterial_Truck!A:A,0))))</f>
        <v>20.399935589999998</v>
      </c>
      <c r="J24">
        <f t="shared" si="1"/>
        <v>35</v>
      </c>
      <c r="K24">
        <v>0</v>
      </c>
      <c r="L24">
        <v>1</v>
      </c>
      <c r="M24">
        <v>0</v>
      </c>
      <c r="N24">
        <f t="shared" si="2"/>
        <v>1</v>
      </c>
      <c r="O24">
        <v>0</v>
      </c>
      <c r="P24">
        <f t="shared" si="3"/>
        <v>35</v>
      </c>
    </row>
    <row r="25" spans="1:16" x14ac:dyDescent="0.25">
      <c r="A25">
        <v>92</v>
      </c>
      <c r="B25">
        <v>24</v>
      </c>
      <c r="C25">
        <f>IFERROR(VLOOKUP(A25,Freeway_Car!A:B,2,FALSE),VLOOKUP(A25,Arterial_Car!A:B,2,FALSE))</f>
        <v>21</v>
      </c>
      <c r="D25" t="s">
        <v>31</v>
      </c>
      <c r="E25" s="12">
        <f ca="1">IFERROR(SUM(INDIRECT("Freeway_Car!C"&amp;MATCH(A25,Freeway_Car!A:A,0)&amp;":AZ"&amp;MATCH(A25,Freeway_Car!A:A,0))),SUM(INDIRECT("Arterial_Car!C"&amp;MATCH(A25,Arterial_Car!A:A,0)&amp;":BQ"&amp;MATCH(A25,Arterial_Car!A:A,0))))</f>
        <v>906.96346262999998</v>
      </c>
      <c r="F25">
        <v>35</v>
      </c>
      <c r="G25" s="12">
        <f ca="1">IFERROR(SUM(INDIRECT("Freeway_HOT!C"&amp;MATCH(A25,Freeway_HOT!A:A,0)&amp;":AN"&amp;MATCH(A25,Freeway_HOT!A:A,0))),SUM(INDIRECT("Arterial_HOT!C"&amp;MATCH(A25,Arterial_HOT!A:A,0)&amp;":BQ"&amp;MATCH(A25,Arterial_HOT!A:A,0))))</f>
        <v>0</v>
      </c>
      <c r="H25">
        <f t="shared" si="0"/>
        <v>35</v>
      </c>
      <c r="I25" s="12">
        <f ca="1">IFERROR(SUM(INDIRECT("Freeway_Truck!C"&amp;MATCH(A25,Freeway_Truck!A:A,0)&amp;":AZ"&amp;MATCH(A25,Freeway_Truck!A:A,0))),SUM(INDIRECT("Arterial_Truck!C"&amp;MATCH(A25,Arterial_Truck!A:A,0)&amp;":BQ"&amp;MATCH(A25,Arterial_Truck!A:A,0))))</f>
        <v>28.050416369999997</v>
      </c>
      <c r="J25">
        <f t="shared" si="1"/>
        <v>35</v>
      </c>
      <c r="K25">
        <v>0</v>
      </c>
      <c r="L25">
        <v>1</v>
      </c>
      <c r="M25">
        <v>0</v>
      </c>
      <c r="N25">
        <f t="shared" si="2"/>
        <v>1</v>
      </c>
      <c r="O25">
        <v>0</v>
      </c>
      <c r="P25">
        <f t="shared" si="3"/>
        <v>35</v>
      </c>
    </row>
    <row r="26" spans="1:16" x14ac:dyDescent="0.25">
      <c r="A26">
        <v>26</v>
      </c>
      <c r="B26">
        <v>25</v>
      </c>
      <c r="C26">
        <f>IFERROR(VLOOKUP(A26,Freeway_Car!A:B,2,FALSE),VLOOKUP(A26,Arterial_Car!A:B,2,FALSE))</f>
        <v>39</v>
      </c>
      <c r="D26" t="s">
        <v>32</v>
      </c>
      <c r="E26" s="12">
        <f ca="1">IFERROR(SUM(INDIRECT("Freeway_Car!C"&amp;MATCH(A26,Freeway_Car!A:A,0)&amp;":AZ"&amp;MATCH(A26,Freeway_Car!A:A,0))),SUM(INDIRECT("Arterial_Car!C"&amp;MATCH(A26,Arterial_Car!A:A,0)&amp;":BQ"&amp;MATCH(A26,Arterial_Car!A:A,0))))</f>
        <v>965.17715708999992</v>
      </c>
      <c r="F26">
        <v>25</v>
      </c>
      <c r="G26" s="12">
        <f ca="1">IFERROR(SUM(INDIRECT("Freeway_HOT!C"&amp;MATCH(A26,Freeway_HOT!A:A,0)&amp;":AN"&amp;MATCH(A26,Freeway_HOT!A:A,0))),SUM(INDIRECT("Arterial_HOT!C"&amp;MATCH(A26,Arterial_HOT!A:A,0)&amp;":BQ"&amp;MATCH(A26,Arterial_HOT!A:A,0))))</f>
        <v>0</v>
      </c>
      <c r="H26">
        <f t="shared" si="0"/>
        <v>25</v>
      </c>
      <c r="I26" s="12">
        <f ca="1">IFERROR(SUM(INDIRECT("Freeway_Truck!C"&amp;MATCH(A26,Freeway_Truck!A:A,0)&amp;":AZ"&amp;MATCH(A26,Freeway_Truck!A:A,0))),SUM(INDIRECT("Arterial_Truck!C"&amp;MATCH(A26,Arterial_Truck!A:A,0)&amp;":BQ"&amp;MATCH(A26,Arterial_Truck!A:A,0))))</f>
        <v>29.850839910000001</v>
      </c>
      <c r="J26">
        <f t="shared" si="1"/>
        <v>25</v>
      </c>
      <c r="K26">
        <v>0</v>
      </c>
      <c r="L26">
        <v>1</v>
      </c>
      <c r="M26">
        <v>0</v>
      </c>
      <c r="N26">
        <f t="shared" si="2"/>
        <v>1</v>
      </c>
      <c r="O26">
        <v>0</v>
      </c>
      <c r="P26">
        <f t="shared" si="3"/>
        <v>25</v>
      </c>
    </row>
    <row r="27" spans="1:16" x14ac:dyDescent="0.25">
      <c r="A27">
        <v>129</v>
      </c>
      <c r="B27">
        <v>27</v>
      </c>
      <c r="C27">
        <f>IFERROR(VLOOKUP(A27,Freeway_Car!A:B,2,FALSE),VLOOKUP(A27,Arterial_Car!A:B,2,FALSE))</f>
        <v>2</v>
      </c>
      <c r="D27" t="s">
        <v>35</v>
      </c>
      <c r="E27" s="12">
        <f ca="1">IFERROR(SUM(INDIRECT("Freeway_Car!C"&amp;MATCH(A27,Freeway_Car!A:A,0)&amp;":AZ"&amp;MATCH(A27,Freeway_Car!A:A,0))),SUM(INDIRECT("Arterial_Car!C"&amp;MATCH(A27,Arterial_Car!A:A,0)&amp;":BQ"&amp;MATCH(A27,Arterial_Car!A:A,0))))</f>
        <v>625.73812353000005</v>
      </c>
      <c r="F27">
        <v>25</v>
      </c>
      <c r="G27" s="12">
        <f ca="1">IFERROR(SUM(INDIRECT("Freeway_HOT!C"&amp;MATCH(A27,Freeway_HOT!A:A,0)&amp;":AN"&amp;MATCH(A27,Freeway_HOT!A:A,0))),SUM(INDIRECT("Arterial_HOT!C"&amp;MATCH(A27,Arterial_HOT!A:A,0)&amp;":BQ"&amp;MATCH(A27,Arterial_HOT!A:A,0))))</f>
        <v>0</v>
      </c>
      <c r="H27">
        <f t="shared" si="0"/>
        <v>25</v>
      </c>
      <c r="I27" s="12">
        <f ca="1">IFERROR(SUM(INDIRECT("Freeway_Truck!C"&amp;MATCH(A27,Freeway_Truck!A:A,0)&amp;":AZ"&amp;MATCH(A27,Freeway_Truck!A:A,0))),SUM(INDIRECT("Arterial_Truck!C"&amp;MATCH(A27,Arterial_Truck!A:A,0)&amp;":BQ"&amp;MATCH(A27,Arterial_Truck!A:A,0))))</f>
        <v>19.352725469999999</v>
      </c>
      <c r="J27">
        <f t="shared" si="1"/>
        <v>25</v>
      </c>
      <c r="K27">
        <v>0</v>
      </c>
      <c r="L27">
        <v>1</v>
      </c>
      <c r="M27">
        <v>0</v>
      </c>
      <c r="N27">
        <f t="shared" si="2"/>
        <v>1</v>
      </c>
      <c r="O27">
        <v>0</v>
      </c>
      <c r="P27">
        <f t="shared" si="3"/>
        <v>25</v>
      </c>
    </row>
    <row r="28" spans="1:16" x14ac:dyDescent="0.25">
      <c r="A28">
        <v>95</v>
      </c>
      <c r="B28">
        <v>28</v>
      </c>
      <c r="C28">
        <f>IFERROR(VLOOKUP(A28,Freeway_Car!A:B,2,FALSE),VLOOKUP(A28,Arterial_Car!A:B,2,FALSE))</f>
        <v>50</v>
      </c>
      <c r="D28" t="s">
        <v>33</v>
      </c>
      <c r="E28" s="12">
        <f ca="1">IFERROR(SUM(INDIRECT("Freeway_Car!C"&amp;MATCH(A28,Freeway_Car!A:A,0)&amp;":AZ"&amp;MATCH(A28,Freeway_Car!A:A,0))),SUM(INDIRECT("Arterial_Car!C"&amp;MATCH(A28,Arterial_Car!A:A,0)&amp;":BQ"&amp;MATCH(A28,Arterial_Car!A:A,0))))</f>
        <v>431.69377513000001</v>
      </c>
      <c r="F28">
        <v>15</v>
      </c>
      <c r="G28" s="12">
        <f ca="1">IFERROR(SUM(INDIRECT("Freeway_HOT!C"&amp;MATCH(A28,Freeway_HOT!A:A,0)&amp;":AN"&amp;MATCH(A28,Freeway_HOT!A:A,0))),SUM(INDIRECT("Arterial_HOT!C"&amp;MATCH(A28,Arterial_HOT!A:A,0)&amp;":BQ"&amp;MATCH(A28,Arterial_HOT!A:A,0))))</f>
        <v>0</v>
      </c>
      <c r="H28">
        <f t="shared" si="0"/>
        <v>15</v>
      </c>
      <c r="I28" s="12">
        <f ca="1">IFERROR(SUM(INDIRECT("Freeway_Truck!C"&amp;MATCH(A28,Freeway_Truck!A:A,0)&amp;":AZ"&amp;MATCH(A28,Freeway_Truck!A:A,0))),SUM(INDIRECT("Arterial_Truck!C"&amp;MATCH(A28,Arterial_Truck!A:A,0)&amp;":BQ"&amp;MATCH(A28,Arterial_Truck!A:A,0))))</f>
        <v>13.351353869999999</v>
      </c>
      <c r="J28">
        <f t="shared" si="1"/>
        <v>15</v>
      </c>
      <c r="K28">
        <v>0</v>
      </c>
      <c r="L28">
        <v>1</v>
      </c>
      <c r="M28">
        <v>0</v>
      </c>
      <c r="N28">
        <f t="shared" si="2"/>
        <v>1</v>
      </c>
      <c r="O28">
        <v>0</v>
      </c>
      <c r="P28">
        <f t="shared" si="3"/>
        <v>15</v>
      </c>
    </row>
    <row r="29" spans="1:16" x14ac:dyDescent="0.25">
      <c r="A29">
        <v>128</v>
      </c>
      <c r="B29">
        <v>29</v>
      </c>
      <c r="C29">
        <f>IFERROR(VLOOKUP(A29,Freeway_Car!A:B,2,FALSE),VLOOKUP(A29,Arterial_Car!A:B,2,FALSE))</f>
        <v>47</v>
      </c>
      <c r="D29" t="s">
        <v>36</v>
      </c>
      <c r="E29" s="12">
        <f ca="1">IFERROR(SUM(INDIRECT("Freeway_Car!C"&amp;MATCH(A29,Freeway_Car!A:A,0)&amp;":AZ"&amp;MATCH(A29,Freeway_Car!A:A,0))),SUM(INDIRECT("Arterial_Car!C"&amp;MATCH(A29,Arterial_Car!A:A,0)&amp;":BQ"&amp;MATCH(A29,Arterial_Car!A:A,0))))</f>
        <v>1110.6284601799998</v>
      </c>
      <c r="F29">
        <v>30</v>
      </c>
      <c r="G29" s="12">
        <f ca="1">IFERROR(SUM(INDIRECT("Freeway_HOT!C"&amp;MATCH(A29,Freeway_HOT!A:A,0)&amp;":AN"&amp;MATCH(A29,Freeway_HOT!A:A,0))),SUM(INDIRECT("Arterial_HOT!C"&amp;MATCH(A29,Arterial_HOT!A:A,0)&amp;":BQ"&amp;MATCH(A29,Arterial_HOT!A:A,0))))</f>
        <v>0</v>
      </c>
      <c r="H29">
        <f t="shared" si="0"/>
        <v>30</v>
      </c>
      <c r="I29" s="12">
        <f ca="1">IFERROR(SUM(INDIRECT("Freeway_Truck!C"&amp;MATCH(A29,Freeway_Truck!A:A,0)&amp;":AZ"&amp;MATCH(A29,Freeway_Truck!A:A,0))),SUM(INDIRECT("Arterial_Truck!C"&amp;MATCH(A29,Arterial_Truck!A:A,0)&amp;":BQ"&amp;MATCH(A29,Arterial_Truck!A:A,0))))</f>
        <v>34.349333820000005</v>
      </c>
      <c r="J29">
        <f t="shared" si="1"/>
        <v>30</v>
      </c>
      <c r="K29">
        <v>0</v>
      </c>
      <c r="L29">
        <v>1</v>
      </c>
      <c r="M29">
        <v>0</v>
      </c>
      <c r="N29">
        <f t="shared" si="2"/>
        <v>1</v>
      </c>
      <c r="O29">
        <v>0</v>
      </c>
      <c r="P29">
        <f t="shared" si="3"/>
        <v>30</v>
      </c>
    </row>
    <row r="30" spans="1:16" x14ac:dyDescent="0.25">
      <c r="A30">
        <v>136</v>
      </c>
      <c r="B30">
        <v>30</v>
      </c>
      <c r="C30">
        <f>IFERROR(VLOOKUP(A30,Freeway_Car!A:B,2,FALSE),VLOOKUP(A30,Arterial_Car!A:B,2,FALSE))</f>
        <v>20</v>
      </c>
      <c r="D30" t="s">
        <v>37</v>
      </c>
      <c r="E30" s="12">
        <f ca="1">IFERROR(SUM(INDIRECT("Freeway_Car!C"&amp;MATCH(A30,Freeway_Car!A:A,0)&amp;":AZ"&amp;MATCH(A30,Freeway_Car!A:A,0))),SUM(INDIRECT("Arterial_Car!C"&amp;MATCH(A30,Arterial_Car!A:A,0)&amp;":BQ"&amp;MATCH(A30,Arterial_Car!A:A,0))))</f>
        <v>688.7003404699999</v>
      </c>
      <c r="F30">
        <v>30</v>
      </c>
      <c r="G30" s="12">
        <f ca="1">IFERROR(SUM(INDIRECT("Freeway_HOT!C"&amp;MATCH(A30,Freeway_HOT!A:A,0)&amp;":AN"&amp;MATCH(A30,Freeway_HOT!A:A,0))),SUM(INDIRECT("Arterial_HOT!C"&amp;MATCH(A30,Arterial_HOT!A:A,0)&amp;":BQ"&amp;MATCH(A30,Arterial_HOT!A:A,0))))</f>
        <v>0</v>
      </c>
      <c r="H30">
        <f t="shared" si="0"/>
        <v>30</v>
      </c>
      <c r="I30" s="12">
        <f ca="1">IFERROR(SUM(INDIRECT("Freeway_Truck!C"&amp;MATCH(A30,Freeway_Truck!A:A,0)&amp;":AZ"&amp;MATCH(A30,Freeway_Truck!A:A,0))),SUM(INDIRECT("Arterial_Truck!C"&amp;MATCH(A30,Arterial_Truck!A:A,0)&amp;":BQ"&amp;MATCH(A30,Arterial_Truck!A:A,0))))</f>
        <v>21.300010529999998</v>
      </c>
      <c r="J30">
        <f t="shared" si="1"/>
        <v>30</v>
      </c>
      <c r="K30">
        <v>0</v>
      </c>
      <c r="L30">
        <v>1</v>
      </c>
      <c r="M30">
        <v>0</v>
      </c>
      <c r="N30">
        <f t="shared" si="2"/>
        <v>1</v>
      </c>
      <c r="O30">
        <v>0</v>
      </c>
      <c r="P30">
        <f t="shared" si="3"/>
        <v>30</v>
      </c>
    </row>
    <row r="31" spans="1:16" x14ac:dyDescent="0.25">
      <c r="A31">
        <v>169</v>
      </c>
      <c r="B31">
        <v>31</v>
      </c>
      <c r="C31">
        <f>IFERROR(VLOOKUP(A31,Freeway_Car!A:B,2,FALSE),VLOOKUP(A31,Arterial_Car!A:B,2,FALSE))</f>
        <v>8</v>
      </c>
      <c r="D31" t="s">
        <v>38</v>
      </c>
      <c r="E31" s="12">
        <f ca="1">IFERROR(SUM(INDIRECT("Freeway_Car!C"&amp;MATCH(A31,Freeway_Car!A:A,0)&amp;":AZ"&amp;MATCH(A31,Freeway_Car!A:A,0))),SUM(INDIRECT("Arterial_Car!C"&amp;MATCH(A31,Arterial_Car!A:A,0)&amp;":BQ"&amp;MATCH(A31,Arterial_Car!A:A,0))))</f>
        <v>451.04837040000001</v>
      </c>
      <c r="F31">
        <v>25</v>
      </c>
      <c r="G31" s="12">
        <f ca="1">IFERROR(SUM(INDIRECT("Freeway_HOT!C"&amp;MATCH(A31,Freeway_HOT!A:A,0)&amp;":AN"&amp;MATCH(A31,Freeway_HOT!A:A,0))),SUM(INDIRECT("Arterial_HOT!C"&amp;MATCH(A31,Arterial_HOT!A:A,0)&amp;":BQ"&amp;MATCH(A31,Arterial_HOT!A:A,0))))</f>
        <v>0</v>
      </c>
      <c r="H31">
        <f t="shared" si="0"/>
        <v>25</v>
      </c>
      <c r="I31" s="12">
        <f ca="1">IFERROR(SUM(INDIRECT("Freeway_Truck!C"&amp;MATCH(A31,Freeway_Truck!A:A,0)&amp;":AZ"&amp;MATCH(A31,Freeway_Truck!A:A,0))),SUM(INDIRECT("Arterial_Truck!C"&amp;MATCH(A31,Arterial_Truck!A:A,0)&amp;":BQ"&amp;MATCH(A31,Arterial_Truck!A:A,0))))</f>
        <v>13.9499496</v>
      </c>
      <c r="J31">
        <f t="shared" si="1"/>
        <v>25</v>
      </c>
      <c r="K31">
        <v>0</v>
      </c>
      <c r="L31">
        <v>1</v>
      </c>
      <c r="M31">
        <v>0</v>
      </c>
      <c r="N31">
        <f t="shared" si="2"/>
        <v>1</v>
      </c>
      <c r="O31">
        <v>0</v>
      </c>
      <c r="P31">
        <f t="shared" si="3"/>
        <v>25</v>
      </c>
    </row>
    <row r="32" spans="1:16" x14ac:dyDescent="0.25">
      <c r="A32">
        <v>147</v>
      </c>
      <c r="B32">
        <v>32</v>
      </c>
      <c r="C32">
        <f>IFERROR(VLOOKUP(A32,Freeway_Car!A:B,2,FALSE),VLOOKUP(A32,Arterial_Car!A:B,2,FALSE))</f>
        <v>26</v>
      </c>
      <c r="D32" t="s">
        <v>39</v>
      </c>
      <c r="E32" s="12">
        <f ca="1">IFERROR(SUM(INDIRECT("Freeway_Car!C"&amp;MATCH(A32,Freeway_Car!A:A,0)&amp;":AZ"&amp;MATCH(A32,Freeway_Car!A:A,0))),SUM(INDIRECT("Arterial_Car!C"&amp;MATCH(A32,Arterial_Car!A:A,0)&amp;":BQ"&amp;MATCH(A32,Arterial_Car!A:A,0))))</f>
        <v>2294.0425019000004</v>
      </c>
      <c r="F32">
        <v>35</v>
      </c>
      <c r="G32" s="12">
        <f ca="1">IFERROR(SUM(INDIRECT("Freeway_HOT!C"&amp;MATCH(A32,Freeway_HOT!A:A,0)&amp;":AN"&amp;MATCH(A32,Freeway_HOT!A:A,0))),SUM(INDIRECT("Arterial_HOT!C"&amp;MATCH(A32,Arterial_HOT!A:A,0)&amp;":BQ"&amp;MATCH(A32,Arterial_HOT!A:A,0))))</f>
        <v>0</v>
      </c>
      <c r="H32">
        <f t="shared" si="0"/>
        <v>35</v>
      </c>
      <c r="I32" s="12">
        <f ca="1">IFERROR(SUM(INDIRECT("Freeway_Truck!C"&amp;MATCH(A32,Freeway_Truck!A:A,0)&amp;":AZ"&amp;MATCH(A32,Freeway_Truck!A:A,0))),SUM(INDIRECT("Arterial_Truck!C"&amp;MATCH(A32,Arterial_Truck!A:A,0)&amp;":BQ"&amp;MATCH(A32,Arterial_Truck!A:A,0))))</f>
        <v>70.949768100000014</v>
      </c>
      <c r="J32">
        <f t="shared" si="1"/>
        <v>35</v>
      </c>
      <c r="K32">
        <v>0</v>
      </c>
      <c r="L32">
        <v>1</v>
      </c>
      <c r="M32">
        <v>0</v>
      </c>
      <c r="N32">
        <f t="shared" si="2"/>
        <v>1</v>
      </c>
      <c r="O32">
        <v>0</v>
      </c>
      <c r="P32">
        <f t="shared" si="3"/>
        <v>35</v>
      </c>
    </row>
    <row r="33" spans="1:16" x14ac:dyDescent="0.25">
      <c r="A33">
        <v>78</v>
      </c>
      <c r="B33">
        <v>33</v>
      </c>
      <c r="C33">
        <f>IFERROR(VLOOKUP(A33,Freeway_Car!A:B,2,FALSE),VLOOKUP(A33,Arterial_Car!A:B,2,FALSE))</f>
        <v>18</v>
      </c>
      <c r="D33" t="s">
        <v>40</v>
      </c>
      <c r="E33" s="12">
        <f ca="1">IFERROR(SUM(INDIRECT("Freeway_Car!C"&amp;MATCH(A33,Freeway_Car!A:A,0)&amp;":AZ"&amp;MATCH(A33,Freeway_Car!A:A,0))),SUM(INDIRECT("Arterial_Car!C"&amp;MATCH(A33,Arterial_Car!A:A,0)&amp;":BQ"&amp;MATCH(A33,Arterial_Car!A:A,0))))</f>
        <v>777.21929511999986</v>
      </c>
      <c r="F33">
        <v>35</v>
      </c>
      <c r="G33" s="12">
        <f ca="1">IFERROR(SUM(INDIRECT("Freeway_HOT!C"&amp;MATCH(A33,Freeway_HOT!A:A,0)&amp;":AN"&amp;MATCH(A33,Freeway_HOT!A:A,0))),SUM(INDIRECT("Arterial_HOT!C"&amp;MATCH(A33,Arterial_HOT!A:A,0)&amp;":BQ"&amp;MATCH(A33,Arterial_HOT!A:A,0))))</f>
        <v>0</v>
      </c>
      <c r="H33">
        <f t="shared" si="0"/>
        <v>35</v>
      </c>
      <c r="I33" s="12">
        <f ca="1">IFERROR(SUM(INDIRECT("Freeway_Truck!C"&amp;MATCH(A33,Freeway_Truck!A:A,0)&amp;":AZ"&amp;MATCH(A33,Freeway_Truck!A:A,0))),SUM(INDIRECT("Arterial_Truck!C"&amp;MATCH(A33,Arterial_Truck!A:A,0)&amp;":BQ"&amp;MATCH(A33,Arterial_Truck!A:A,0))))</f>
        <v>22.778582880000002</v>
      </c>
      <c r="J33">
        <f t="shared" si="1"/>
        <v>35</v>
      </c>
      <c r="K33">
        <v>0</v>
      </c>
      <c r="L33">
        <v>1</v>
      </c>
      <c r="M33">
        <v>0</v>
      </c>
      <c r="N33">
        <f t="shared" si="2"/>
        <v>1</v>
      </c>
      <c r="O33">
        <v>0</v>
      </c>
      <c r="P33">
        <f t="shared" si="3"/>
        <v>35</v>
      </c>
    </row>
    <row r="34" spans="1:16" x14ac:dyDescent="0.25">
      <c r="A34">
        <v>133</v>
      </c>
      <c r="B34">
        <v>34</v>
      </c>
      <c r="C34">
        <f>IFERROR(VLOOKUP(A34,Freeway_Car!A:B,2,FALSE),VLOOKUP(A34,Arterial_Car!A:B,2,FALSE))</f>
        <v>17</v>
      </c>
      <c r="D34" t="s">
        <v>41</v>
      </c>
      <c r="E34" s="12">
        <f ca="1">IFERROR(SUM(INDIRECT("Freeway_Car!C"&amp;MATCH(A34,Freeway_Car!A:A,0)&amp;":AZ"&amp;MATCH(A34,Freeway_Car!A:A,0))),SUM(INDIRECT("Arterial_Car!C"&amp;MATCH(A34,Arterial_Car!A:A,0)&amp;":BQ"&amp;MATCH(A34,Arterial_Car!A:A,0))))</f>
        <v>943.87244156999998</v>
      </c>
      <c r="F34">
        <v>35</v>
      </c>
      <c r="G34" s="12">
        <f ca="1">IFERROR(SUM(INDIRECT("Freeway_HOT!C"&amp;MATCH(A34,Freeway_HOT!A:A,0)&amp;":AN"&amp;MATCH(A34,Freeway_HOT!A:A,0))),SUM(INDIRECT("Arterial_HOT!C"&amp;MATCH(A34,Arterial_HOT!A:A,0)&amp;":BQ"&amp;MATCH(A34,Arterial_HOT!A:A,0))))</f>
        <v>0</v>
      </c>
      <c r="H34">
        <f t="shared" si="0"/>
        <v>35</v>
      </c>
      <c r="I34" s="12">
        <f ca="1">IFERROR(SUM(INDIRECT("Freeway_Truck!C"&amp;MATCH(A34,Freeway_Truck!A:A,0)&amp;":AZ"&amp;MATCH(A34,Freeway_Truck!A:A,0))),SUM(INDIRECT("Arterial_Truck!C"&amp;MATCH(A34,Arterial_Truck!A:A,0)&amp;":BQ"&amp;MATCH(A34,Arterial_Truck!A:A,0))))</f>
        <v>26.121476429999998</v>
      </c>
      <c r="J34">
        <f t="shared" si="1"/>
        <v>35</v>
      </c>
      <c r="K34">
        <v>0</v>
      </c>
      <c r="L34">
        <v>1</v>
      </c>
      <c r="M34">
        <v>0</v>
      </c>
      <c r="N34">
        <f t="shared" si="2"/>
        <v>1</v>
      </c>
      <c r="O34">
        <v>0</v>
      </c>
      <c r="P34">
        <f t="shared" si="3"/>
        <v>35</v>
      </c>
    </row>
    <row r="35" spans="1:16" x14ac:dyDescent="0.25">
      <c r="A35">
        <v>204</v>
      </c>
      <c r="B35">
        <v>35</v>
      </c>
      <c r="C35">
        <f>IFERROR(VLOOKUP(A35,Freeway_Car!A:B,2,FALSE),VLOOKUP(A35,Arterial_Car!A:B,2,FALSE))</f>
        <v>40</v>
      </c>
      <c r="D35" t="s">
        <v>42</v>
      </c>
      <c r="E35" s="12">
        <f ca="1">IFERROR(SUM(INDIRECT("Freeway_Car!C"&amp;MATCH(A35,Freeway_Car!A:A,0)&amp;":AZ"&amp;MATCH(A35,Freeway_Car!A:A,0))),SUM(INDIRECT("Arterial_Car!C"&amp;MATCH(A35,Arterial_Car!A:A,0)&amp;":BQ"&amp;MATCH(A35,Arterial_Car!A:A,0))))</f>
        <v>770.71232235000002</v>
      </c>
      <c r="F35">
        <v>30</v>
      </c>
      <c r="G35" s="12">
        <f ca="1">IFERROR(SUM(INDIRECT("Freeway_HOT!C"&amp;MATCH(A35,Freeway_HOT!A:A,0)&amp;":AN"&amp;MATCH(A35,Freeway_HOT!A:A,0))),SUM(INDIRECT("Arterial_HOT!C"&amp;MATCH(A35,Arterial_HOT!A:A,0)&amp;":BQ"&amp;MATCH(A35,Arterial_HOT!A:A,0))))</f>
        <v>0</v>
      </c>
      <c r="H35">
        <f t="shared" si="0"/>
        <v>30</v>
      </c>
      <c r="I35" s="12">
        <f ca="1">IFERROR(SUM(INDIRECT("Freeway_Truck!C"&amp;MATCH(A35,Freeway_Truck!A:A,0)&amp;":AZ"&amp;MATCH(A35,Freeway_Truck!A:A,0))),SUM(INDIRECT("Arterial_Truck!C"&amp;MATCH(A35,Arterial_Truck!A:A,0)&amp;":BQ"&amp;MATCH(A35,Arterial_Truck!A:A,0))))</f>
        <v>14.24987565</v>
      </c>
      <c r="J35">
        <f t="shared" si="1"/>
        <v>30</v>
      </c>
      <c r="K35">
        <v>0</v>
      </c>
      <c r="L35">
        <v>1</v>
      </c>
      <c r="M35">
        <v>0</v>
      </c>
      <c r="N35">
        <f t="shared" si="2"/>
        <v>1</v>
      </c>
      <c r="O35">
        <v>0</v>
      </c>
      <c r="P35">
        <f t="shared" si="3"/>
        <v>30</v>
      </c>
    </row>
    <row r="36" spans="1:16" x14ac:dyDescent="0.25">
      <c r="A36">
        <v>205</v>
      </c>
      <c r="B36">
        <v>36</v>
      </c>
      <c r="C36">
        <f>IFERROR(VLOOKUP(A36,Freeway_Car!A:B,2,FALSE),VLOOKUP(A36,Arterial_Car!A:B,2,FALSE))</f>
        <v>38</v>
      </c>
      <c r="D36" t="s">
        <v>43</v>
      </c>
      <c r="E36" s="12">
        <f ca="1">IFERROR(SUM(INDIRECT("Freeway_Car!C"&amp;MATCH(A36,Freeway_Car!A:A,0)&amp;":AZ"&amp;MATCH(A36,Freeway_Car!A:A,0))),SUM(INDIRECT("Arterial_Car!C"&amp;MATCH(A36,Arterial_Car!A:A,0)&amp;":BQ"&amp;MATCH(A36,Arterial_Car!A:A,0))))</f>
        <v>398.89002467</v>
      </c>
      <c r="F36">
        <v>30</v>
      </c>
      <c r="G36" s="12">
        <f ca="1">IFERROR(SUM(INDIRECT("Freeway_HOT!C"&amp;MATCH(A36,Freeway_HOT!A:A,0)&amp;":AN"&amp;MATCH(A36,Freeway_HOT!A:A,0))),SUM(INDIRECT("Arterial_HOT!C"&amp;MATCH(A36,Arterial_HOT!A:A,0)&amp;":BQ"&amp;MATCH(A36,Arterial_HOT!A:A,0))))</f>
        <v>0</v>
      </c>
      <c r="H36">
        <f t="shared" si="0"/>
        <v>30</v>
      </c>
      <c r="I36" s="12">
        <f ca="1">IFERROR(SUM(INDIRECT("Freeway_Truck!C"&amp;MATCH(A36,Freeway_Truck!A:A,0)&amp;":AZ"&amp;MATCH(A36,Freeway_Truck!A:A,0))),SUM(INDIRECT("Arterial_Truck!C"&amp;MATCH(A36,Arterial_Truck!A:A,0)&amp;":BQ"&amp;MATCH(A36,Arterial_Truck!A:A,0))))</f>
        <v>6.1499463299999997</v>
      </c>
      <c r="J36">
        <f t="shared" si="1"/>
        <v>30</v>
      </c>
      <c r="K36">
        <v>0</v>
      </c>
      <c r="L36">
        <v>1</v>
      </c>
      <c r="M36">
        <v>0</v>
      </c>
      <c r="N36">
        <f t="shared" si="2"/>
        <v>1</v>
      </c>
      <c r="O36">
        <v>0</v>
      </c>
      <c r="P36">
        <f t="shared" si="3"/>
        <v>30</v>
      </c>
    </row>
    <row r="37" spans="1:16" x14ac:dyDescent="0.25">
      <c r="A37">
        <v>210</v>
      </c>
      <c r="B37">
        <v>37</v>
      </c>
      <c r="C37">
        <f>IFERROR(VLOOKUP(A37,Freeway_Car!A:B,2,FALSE),VLOOKUP(A37,Arterial_Car!A:B,2,FALSE))</f>
        <v>29</v>
      </c>
      <c r="D37" t="s">
        <v>6</v>
      </c>
      <c r="E37" s="12">
        <f ca="1">IFERROR(SUM(INDIRECT("Freeway_Car!C"&amp;MATCH(A37,Freeway_Car!A:A,0)&amp;":AZ"&amp;MATCH(A37,Freeway_Car!A:A,0))),SUM(INDIRECT("Arterial_Car!C"&amp;MATCH(A37,Arterial_Car!A:A,0)&amp;":BQ"&amp;MATCH(A37,Arterial_Car!A:A,0))))</f>
        <v>6936.7063450100013</v>
      </c>
      <c r="F37">
        <v>55</v>
      </c>
      <c r="G37" s="12">
        <f ca="1">IFERROR(SUM(INDIRECT("Freeway_HOT!C"&amp;MATCH(A37,Freeway_HOT!A:A,0)&amp;":AN"&amp;MATCH(A37,Freeway_HOT!A:A,0))),SUM(INDIRECT("Arterial_HOT!C"&amp;MATCH(A37,Arterial_HOT!A:A,0)&amp;":BQ"&amp;MATCH(A37,Arterial_HOT!A:A,0))))</f>
        <v>0</v>
      </c>
      <c r="H37">
        <f t="shared" si="0"/>
        <v>55</v>
      </c>
      <c r="I37" s="12">
        <f ca="1">IFERROR(SUM(INDIRECT("Freeway_Truck!C"&amp;MATCH(A37,Freeway_Truck!A:A,0)&amp;":AZ"&amp;MATCH(A37,Freeway_Truck!A:A,0))),SUM(INDIRECT("Arterial_Truck!C"&amp;MATCH(A37,Arterial_Truck!A:A,0)&amp;":BQ"&amp;MATCH(A37,Arterial_Truck!A:A,0))))</f>
        <v>641.60792099000003</v>
      </c>
      <c r="J37">
        <f t="shared" si="1"/>
        <v>55</v>
      </c>
      <c r="K37">
        <v>0</v>
      </c>
      <c r="L37">
        <v>1</v>
      </c>
      <c r="M37">
        <v>0</v>
      </c>
      <c r="N37">
        <f t="shared" si="2"/>
        <v>1</v>
      </c>
      <c r="O37">
        <v>0</v>
      </c>
      <c r="P37">
        <f t="shared" si="3"/>
        <v>55</v>
      </c>
    </row>
    <row r="38" spans="1:16" x14ac:dyDescent="0.25">
      <c r="A38">
        <v>245</v>
      </c>
      <c r="B38">
        <v>38</v>
      </c>
      <c r="C38">
        <f>IFERROR(VLOOKUP(A38,Freeway_Car!A:B,2,FALSE),VLOOKUP(A38,Arterial_Car!A:B,2,FALSE))</f>
        <v>37</v>
      </c>
      <c r="D38" t="s">
        <v>7</v>
      </c>
      <c r="E38" s="12">
        <f ca="1">IFERROR(SUM(INDIRECT("Freeway_Car!C"&amp;MATCH(A38,Freeway_Car!A:A,0)&amp;":AZ"&amp;MATCH(A38,Freeway_Car!A:A,0))),SUM(INDIRECT("Arterial_Car!C"&amp;MATCH(A38,Arterial_Car!A:A,0)&amp;":BQ"&amp;MATCH(A38,Arterial_Car!A:A,0))))</f>
        <v>3309.5399910000006</v>
      </c>
      <c r="F38">
        <v>65</v>
      </c>
      <c r="G38" s="12">
        <f ca="1">IFERROR(SUM(INDIRECT("Freeway_HOT!C"&amp;MATCH(A38,Freeway_HOT!A:A,0)&amp;":AN"&amp;MATCH(A38,Freeway_HOT!A:A,0))),SUM(INDIRECT("Arterial_HOT!C"&amp;MATCH(A38,Arterial_HOT!A:A,0)&amp;":BQ"&amp;MATCH(A38,Arterial_HOT!A:A,0))))</f>
        <v>0</v>
      </c>
      <c r="H38">
        <f t="shared" si="0"/>
        <v>65</v>
      </c>
      <c r="I38" s="12">
        <f ca="1">IFERROR(SUM(INDIRECT("Freeway_Truck!C"&amp;MATCH(A38,Freeway_Truck!A:A,0)&amp;":AZ"&amp;MATCH(A38,Freeway_Truck!A:A,0))),SUM(INDIRECT("Arterial_Truck!C"&amp;MATCH(A38,Arterial_Truck!A:A,0)&amp;":BQ"&amp;MATCH(A38,Arterial_Truck!A:A,0))))</f>
        <v>0</v>
      </c>
      <c r="J38">
        <f t="shared" si="1"/>
        <v>65</v>
      </c>
      <c r="K38">
        <v>0</v>
      </c>
      <c r="L38">
        <v>1</v>
      </c>
      <c r="M38">
        <v>0</v>
      </c>
      <c r="N38">
        <f t="shared" si="2"/>
        <v>1</v>
      </c>
      <c r="O38">
        <v>0</v>
      </c>
      <c r="P38">
        <f t="shared" si="3"/>
        <v>65</v>
      </c>
    </row>
    <row r="39" spans="1:16" x14ac:dyDescent="0.25">
      <c r="A39">
        <v>424</v>
      </c>
      <c r="B39">
        <v>101</v>
      </c>
      <c r="C39">
        <f>IFERROR(VLOOKUP(A39,Freeway_Car!A:B,2,FALSE),VLOOKUP(A39,Arterial_Car!A:B,2,FALSE))</f>
        <v>62</v>
      </c>
      <c r="D39" t="s">
        <v>82</v>
      </c>
      <c r="E39" s="12">
        <f ca="1">IFERROR(SUM(INDIRECT("Freeway_Car!C"&amp;MATCH(A39,Freeway_Car!A:A,0)&amp;":AZ"&amp;MATCH(A39,Freeway_Car!A:A,0))),SUM(INDIRECT("Arterial_Car!C"&amp;MATCH(A39,Arterial_Car!A:A,0)&amp;":BQ"&amp;MATCH(A39,Arterial_Car!A:A,0))))</f>
        <v>3227.6564524899995</v>
      </c>
      <c r="F39">
        <v>65</v>
      </c>
      <c r="G39" s="12">
        <f ca="1">IFERROR(SUM(INDIRECT("Freeway_HOT!C"&amp;MATCH(A39,Freeway_HOT!A:A,0)&amp;":AN"&amp;MATCH(A39,Freeway_HOT!A:A,0))),SUM(INDIRECT("Arterial_HOT!C"&amp;MATCH(A39,Arterial_HOT!A:A,0)&amp;":BQ"&amp;MATCH(A39,Arterial_HOT!A:A,0))))</f>
        <v>0</v>
      </c>
      <c r="H39">
        <f t="shared" ref="H39:H44" si="4">F39</f>
        <v>65</v>
      </c>
      <c r="I39" s="12">
        <f ca="1">IFERROR(SUM(INDIRECT("Freeway_Truck!C"&amp;MATCH(A39,Freeway_Truck!A:A,0)&amp;":AZ"&amp;MATCH(A39,Freeway_Truck!A:A,0))),SUM(INDIRECT("Arterial_Truck!C"&amp;MATCH(A39,Arterial_Truck!A:A,0)&amp;":BQ"&amp;MATCH(A39,Arterial_Truck!A:A,0))))</f>
        <v>42.95895651</v>
      </c>
      <c r="J39">
        <f t="shared" ref="J39:J44" si="5">F39</f>
        <v>65</v>
      </c>
      <c r="K39">
        <v>0</v>
      </c>
      <c r="L39">
        <v>1</v>
      </c>
      <c r="M39">
        <v>0</v>
      </c>
      <c r="N39">
        <f t="shared" ref="N39:N44" si="6">L39</f>
        <v>1</v>
      </c>
      <c r="O39">
        <v>0</v>
      </c>
      <c r="P39">
        <f t="shared" si="3"/>
        <v>65</v>
      </c>
    </row>
    <row r="40" spans="1:16" x14ac:dyDescent="0.25">
      <c r="A40">
        <v>371</v>
      </c>
      <c r="B40">
        <v>102</v>
      </c>
      <c r="C40">
        <f>IFERROR(VLOOKUP(A40,Freeway_Car!A:B,2,FALSE),VLOOKUP(A40,Arterial_Car!A:B,2,FALSE))</f>
        <v>61</v>
      </c>
      <c r="D40" t="s">
        <v>83</v>
      </c>
      <c r="E40" s="12">
        <f ca="1">IFERROR(SUM(INDIRECT("Freeway_Car!C"&amp;MATCH(A40,Freeway_Car!A:A,0)&amp;":AZ"&amp;MATCH(A40,Freeway_Car!A:A,0))),SUM(INDIRECT("Arterial_Car!C"&amp;MATCH(A40,Arterial_Car!A:A,0)&amp;":BQ"&amp;MATCH(A40,Arterial_Car!A:A,0))))</f>
        <v>29.003223660000003</v>
      </c>
      <c r="F40">
        <v>35</v>
      </c>
      <c r="G40" s="12">
        <f ca="1">IFERROR(SUM(INDIRECT("Freeway_HOT!C"&amp;MATCH(A40,Freeway_HOT!A:A,0)&amp;":AN"&amp;MATCH(A40,Freeway_HOT!A:A,0))),SUM(INDIRECT("Arterial_HOT!C"&amp;MATCH(A40,Arterial_HOT!A:A,0)&amp;":BQ"&amp;MATCH(A40,Arterial_HOT!A:A,0))))</f>
        <v>0</v>
      </c>
      <c r="H40">
        <f t="shared" si="4"/>
        <v>35</v>
      </c>
      <c r="I40" s="12">
        <f ca="1">IFERROR(SUM(INDIRECT("Freeway_Truck!C"&amp;MATCH(A40,Freeway_Truck!A:A,0)&amp;":AZ"&amp;MATCH(A40,Freeway_Truck!A:A,0))),SUM(INDIRECT("Arterial_Truck!C"&amp;MATCH(A40,Arterial_Truck!A:A,0)&amp;":BQ"&amp;MATCH(A40,Arterial_Truck!A:A,0))))</f>
        <v>0.89649533999999986</v>
      </c>
      <c r="J40">
        <f t="shared" si="5"/>
        <v>35</v>
      </c>
      <c r="K40">
        <v>0</v>
      </c>
      <c r="L40">
        <v>1</v>
      </c>
      <c r="M40">
        <v>0</v>
      </c>
      <c r="N40">
        <f t="shared" si="6"/>
        <v>1</v>
      </c>
      <c r="O40">
        <v>0</v>
      </c>
      <c r="P40">
        <f t="shared" si="3"/>
        <v>35</v>
      </c>
    </row>
    <row r="41" spans="1:16" x14ac:dyDescent="0.25">
      <c r="A41">
        <v>125</v>
      </c>
      <c r="B41">
        <v>103</v>
      </c>
      <c r="C41">
        <f>IFERROR(VLOOKUP(A41,Freeway_Car!A:B,2,FALSE),VLOOKUP(A41,Arterial_Car!A:B,2,FALSE))</f>
        <v>85</v>
      </c>
      <c r="D41" t="s">
        <v>84</v>
      </c>
      <c r="E41" s="12">
        <f ca="1">IFERROR(SUM(INDIRECT("Freeway_Car!C"&amp;MATCH(A41,Freeway_Car!A:A,0)&amp;":AZ"&amp;MATCH(A41,Freeway_Car!A:A,0))),SUM(INDIRECT("Arterial_Car!C"&amp;MATCH(A41,Arterial_Car!A:A,0)&amp;":BQ"&amp;MATCH(A41,Arterial_Car!A:A,0))))</f>
        <v>116.45782623999999</v>
      </c>
      <c r="F41">
        <v>35</v>
      </c>
      <c r="G41" s="12">
        <f ca="1">IFERROR(SUM(INDIRECT("Freeway_HOT!C"&amp;MATCH(A41,Freeway_HOT!A:A,0)&amp;":AN"&amp;MATCH(A41,Freeway_HOT!A:A,0))),SUM(INDIRECT("Arterial_HOT!C"&amp;MATCH(A41,Arterial_HOT!A:A,0)&amp;":BQ"&amp;MATCH(A41,Arterial_HOT!A:A,0))))</f>
        <v>0</v>
      </c>
      <c r="H41">
        <f t="shared" si="4"/>
        <v>35</v>
      </c>
      <c r="I41" s="12">
        <f ca="1">IFERROR(SUM(INDIRECT("Freeway_Truck!C"&amp;MATCH(A41,Freeway_Truck!A:A,0)&amp;":AZ"&amp;MATCH(A41,Freeway_Truck!A:A,0))),SUM(INDIRECT("Arterial_Truck!C"&amp;MATCH(A41,Arterial_Truck!A:A,0)&amp;":BQ"&amp;MATCH(A41,Arterial_Truck!A:A,0))))</f>
        <v>3.5412417600000001</v>
      </c>
      <c r="J41">
        <f t="shared" si="5"/>
        <v>35</v>
      </c>
      <c r="K41">
        <v>0</v>
      </c>
      <c r="L41">
        <v>1</v>
      </c>
      <c r="M41">
        <v>0</v>
      </c>
      <c r="N41">
        <f t="shared" si="6"/>
        <v>1</v>
      </c>
      <c r="O41">
        <v>0</v>
      </c>
      <c r="P41">
        <f t="shared" si="3"/>
        <v>35</v>
      </c>
    </row>
    <row r="42" spans="1:16" x14ac:dyDescent="0.25">
      <c r="A42">
        <v>349</v>
      </c>
      <c r="B42">
        <v>104</v>
      </c>
      <c r="C42">
        <f>IFERROR(VLOOKUP(A42,Freeway_Car!A:B,2,FALSE),VLOOKUP(A42,Arterial_Car!A:B,2,FALSE))</f>
        <v>86</v>
      </c>
      <c r="D42" t="s">
        <v>85</v>
      </c>
      <c r="E42" s="12">
        <f ca="1">IFERROR(SUM(INDIRECT("Freeway_Car!C"&amp;MATCH(A42,Freeway_Car!A:A,0)&amp;":AZ"&amp;MATCH(A42,Freeway_Car!A:A,0))),SUM(INDIRECT("Arterial_Car!C"&amp;MATCH(A42,Arterial_Car!A:A,0)&amp;":BQ"&amp;MATCH(A42,Arterial_Car!A:A,0))))</f>
        <v>141.45282185000002</v>
      </c>
      <c r="F42">
        <v>25</v>
      </c>
      <c r="G42" s="12">
        <f ca="1">IFERROR(SUM(INDIRECT("Freeway_HOT!C"&amp;MATCH(A42,Freeway_HOT!A:A,0)&amp;":AN"&amp;MATCH(A42,Freeway_HOT!A:A,0))),SUM(INDIRECT("Arterial_HOT!C"&amp;MATCH(A42,Arterial_HOT!A:A,0)&amp;":BQ"&amp;MATCH(A42,Arterial_HOT!A:A,0))))</f>
        <v>0</v>
      </c>
      <c r="H42">
        <f t="shared" si="4"/>
        <v>25</v>
      </c>
      <c r="I42" s="12">
        <f ca="1">IFERROR(SUM(INDIRECT("Freeway_Truck!C"&amp;MATCH(A42,Freeway_Truck!A:A,0)&amp;":AZ"&amp;MATCH(A42,Freeway_Truck!A:A,0))),SUM(INDIRECT("Arterial_Truck!C"&amp;MATCH(A42,Arterial_Truck!A:A,0)&amp;":BQ"&amp;MATCH(A42,Arterial_Truck!A:A,0))))</f>
        <v>3.5428951500000001</v>
      </c>
      <c r="J42">
        <f t="shared" si="5"/>
        <v>25</v>
      </c>
      <c r="K42">
        <v>0</v>
      </c>
      <c r="L42">
        <v>1</v>
      </c>
      <c r="M42">
        <v>0</v>
      </c>
      <c r="N42">
        <f t="shared" si="6"/>
        <v>1</v>
      </c>
      <c r="O42">
        <v>0</v>
      </c>
      <c r="P42">
        <f t="shared" si="3"/>
        <v>25</v>
      </c>
    </row>
    <row r="43" spans="1:16" x14ac:dyDescent="0.25">
      <c r="A43">
        <v>348</v>
      </c>
      <c r="B43">
        <v>105</v>
      </c>
      <c r="C43">
        <f>IFERROR(VLOOKUP(A43,Freeway_Car!A:B,2,FALSE),VLOOKUP(A43,Arterial_Car!A:B,2,FALSE))</f>
        <v>84</v>
      </c>
      <c r="D43" t="s">
        <v>86</v>
      </c>
      <c r="E43" s="12">
        <f ca="1">IFERROR(SUM(INDIRECT("Freeway_Car!C"&amp;MATCH(A43,Freeway_Car!A:A,0)&amp;":AZ"&amp;MATCH(A43,Freeway_Car!A:A,0))),SUM(INDIRECT("Arterial_Car!C"&amp;MATCH(A43,Arterial_Car!A:A,0)&amp;":BQ"&amp;MATCH(A43,Arterial_Car!A:A,0))))</f>
        <v>328.36427065999999</v>
      </c>
      <c r="F43">
        <v>35</v>
      </c>
      <c r="G43" s="12">
        <f ca="1">IFERROR(SUM(INDIRECT("Freeway_HOT!C"&amp;MATCH(A43,Freeway_HOT!A:A,0)&amp;":AN"&amp;MATCH(A43,Freeway_HOT!A:A,0))),SUM(INDIRECT("Arterial_HOT!C"&amp;MATCH(A43,Arterial_HOT!A:A,0)&amp;":BQ"&amp;MATCH(A43,Arterial_HOT!A:A,0))))</f>
        <v>0</v>
      </c>
      <c r="H43">
        <f t="shared" si="4"/>
        <v>35</v>
      </c>
      <c r="I43" s="12">
        <f ca="1">IFERROR(SUM(INDIRECT("Freeway_Truck!C"&amp;MATCH(A43,Freeway_Truck!A:A,0)&amp;":AZ"&amp;MATCH(A43,Freeway_Truck!A:A,0))),SUM(INDIRECT("Arterial_Truck!C"&amp;MATCH(A43,Arterial_Truck!A:A,0)&amp;":BQ"&amp;MATCH(A43,Arterial_Truck!A:A,0))))</f>
        <v>7.6453103399999991</v>
      </c>
      <c r="J43">
        <f t="shared" si="5"/>
        <v>35</v>
      </c>
      <c r="K43">
        <v>0</v>
      </c>
      <c r="L43">
        <v>1</v>
      </c>
      <c r="M43">
        <v>0</v>
      </c>
      <c r="N43">
        <f t="shared" si="6"/>
        <v>1</v>
      </c>
      <c r="O43">
        <v>0</v>
      </c>
      <c r="P43">
        <f t="shared" si="3"/>
        <v>35</v>
      </c>
    </row>
    <row r="44" spans="1:16" x14ac:dyDescent="0.25">
      <c r="A44">
        <v>256</v>
      </c>
      <c r="B44">
        <v>106</v>
      </c>
      <c r="C44">
        <f>IFERROR(VLOOKUP(A44,Freeway_Car!A:B,2,FALSE),VLOOKUP(A44,Arterial_Car!A:B,2,FALSE))</f>
        <v>87</v>
      </c>
      <c r="D44" t="s">
        <v>87</v>
      </c>
      <c r="E44" s="12">
        <f ca="1">IFERROR(SUM(INDIRECT("Freeway_Car!C"&amp;MATCH(A44,Freeway_Car!A:A,0)&amp;":AZ"&amp;MATCH(A44,Freeway_Car!A:A,0))),SUM(INDIRECT("Arterial_Car!C"&amp;MATCH(A44,Arterial_Car!A:A,0)&amp;":BQ"&amp;MATCH(A44,Arterial_Car!A:A,0))))</f>
        <v>248.86897133000002</v>
      </c>
      <c r="F44">
        <v>25</v>
      </c>
      <c r="G44" s="12">
        <f ca="1">IFERROR(SUM(INDIRECT("Freeway_HOT!C"&amp;MATCH(A44,Freeway_HOT!A:A,0)&amp;":AN"&amp;MATCH(A44,Freeway_HOT!A:A,0))),SUM(INDIRECT("Arterial_HOT!C"&amp;MATCH(A44,Arterial_HOT!A:A,0)&amp;":BQ"&amp;MATCH(A44,Arterial_HOT!A:A,0))))</f>
        <v>0</v>
      </c>
      <c r="H44">
        <f t="shared" si="4"/>
        <v>25</v>
      </c>
      <c r="I44" s="12">
        <f ca="1">IFERROR(SUM(INDIRECT("Freeway_Truck!C"&amp;MATCH(A44,Freeway_Truck!A:A,0)&amp;":AZ"&amp;MATCH(A44,Freeway_Truck!A:A,0))),SUM(INDIRECT("Arterial_Truck!C"&amp;MATCH(A44,Arterial_Truck!A:A,0)&amp;":BQ"&amp;MATCH(A44,Arterial_Truck!A:A,0))))</f>
        <v>6.1259696699999999</v>
      </c>
      <c r="J44">
        <f t="shared" si="5"/>
        <v>25</v>
      </c>
      <c r="K44">
        <v>0</v>
      </c>
      <c r="L44">
        <v>1</v>
      </c>
      <c r="M44">
        <v>0</v>
      </c>
      <c r="N44">
        <f t="shared" si="6"/>
        <v>1</v>
      </c>
      <c r="O44">
        <v>0</v>
      </c>
      <c r="P44">
        <f t="shared" si="3"/>
        <v>25</v>
      </c>
    </row>
    <row r="45" spans="1:16" x14ac:dyDescent="0.25">
      <c r="A45">
        <v>431</v>
      </c>
      <c r="B45">
        <v>107</v>
      </c>
      <c r="C45">
        <f>IFERROR(VLOOKUP(A45,Freeway_Car!A:B,2,FALSE),VLOOKUP(A45,Arterial_Car!A:B,2,FALSE))</f>
        <v>90</v>
      </c>
      <c r="E45" s="12">
        <f ca="1">IFERROR(SUM(INDIRECT("Freeway_Car!C"&amp;MATCH(A45,Freeway_Car!A:A,0)&amp;":AZ"&amp;MATCH(A45,Freeway_Car!A:A,0))),SUM(INDIRECT("Arterial_Car!C"&amp;MATCH(A45,Arterial_Car!A:A,0)&amp;":BQ"&amp;MATCH(A45,Arterial_Car!A:A,0))))</f>
        <v>72.749575140000005</v>
      </c>
      <c r="F45">
        <v>25</v>
      </c>
      <c r="G45" s="12">
        <f ca="1">IFERROR(SUM(INDIRECT("Freeway_HOT!C"&amp;MATCH(A45,Freeway_HOT!A:A,0)&amp;":AN"&amp;MATCH(A45,Freeway_HOT!A:A,0))),SUM(INDIRECT("Arterial_HOT!C"&amp;MATCH(A45,Arterial_HOT!A:A,0)&amp;":BQ"&amp;MATCH(A45,Arterial_HOT!A:A,0))))</f>
        <v>0</v>
      </c>
      <c r="H45">
        <f t="shared" ref="H45:H46" si="7">F45</f>
        <v>25</v>
      </c>
      <c r="I45" s="12">
        <f ca="1">IFERROR(SUM(INDIRECT("Freeway_Truck!C"&amp;MATCH(A45,Freeway_Truck!A:A,0)&amp;":AZ"&amp;MATCH(A45,Freeway_Truck!A:A,0))),SUM(INDIRECT("Arterial_Truck!C"&amp;MATCH(A45,Arterial_Truck!A:A,0)&amp;":BQ"&amp;MATCH(A45,Arterial_Truck!A:A,0))))</f>
        <v>2.2499868600000004</v>
      </c>
      <c r="J45">
        <f t="shared" ref="J45:J46" si="8">F45</f>
        <v>25</v>
      </c>
      <c r="K45">
        <v>0</v>
      </c>
      <c r="L45">
        <v>1</v>
      </c>
      <c r="M45">
        <v>0</v>
      </c>
      <c r="N45">
        <f t="shared" ref="N45:N46" si="9">L45</f>
        <v>1</v>
      </c>
      <c r="O45">
        <v>0</v>
      </c>
      <c r="P45">
        <f t="shared" si="3"/>
        <v>25</v>
      </c>
    </row>
    <row r="46" spans="1:16" x14ac:dyDescent="0.25">
      <c r="A46">
        <v>257</v>
      </c>
      <c r="B46">
        <v>108</v>
      </c>
      <c r="C46">
        <f>IFERROR(VLOOKUP(A46,Freeway_Car!A:B,2,FALSE),VLOOKUP(A46,Arterial_Car!A:B,2,FALSE))</f>
        <v>91</v>
      </c>
      <c r="E46" s="12">
        <f ca="1">IFERROR(SUM(INDIRECT("Freeway_Car!C"&amp;MATCH(A46,Freeway_Car!A:A,0)&amp;":AZ"&amp;MATCH(A46,Freeway_Car!A:A,0))),SUM(INDIRECT("Arterial_Car!C"&amp;MATCH(A46,Arterial_Car!A:A,0)&amp;":BQ"&amp;MATCH(A46,Arterial_Car!A:A,0))))</f>
        <v>261.98587409999999</v>
      </c>
      <c r="F46">
        <v>25</v>
      </c>
      <c r="G46" s="12">
        <f ca="1">IFERROR(SUM(INDIRECT("Freeway_HOT!C"&amp;MATCH(A46,Freeway_HOT!A:A,0)&amp;":AN"&amp;MATCH(A46,Freeway_HOT!A:A,0))),SUM(INDIRECT("Arterial_HOT!C"&amp;MATCH(A46,Arterial_HOT!A:A,0)&amp;":BQ"&amp;MATCH(A46,Arterial_HOT!A:A,0))))</f>
        <v>0</v>
      </c>
      <c r="H46">
        <f t="shared" si="7"/>
        <v>25</v>
      </c>
      <c r="I46" s="12">
        <f ca="1">IFERROR(SUM(INDIRECT("Freeway_Truck!C"&amp;MATCH(A46,Freeway_Truck!A:A,0)&amp;":AZ"&amp;MATCH(A46,Freeway_Truck!A:A,0))),SUM(INDIRECT("Arterial_Truck!C"&amp;MATCH(A46,Arterial_Truck!A:A,0)&amp;":BQ"&amp;MATCH(A46,Arterial_Truck!A:A,0))))</f>
        <v>8.1026559000000002</v>
      </c>
      <c r="J46">
        <f t="shared" si="8"/>
        <v>25</v>
      </c>
      <c r="K46">
        <v>0</v>
      </c>
      <c r="L46">
        <v>1</v>
      </c>
      <c r="M46">
        <v>0</v>
      </c>
      <c r="N46">
        <f t="shared" si="9"/>
        <v>1</v>
      </c>
      <c r="O46">
        <v>0</v>
      </c>
      <c r="P46">
        <f t="shared" si="3"/>
        <v>25</v>
      </c>
    </row>
    <row r="47" spans="1:16" x14ac:dyDescent="0.25">
      <c r="A47">
        <v>210</v>
      </c>
      <c r="B47">
        <v>10000</v>
      </c>
      <c r="C47">
        <v>10000</v>
      </c>
      <c r="D47" t="s">
        <v>88</v>
      </c>
      <c r="E47" s="21">
        <v>1</v>
      </c>
      <c r="F47">
        <v>55</v>
      </c>
      <c r="G47" s="12">
        <v>0</v>
      </c>
      <c r="H47">
        <f t="shared" ref="H47" si="10">F47</f>
        <v>55</v>
      </c>
      <c r="I47" s="12">
        <v>0</v>
      </c>
      <c r="J47">
        <f t="shared" ref="J47" si="11">F47</f>
        <v>55</v>
      </c>
      <c r="K47">
        <v>0</v>
      </c>
      <c r="L47">
        <v>1</v>
      </c>
      <c r="M47">
        <v>0</v>
      </c>
      <c r="N47">
        <f t="shared" ref="N47" si="12">L47</f>
        <v>1</v>
      </c>
      <c r="O47">
        <v>1</v>
      </c>
      <c r="P47">
        <f t="shared" ref="P47" si="13">F47</f>
        <v>55</v>
      </c>
    </row>
    <row r="48" spans="1:16" x14ac:dyDescent="0.25">
      <c r="B48" s="20">
        <v>1000</v>
      </c>
      <c r="C48" s="20">
        <v>9999</v>
      </c>
      <c r="D48" s="20" t="s">
        <v>79</v>
      </c>
      <c r="E48" s="20">
        <v>0</v>
      </c>
      <c r="F48" s="20">
        <v>1</v>
      </c>
      <c r="G48" s="20">
        <v>0</v>
      </c>
      <c r="H48" s="20">
        <f t="shared" si="0"/>
        <v>1</v>
      </c>
      <c r="I48" s="20">
        <v>0</v>
      </c>
      <c r="J48" s="20">
        <f t="shared" si="1"/>
        <v>1</v>
      </c>
      <c r="K48" s="20">
        <v>1</v>
      </c>
      <c r="L48" s="20">
        <v>1</v>
      </c>
      <c r="M48" s="20">
        <v>1</v>
      </c>
      <c r="N48" s="20">
        <v>1</v>
      </c>
      <c r="O48" s="20">
        <v>0</v>
      </c>
      <c r="P48" s="20">
        <v>1</v>
      </c>
    </row>
    <row r="51" spans="1:14" x14ac:dyDescent="0.25">
      <c r="A51" s="32" t="s">
        <v>81</v>
      </c>
      <c r="B51" s="32"/>
      <c r="C51" s="32"/>
    </row>
    <row r="52" spans="1:14" x14ac:dyDescent="0.25">
      <c r="A52">
        <v>132</v>
      </c>
      <c r="B52">
        <v>26</v>
      </c>
      <c r="C52" t="e">
        <f>IFERROR(VLOOKUP(A52,Freeway_Car!A:B,2,FALSE),VLOOKUP(A52,Arterial_Car!A:B,2,FALSE))</f>
        <v>#N/A</v>
      </c>
      <c r="D52" t="s">
        <v>34</v>
      </c>
      <c r="E52" s="12" t="e">
        <f ca="1">IFERROR(SUM(INDIRECT("Freeway_Car!C"&amp;MATCH(A52,Freeway_Car!A:A,0)&amp;":AN"&amp;MATCH(A52,Freeway_Car!A:A,0))),SUM(INDIRECT("Arterial_Car!C"&amp;MATCH(A52,Arterial_Car!A:A,0)&amp;":BJ"&amp;MATCH(A52,Arterial_Car!A:A,0))))</f>
        <v>#N/A</v>
      </c>
      <c r="F52">
        <v>25</v>
      </c>
      <c r="G52" s="12" t="e">
        <f ca="1">IFERROR(SUM(INDIRECT("Freeway_HOT!C"&amp;MATCH(A52,Freeway_HOT!A:A,0)&amp;":AN"&amp;MATCH(A52,Freeway_HOT!A:A,0))),SUM(INDIRECT("Arterial_HOT!C"&amp;MATCH(A52,Arterial_HOT!A:A,0)&amp;":BJ"&amp;MATCH(A52,Arterial_HOT!A:A,0))))</f>
        <v>#N/A</v>
      </c>
      <c r="H52">
        <f>F52</f>
        <v>25</v>
      </c>
      <c r="I52" s="12" t="e">
        <f ca="1">IFERROR(SUM(INDIRECT("Freeway_Truck!C"&amp;MATCH(A52,Freeway_Truck!A:A,0)&amp;":AN"&amp;MATCH(A52,Freeway_Truck!A:A,0))),SUM(INDIRECT("Arterial_Truck!C"&amp;MATCH(A52,Arterial_Truck!A:A,0)&amp;":BJ"&amp;MATCH(A52,Arterial_Truck!A:A,0))))</f>
        <v>#N/A</v>
      </c>
      <c r="J52">
        <f>F52</f>
        <v>25</v>
      </c>
      <c r="K52">
        <v>0</v>
      </c>
      <c r="L52">
        <v>1</v>
      </c>
      <c r="M52">
        <v>0</v>
      </c>
      <c r="N52">
        <f>L52</f>
        <v>1</v>
      </c>
    </row>
  </sheetData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rgb="FF002060"/>
  </sheetPr>
  <dimension ref="A1:O48"/>
  <sheetViews>
    <sheetView workbookViewId="0">
      <selection sqref="A1:O48"/>
    </sheetView>
  </sheetViews>
  <sheetFormatPr defaultRowHeight="15" x14ac:dyDescent="0.25"/>
  <cols>
    <col min="1" max="3" width="11.42578125" customWidth="1"/>
    <col min="4" max="4" width="39.140625" customWidth="1"/>
    <col min="5" max="8" width="11.42578125" customWidth="1"/>
  </cols>
  <sheetData>
    <row r="1" spans="1:15" s="11" customFormat="1" x14ac:dyDescent="0.25">
      <c r="A1" s="11" t="s">
        <v>44</v>
      </c>
      <c r="B1" s="11" t="s">
        <v>45</v>
      </c>
      <c r="C1" s="11" t="s">
        <v>17</v>
      </c>
      <c r="D1" s="11">
        <v>1</v>
      </c>
      <c r="E1" s="11">
        <v>1</v>
      </c>
      <c r="F1" s="11">
        <v>2</v>
      </c>
      <c r="G1" s="11">
        <v>2</v>
      </c>
      <c r="H1" s="11">
        <v>3</v>
      </c>
      <c r="I1" s="11">
        <v>3</v>
      </c>
      <c r="J1" s="11">
        <v>5</v>
      </c>
      <c r="K1" s="11">
        <v>5</v>
      </c>
      <c r="L1" s="11">
        <v>6</v>
      </c>
      <c r="M1" s="11">
        <v>6</v>
      </c>
      <c r="N1" s="11">
        <v>8</v>
      </c>
      <c r="O1" s="11">
        <v>8</v>
      </c>
    </row>
    <row r="2" spans="1:15" x14ac:dyDescent="0.25">
      <c r="A2">
        <v>1</v>
      </c>
      <c r="B2">
        <v>13</v>
      </c>
      <c r="C2" t="s">
        <v>8</v>
      </c>
      <c r="D2">
        <v>6962.3311539100005</v>
      </c>
      <c r="E2" s="19">
        <v>55</v>
      </c>
      <c r="F2">
        <v>0</v>
      </c>
      <c r="G2" s="19">
        <v>55</v>
      </c>
      <c r="H2">
        <v>836.58085309000012</v>
      </c>
      <c r="I2">
        <v>55</v>
      </c>
      <c r="J2">
        <v>0</v>
      </c>
      <c r="K2">
        <v>1</v>
      </c>
      <c r="L2">
        <v>0</v>
      </c>
      <c r="M2">
        <v>1</v>
      </c>
      <c r="N2">
        <v>0</v>
      </c>
      <c r="O2">
        <v>55</v>
      </c>
    </row>
    <row r="3" spans="1:15" x14ac:dyDescent="0.25">
      <c r="A3">
        <v>2</v>
      </c>
      <c r="B3">
        <v>14</v>
      </c>
      <c r="C3" t="s">
        <v>9</v>
      </c>
      <c r="D3">
        <v>990.82384495000008</v>
      </c>
      <c r="E3" s="19">
        <v>50</v>
      </c>
      <c r="F3">
        <v>0</v>
      </c>
      <c r="G3" s="19">
        <v>50</v>
      </c>
      <c r="H3">
        <v>29.078317050000003</v>
      </c>
      <c r="I3">
        <v>50</v>
      </c>
      <c r="J3">
        <v>0</v>
      </c>
      <c r="K3">
        <v>1</v>
      </c>
      <c r="L3">
        <v>0</v>
      </c>
      <c r="M3">
        <v>1</v>
      </c>
      <c r="N3">
        <v>0</v>
      </c>
      <c r="O3">
        <v>50</v>
      </c>
    </row>
    <row r="4" spans="1:15" x14ac:dyDescent="0.25">
      <c r="A4">
        <v>3</v>
      </c>
      <c r="B4">
        <v>12</v>
      </c>
      <c r="C4" t="s">
        <v>10</v>
      </c>
      <c r="D4">
        <v>795.30091776999996</v>
      </c>
      <c r="E4" s="19">
        <v>50</v>
      </c>
      <c r="F4">
        <v>0</v>
      </c>
      <c r="G4" s="19">
        <v>50</v>
      </c>
      <c r="H4">
        <v>24.591868229999999</v>
      </c>
      <c r="I4">
        <v>50</v>
      </c>
      <c r="J4">
        <v>0</v>
      </c>
      <c r="K4">
        <v>1</v>
      </c>
      <c r="L4">
        <v>0</v>
      </c>
      <c r="M4">
        <v>1</v>
      </c>
      <c r="N4">
        <v>0</v>
      </c>
      <c r="O4">
        <v>50</v>
      </c>
    </row>
    <row r="5" spans="1:15" x14ac:dyDescent="0.25">
      <c r="A5">
        <v>4</v>
      </c>
      <c r="B5">
        <v>24</v>
      </c>
      <c r="C5" t="s">
        <v>11</v>
      </c>
      <c r="D5">
        <v>2271.1018459999996</v>
      </c>
      <c r="E5" s="19">
        <v>50</v>
      </c>
      <c r="F5">
        <v>0</v>
      </c>
      <c r="G5" s="19">
        <v>50</v>
      </c>
      <c r="H5">
        <v>0</v>
      </c>
      <c r="I5">
        <v>50</v>
      </c>
      <c r="J5">
        <v>0</v>
      </c>
      <c r="K5">
        <v>1</v>
      </c>
      <c r="L5">
        <v>0</v>
      </c>
      <c r="M5">
        <v>1</v>
      </c>
      <c r="N5">
        <v>0</v>
      </c>
      <c r="O5">
        <v>50</v>
      </c>
    </row>
    <row r="6" spans="1:15" x14ac:dyDescent="0.25">
      <c r="A6">
        <v>5</v>
      </c>
      <c r="B6">
        <v>25</v>
      </c>
      <c r="C6" t="s">
        <v>54</v>
      </c>
      <c r="D6">
        <v>999.65210266000008</v>
      </c>
      <c r="E6" s="19">
        <v>35</v>
      </c>
      <c r="F6">
        <v>0</v>
      </c>
      <c r="G6" s="19">
        <v>35</v>
      </c>
      <c r="H6">
        <v>30.917075339999997</v>
      </c>
      <c r="I6">
        <v>35</v>
      </c>
      <c r="J6">
        <v>0</v>
      </c>
      <c r="K6">
        <v>1</v>
      </c>
      <c r="L6">
        <v>0</v>
      </c>
      <c r="M6">
        <v>1</v>
      </c>
      <c r="N6">
        <v>0</v>
      </c>
      <c r="O6">
        <v>35</v>
      </c>
    </row>
    <row r="7" spans="1:15" x14ac:dyDescent="0.25">
      <c r="A7">
        <v>6</v>
      </c>
      <c r="B7">
        <v>52</v>
      </c>
      <c r="C7" t="s">
        <v>12</v>
      </c>
      <c r="D7">
        <v>19.378648359999996</v>
      </c>
      <c r="E7" s="19">
        <v>25</v>
      </c>
      <c r="F7">
        <v>0</v>
      </c>
      <c r="G7" s="19">
        <v>25</v>
      </c>
      <c r="H7">
        <v>0.59933963999999995</v>
      </c>
      <c r="I7">
        <v>25</v>
      </c>
      <c r="J7">
        <v>0</v>
      </c>
      <c r="K7">
        <v>1</v>
      </c>
      <c r="L7">
        <v>0</v>
      </c>
      <c r="M7">
        <v>1</v>
      </c>
      <c r="N7">
        <v>0</v>
      </c>
      <c r="O7">
        <v>25</v>
      </c>
    </row>
    <row r="8" spans="1:15" x14ac:dyDescent="0.25">
      <c r="A8">
        <v>7</v>
      </c>
      <c r="B8">
        <v>53</v>
      </c>
      <c r="C8" t="s">
        <v>13</v>
      </c>
      <c r="D8">
        <v>10.176940269999999</v>
      </c>
      <c r="E8" s="19">
        <v>25</v>
      </c>
      <c r="F8">
        <v>0</v>
      </c>
      <c r="G8" s="19">
        <v>25</v>
      </c>
      <c r="H8">
        <v>0.31475072999999998</v>
      </c>
      <c r="I8">
        <v>25</v>
      </c>
      <c r="J8">
        <v>0</v>
      </c>
      <c r="K8">
        <v>1</v>
      </c>
      <c r="L8">
        <v>0</v>
      </c>
      <c r="M8">
        <v>1</v>
      </c>
      <c r="N8">
        <v>0</v>
      </c>
      <c r="O8">
        <v>25</v>
      </c>
    </row>
    <row r="9" spans="1:15" x14ac:dyDescent="0.25">
      <c r="A9">
        <v>8</v>
      </c>
      <c r="B9">
        <v>46</v>
      </c>
      <c r="C9" t="s">
        <v>14</v>
      </c>
      <c r="D9">
        <v>383.03040773000004</v>
      </c>
      <c r="E9" s="19">
        <v>35</v>
      </c>
      <c r="F9">
        <v>0</v>
      </c>
      <c r="G9" s="19">
        <v>35</v>
      </c>
      <c r="H9">
        <v>11.84630127</v>
      </c>
      <c r="I9">
        <v>35</v>
      </c>
      <c r="J9">
        <v>0</v>
      </c>
      <c r="K9">
        <v>1</v>
      </c>
      <c r="L9">
        <v>0</v>
      </c>
      <c r="M9">
        <v>1</v>
      </c>
      <c r="N9">
        <v>0</v>
      </c>
      <c r="O9">
        <v>35</v>
      </c>
    </row>
    <row r="10" spans="1:15" x14ac:dyDescent="0.25">
      <c r="A10">
        <v>9</v>
      </c>
      <c r="B10">
        <v>10</v>
      </c>
      <c r="C10" t="s">
        <v>27</v>
      </c>
      <c r="D10">
        <v>101.84081409999999</v>
      </c>
      <c r="E10" s="19">
        <v>25</v>
      </c>
      <c r="F10">
        <v>0</v>
      </c>
      <c r="G10" s="19">
        <v>25</v>
      </c>
      <c r="H10">
        <v>3.1497158999999999</v>
      </c>
      <c r="I10">
        <v>25</v>
      </c>
      <c r="J10">
        <v>0</v>
      </c>
      <c r="K10">
        <v>1</v>
      </c>
      <c r="L10">
        <v>0</v>
      </c>
      <c r="M10">
        <v>1</v>
      </c>
      <c r="N10">
        <v>0</v>
      </c>
      <c r="O10">
        <v>25</v>
      </c>
    </row>
    <row r="11" spans="1:15" x14ac:dyDescent="0.25">
      <c r="A11">
        <v>10</v>
      </c>
      <c r="B11">
        <v>11</v>
      </c>
      <c r="C11" t="s">
        <v>15</v>
      </c>
      <c r="D11">
        <v>111.49046430999999</v>
      </c>
      <c r="E11" s="19">
        <v>25</v>
      </c>
      <c r="F11">
        <v>0</v>
      </c>
      <c r="G11" s="19">
        <v>25</v>
      </c>
      <c r="H11">
        <v>3.4481586900000001</v>
      </c>
      <c r="I11">
        <v>25</v>
      </c>
      <c r="J11">
        <v>0</v>
      </c>
      <c r="K11">
        <v>1</v>
      </c>
      <c r="L11">
        <v>0</v>
      </c>
      <c r="M11">
        <v>1</v>
      </c>
      <c r="N11">
        <v>0</v>
      </c>
      <c r="O11">
        <v>25</v>
      </c>
    </row>
    <row r="12" spans="1:15" x14ac:dyDescent="0.25">
      <c r="A12">
        <v>11</v>
      </c>
      <c r="B12">
        <v>23</v>
      </c>
      <c r="C12" t="s">
        <v>16</v>
      </c>
      <c r="D12">
        <v>616.0472231</v>
      </c>
      <c r="E12" s="19">
        <v>35</v>
      </c>
      <c r="F12">
        <v>0</v>
      </c>
      <c r="G12" s="19">
        <v>35</v>
      </c>
      <c r="H12">
        <v>19.0530069</v>
      </c>
      <c r="I12">
        <v>35</v>
      </c>
      <c r="J12">
        <v>0</v>
      </c>
      <c r="K12">
        <v>1</v>
      </c>
      <c r="L12">
        <v>0</v>
      </c>
      <c r="M12">
        <v>1</v>
      </c>
      <c r="N12">
        <v>0</v>
      </c>
      <c r="O12">
        <v>35</v>
      </c>
    </row>
    <row r="13" spans="1:15" x14ac:dyDescent="0.25">
      <c r="A13">
        <v>12</v>
      </c>
      <c r="B13">
        <v>35</v>
      </c>
      <c r="C13" t="s">
        <v>18</v>
      </c>
      <c r="D13">
        <v>7493.8670584900001</v>
      </c>
      <c r="E13" s="19">
        <v>35</v>
      </c>
      <c r="F13">
        <v>0</v>
      </c>
      <c r="G13" s="19">
        <v>35</v>
      </c>
      <c r="H13">
        <v>641.69342850999999</v>
      </c>
      <c r="I13">
        <v>35</v>
      </c>
      <c r="J13">
        <v>0</v>
      </c>
      <c r="K13">
        <v>1</v>
      </c>
      <c r="L13">
        <v>0</v>
      </c>
      <c r="M13">
        <v>1</v>
      </c>
      <c r="N13">
        <v>0</v>
      </c>
      <c r="O13">
        <v>35</v>
      </c>
    </row>
    <row r="14" spans="1:15" x14ac:dyDescent="0.25">
      <c r="A14">
        <v>13</v>
      </c>
      <c r="B14">
        <v>32</v>
      </c>
      <c r="C14" t="s">
        <v>19</v>
      </c>
      <c r="D14" s="7">
        <v>2191.7080461599999</v>
      </c>
      <c r="E14" s="19">
        <v>55</v>
      </c>
      <c r="F14">
        <v>0</v>
      </c>
      <c r="G14" s="19">
        <v>55</v>
      </c>
      <c r="H14">
        <v>67.779867840000009</v>
      </c>
      <c r="I14">
        <v>55</v>
      </c>
      <c r="J14">
        <v>0</v>
      </c>
      <c r="K14">
        <v>1</v>
      </c>
      <c r="L14">
        <v>0</v>
      </c>
      <c r="M14">
        <v>1</v>
      </c>
      <c r="N14">
        <v>0</v>
      </c>
      <c r="O14">
        <v>55</v>
      </c>
    </row>
    <row r="15" spans="1:15" x14ac:dyDescent="0.25">
      <c r="A15">
        <v>14</v>
      </c>
      <c r="B15">
        <v>30</v>
      </c>
      <c r="C15" t="s">
        <v>20</v>
      </c>
      <c r="D15">
        <v>4705.6932843000004</v>
      </c>
      <c r="E15" s="19">
        <v>55</v>
      </c>
      <c r="F15">
        <v>0</v>
      </c>
      <c r="G15" s="19">
        <v>55</v>
      </c>
      <c r="H15">
        <v>145.53690569999998</v>
      </c>
      <c r="I15">
        <v>55</v>
      </c>
      <c r="J15">
        <v>0</v>
      </c>
      <c r="K15">
        <v>1</v>
      </c>
      <c r="L15">
        <v>0</v>
      </c>
      <c r="M15">
        <v>1</v>
      </c>
      <c r="N15">
        <v>0</v>
      </c>
      <c r="O15">
        <v>55</v>
      </c>
    </row>
    <row r="16" spans="1:15" x14ac:dyDescent="0.25">
      <c r="A16">
        <v>15</v>
      </c>
      <c r="B16">
        <v>44</v>
      </c>
      <c r="C16" t="s">
        <v>21</v>
      </c>
      <c r="D16">
        <v>339.52644511</v>
      </c>
      <c r="E16" s="19">
        <v>30</v>
      </c>
      <c r="F16">
        <v>0</v>
      </c>
      <c r="G16" s="19">
        <v>30</v>
      </c>
      <c r="H16">
        <v>10.50081789</v>
      </c>
      <c r="I16">
        <v>30</v>
      </c>
      <c r="J16">
        <v>0</v>
      </c>
      <c r="K16">
        <v>1</v>
      </c>
      <c r="L16">
        <v>0</v>
      </c>
      <c r="M16">
        <v>1</v>
      </c>
      <c r="N16">
        <v>0</v>
      </c>
      <c r="O16">
        <v>30</v>
      </c>
    </row>
    <row r="17" spans="1:15" x14ac:dyDescent="0.25">
      <c r="A17">
        <v>16</v>
      </c>
      <c r="B17">
        <v>43</v>
      </c>
      <c r="C17" t="s">
        <v>22</v>
      </c>
      <c r="D17">
        <v>611.11066029999984</v>
      </c>
      <c r="E17" s="19">
        <v>35</v>
      </c>
      <c r="F17">
        <v>0</v>
      </c>
      <c r="G17" s="19">
        <v>35</v>
      </c>
      <c r="H17">
        <v>18.900329700000004</v>
      </c>
      <c r="I17">
        <v>35</v>
      </c>
      <c r="J17">
        <v>0</v>
      </c>
      <c r="K17">
        <v>1</v>
      </c>
      <c r="L17">
        <v>0</v>
      </c>
      <c r="M17">
        <v>1</v>
      </c>
      <c r="N17">
        <v>0</v>
      </c>
      <c r="O17">
        <v>35</v>
      </c>
    </row>
    <row r="18" spans="1:15" x14ac:dyDescent="0.25">
      <c r="A18">
        <v>17</v>
      </c>
      <c r="B18">
        <v>42</v>
      </c>
      <c r="C18" t="s">
        <v>23</v>
      </c>
      <c r="D18">
        <v>518.94723647000001</v>
      </c>
      <c r="E18" s="19">
        <v>35</v>
      </c>
      <c r="F18">
        <v>0</v>
      </c>
      <c r="G18" s="19">
        <v>35</v>
      </c>
      <c r="H18">
        <v>16.049914529999999</v>
      </c>
      <c r="I18">
        <v>35</v>
      </c>
      <c r="J18">
        <v>0</v>
      </c>
      <c r="K18">
        <v>1</v>
      </c>
      <c r="L18">
        <v>0</v>
      </c>
      <c r="M18">
        <v>1</v>
      </c>
      <c r="N18">
        <v>0</v>
      </c>
      <c r="O18">
        <v>35</v>
      </c>
    </row>
    <row r="19" spans="1:15" x14ac:dyDescent="0.25">
      <c r="A19">
        <v>18</v>
      </c>
      <c r="B19">
        <v>49</v>
      </c>
      <c r="C19" t="s">
        <v>24</v>
      </c>
      <c r="D19">
        <v>528.647381</v>
      </c>
      <c r="E19" s="19">
        <v>35</v>
      </c>
      <c r="F19">
        <v>0</v>
      </c>
      <c r="G19" s="19">
        <v>35</v>
      </c>
      <c r="H19">
        <v>16.349918999999996</v>
      </c>
      <c r="I19">
        <v>35</v>
      </c>
      <c r="J19">
        <v>0</v>
      </c>
      <c r="K19">
        <v>1</v>
      </c>
      <c r="L19">
        <v>0</v>
      </c>
      <c r="M19">
        <v>1</v>
      </c>
      <c r="N19">
        <v>0</v>
      </c>
      <c r="O19">
        <v>35</v>
      </c>
    </row>
    <row r="20" spans="1:15" x14ac:dyDescent="0.25">
      <c r="A20">
        <v>19</v>
      </c>
      <c r="B20">
        <v>41</v>
      </c>
      <c r="C20" t="s">
        <v>25</v>
      </c>
      <c r="D20">
        <v>421.96890626999993</v>
      </c>
      <c r="E20" s="19">
        <v>35</v>
      </c>
      <c r="F20">
        <v>0</v>
      </c>
      <c r="G20" s="19">
        <v>35</v>
      </c>
      <c r="H20">
        <v>13.050584730000001</v>
      </c>
      <c r="I20">
        <v>35</v>
      </c>
      <c r="J20">
        <v>0</v>
      </c>
      <c r="K20">
        <v>1</v>
      </c>
      <c r="L20">
        <v>0</v>
      </c>
      <c r="M20">
        <v>1</v>
      </c>
      <c r="N20">
        <v>0</v>
      </c>
      <c r="O20">
        <v>35</v>
      </c>
    </row>
    <row r="21" spans="1:15" x14ac:dyDescent="0.25">
      <c r="A21">
        <v>20</v>
      </c>
      <c r="B21">
        <v>16</v>
      </c>
      <c r="C21" t="s">
        <v>26</v>
      </c>
      <c r="D21">
        <v>548.02300683999999</v>
      </c>
      <c r="E21" s="19">
        <v>40</v>
      </c>
      <c r="F21">
        <v>0</v>
      </c>
      <c r="G21" s="19">
        <v>40</v>
      </c>
      <c r="H21">
        <v>16.94916516</v>
      </c>
      <c r="I21">
        <v>40</v>
      </c>
      <c r="J21">
        <v>0</v>
      </c>
      <c r="K21">
        <v>1</v>
      </c>
      <c r="L21">
        <v>0</v>
      </c>
      <c r="M21">
        <v>1</v>
      </c>
      <c r="N21">
        <v>0</v>
      </c>
      <c r="O21">
        <v>40</v>
      </c>
    </row>
    <row r="22" spans="1:15" x14ac:dyDescent="0.25">
      <c r="A22">
        <v>21</v>
      </c>
      <c r="B22">
        <v>22</v>
      </c>
      <c r="C22" t="s">
        <v>29</v>
      </c>
      <c r="D22">
        <v>1842.98114126</v>
      </c>
      <c r="E22" s="19">
        <v>35</v>
      </c>
      <c r="F22">
        <v>0</v>
      </c>
      <c r="G22" s="19">
        <v>35</v>
      </c>
      <c r="H22">
        <v>56.999416740000008</v>
      </c>
      <c r="I22">
        <v>35</v>
      </c>
      <c r="J22">
        <v>0</v>
      </c>
      <c r="K22">
        <v>1</v>
      </c>
      <c r="L22">
        <v>0</v>
      </c>
      <c r="M22">
        <v>1</v>
      </c>
      <c r="N22">
        <v>0</v>
      </c>
      <c r="O22">
        <v>35</v>
      </c>
    </row>
    <row r="23" spans="1:15" x14ac:dyDescent="0.25">
      <c r="A23">
        <v>22</v>
      </c>
      <c r="B23">
        <v>51</v>
      </c>
      <c r="C23" t="s">
        <v>28</v>
      </c>
      <c r="D23">
        <v>266.74936756</v>
      </c>
      <c r="E23" s="19">
        <v>35</v>
      </c>
      <c r="F23">
        <v>0</v>
      </c>
      <c r="G23" s="19">
        <v>35</v>
      </c>
      <c r="H23">
        <v>8.2499804399999981</v>
      </c>
      <c r="I23">
        <v>35</v>
      </c>
      <c r="J23">
        <v>0</v>
      </c>
      <c r="K23">
        <v>1</v>
      </c>
      <c r="L23">
        <v>0</v>
      </c>
      <c r="M23">
        <v>1</v>
      </c>
      <c r="N23">
        <v>0</v>
      </c>
      <c r="O23">
        <v>35</v>
      </c>
    </row>
    <row r="24" spans="1:15" x14ac:dyDescent="0.25">
      <c r="A24">
        <v>23</v>
      </c>
      <c r="B24">
        <v>27</v>
      </c>
      <c r="C24" t="s">
        <v>30</v>
      </c>
      <c r="D24">
        <v>659.59791741000015</v>
      </c>
      <c r="E24" s="19">
        <v>35</v>
      </c>
      <c r="F24">
        <v>0</v>
      </c>
      <c r="G24" s="19">
        <v>35</v>
      </c>
      <c r="H24">
        <v>20.399935589999998</v>
      </c>
      <c r="I24">
        <v>35</v>
      </c>
      <c r="J24">
        <v>0</v>
      </c>
      <c r="K24">
        <v>1</v>
      </c>
      <c r="L24">
        <v>0</v>
      </c>
      <c r="M24">
        <v>1</v>
      </c>
      <c r="N24">
        <v>0</v>
      </c>
      <c r="O24">
        <v>35</v>
      </c>
    </row>
    <row r="25" spans="1:15" x14ac:dyDescent="0.25">
      <c r="A25">
        <v>24</v>
      </c>
      <c r="B25">
        <v>21</v>
      </c>
      <c r="C25" t="s">
        <v>31</v>
      </c>
      <c r="D25">
        <v>906.96346262999998</v>
      </c>
      <c r="E25" s="19">
        <v>35</v>
      </c>
      <c r="F25">
        <v>0</v>
      </c>
      <c r="G25" s="19">
        <v>35</v>
      </c>
      <c r="H25">
        <v>28.050416369999997</v>
      </c>
      <c r="I25">
        <v>35</v>
      </c>
      <c r="J25">
        <v>0</v>
      </c>
      <c r="K25">
        <v>1</v>
      </c>
      <c r="L25">
        <v>0</v>
      </c>
      <c r="M25">
        <v>1</v>
      </c>
      <c r="N25">
        <v>0</v>
      </c>
      <c r="O25">
        <v>35</v>
      </c>
    </row>
    <row r="26" spans="1:15" x14ac:dyDescent="0.25">
      <c r="A26">
        <v>25</v>
      </c>
      <c r="B26">
        <v>39</v>
      </c>
      <c r="C26" t="s">
        <v>32</v>
      </c>
      <c r="D26">
        <v>965.17715708999992</v>
      </c>
      <c r="E26" s="19">
        <v>25</v>
      </c>
      <c r="F26">
        <v>0</v>
      </c>
      <c r="G26" s="19">
        <v>25</v>
      </c>
      <c r="H26">
        <v>29.850839910000001</v>
      </c>
      <c r="I26">
        <v>25</v>
      </c>
      <c r="J26">
        <v>0</v>
      </c>
      <c r="K26">
        <v>1</v>
      </c>
      <c r="L26">
        <v>0</v>
      </c>
      <c r="M26">
        <v>1</v>
      </c>
      <c r="N26">
        <v>0</v>
      </c>
      <c r="O26">
        <v>25</v>
      </c>
    </row>
    <row r="27" spans="1:15" x14ac:dyDescent="0.25">
      <c r="A27">
        <v>27</v>
      </c>
      <c r="B27">
        <v>2</v>
      </c>
      <c r="C27" t="s">
        <v>35</v>
      </c>
      <c r="D27">
        <v>625.73812353000005</v>
      </c>
      <c r="E27" s="19">
        <v>25</v>
      </c>
      <c r="F27">
        <v>0</v>
      </c>
      <c r="G27" s="19">
        <v>25</v>
      </c>
      <c r="H27">
        <v>19.352725469999999</v>
      </c>
      <c r="I27">
        <v>25</v>
      </c>
      <c r="J27">
        <v>0</v>
      </c>
      <c r="K27">
        <v>1</v>
      </c>
      <c r="L27">
        <v>0</v>
      </c>
      <c r="M27">
        <v>1</v>
      </c>
      <c r="N27">
        <v>0</v>
      </c>
      <c r="O27">
        <v>25</v>
      </c>
    </row>
    <row r="28" spans="1:15" x14ac:dyDescent="0.25">
      <c r="A28">
        <v>28</v>
      </c>
      <c r="B28">
        <v>50</v>
      </c>
      <c r="C28" t="s">
        <v>33</v>
      </c>
      <c r="D28">
        <v>431.69377513000001</v>
      </c>
      <c r="E28" s="19">
        <v>15</v>
      </c>
      <c r="F28">
        <v>0</v>
      </c>
      <c r="G28" s="19">
        <v>15</v>
      </c>
      <c r="H28">
        <v>13.351353869999999</v>
      </c>
      <c r="I28">
        <v>15</v>
      </c>
      <c r="J28">
        <v>0</v>
      </c>
      <c r="K28">
        <v>1</v>
      </c>
      <c r="L28">
        <v>0</v>
      </c>
      <c r="M28">
        <v>1</v>
      </c>
      <c r="N28">
        <v>0</v>
      </c>
      <c r="O28">
        <v>15</v>
      </c>
    </row>
    <row r="29" spans="1:15" x14ac:dyDescent="0.25">
      <c r="A29">
        <v>29</v>
      </c>
      <c r="B29">
        <v>47</v>
      </c>
      <c r="C29" t="s">
        <v>36</v>
      </c>
      <c r="D29">
        <v>1110.6284601799998</v>
      </c>
      <c r="E29" s="19">
        <v>30</v>
      </c>
      <c r="F29">
        <v>0</v>
      </c>
      <c r="G29" s="19">
        <v>30</v>
      </c>
      <c r="H29">
        <v>34.349333820000005</v>
      </c>
      <c r="I29">
        <v>30</v>
      </c>
      <c r="J29">
        <v>0</v>
      </c>
      <c r="K29">
        <v>1</v>
      </c>
      <c r="L29">
        <v>0</v>
      </c>
      <c r="M29">
        <v>1</v>
      </c>
      <c r="N29">
        <v>0</v>
      </c>
      <c r="O29">
        <v>30</v>
      </c>
    </row>
    <row r="30" spans="1:15" x14ac:dyDescent="0.25">
      <c r="A30">
        <v>30</v>
      </c>
      <c r="B30">
        <v>20</v>
      </c>
      <c r="C30" t="s">
        <v>37</v>
      </c>
      <c r="D30">
        <v>688.7003404699999</v>
      </c>
      <c r="E30" s="19">
        <v>30</v>
      </c>
      <c r="F30">
        <v>0</v>
      </c>
      <c r="G30" s="19">
        <v>30</v>
      </c>
      <c r="H30">
        <v>21.300010529999998</v>
      </c>
      <c r="I30">
        <v>30</v>
      </c>
      <c r="J30">
        <v>0</v>
      </c>
      <c r="K30">
        <v>1</v>
      </c>
      <c r="L30">
        <v>0</v>
      </c>
      <c r="M30">
        <v>1</v>
      </c>
      <c r="N30">
        <v>0</v>
      </c>
      <c r="O30">
        <v>30</v>
      </c>
    </row>
    <row r="31" spans="1:15" x14ac:dyDescent="0.25">
      <c r="A31">
        <v>31</v>
      </c>
      <c r="B31">
        <v>8</v>
      </c>
      <c r="C31" t="s">
        <v>38</v>
      </c>
      <c r="D31">
        <v>451.04837040000001</v>
      </c>
      <c r="E31" s="19">
        <v>25</v>
      </c>
      <c r="F31">
        <v>0</v>
      </c>
      <c r="G31" s="19">
        <v>25</v>
      </c>
      <c r="H31">
        <v>13.9499496</v>
      </c>
      <c r="I31">
        <v>25</v>
      </c>
      <c r="J31">
        <v>0</v>
      </c>
      <c r="K31">
        <v>1</v>
      </c>
      <c r="L31">
        <v>0</v>
      </c>
      <c r="M31">
        <v>1</v>
      </c>
      <c r="N31">
        <v>0</v>
      </c>
      <c r="O31">
        <v>25</v>
      </c>
    </row>
    <row r="32" spans="1:15" x14ac:dyDescent="0.25">
      <c r="A32">
        <v>32</v>
      </c>
      <c r="B32">
        <v>26</v>
      </c>
      <c r="C32" t="s">
        <v>39</v>
      </c>
      <c r="D32">
        <v>2294.0425019000004</v>
      </c>
      <c r="E32" s="19">
        <v>35</v>
      </c>
      <c r="F32">
        <v>0</v>
      </c>
      <c r="G32" s="19">
        <v>35</v>
      </c>
      <c r="H32">
        <v>70.949768100000014</v>
      </c>
      <c r="I32">
        <v>35</v>
      </c>
      <c r="J32">
        <v>0</v>
      </c>
      <c r="K32">
        <v>1</v>
      </c>
      <c r="L32">
        <v>0</v>
      </c>
      <c r="M32">
        <v>1</v>
      </c>
      <c r="N32">
        <v>0</v>
      </c>
      <c r="O32">
        <v>35</v>
      </c>
    </row>
    <row r="33" spans="1:15" x14ac:dyDescent="0.25">
      <c r="A33">
        <v>33</v>
      </c>
      <c r="B33">
        <v>18</v>
      </c>
      <c r="C33" t="s">
        <v>40</v>
      </c>
      <c r="D33">
        <v>777.21929511999986</v>
      </c>
      <c r="E33" s="19">
        <v>35</v>
      </c>
      <c r="F33">
        <v>0</v>
      </c>
      <c r="G33" s="19">
        <v>35</v>
      </c>
      <c r="H33">
        <v>22.778582880000002</v>
      </c>
      <c r="I33">
        <v>35</v>
      </c>
      <c r="J33">
        <v>0</v>
      </c>
      <c r="K33">
        <v>1</v>
      </c>
      <c r="L33">
        <v>0</v>
      </c>
      <c r="M33">
        <v>1</v>
      </c>
      <c r="N33">
        <v>0</v>
      </c>
      <c r="O33">
        <v>35</v>
      </c>
    </row>
    <row r="34" spans="1:15" x14ac:dyDescent="0.25">
      <c r="A34">
        <v>34</v>
      </c>
      <c r="B34">
        <v>17</v>
      </c>
      <c r="C34" t="s">
        <v>41</v>
      </c>
      <c r="D34">
        <v>943.87244156999998</v>
      </c>
      <c r="E34" s="19">
        <v>35</v>
      </c>
      <c r="F34">
        <v>0</v>
      </c>
      <c r="G34" s="19">
        <v>35</v>
      </c>
      <c r="H34">
        <v>26.121476429999998</v>
      </c>
      <c r="I34">
        <v>35</v>
      </c>
      <c r="J34">
        <v>0</v>
      </c>
      <c r="K34">
        <v>1</v>
      </c>
      <c r="L34">
        <v>0</v>
      </c>
      <c r="M34">
        <v>1</v>
      </c>
      <c r="N34">
        <v>0</v>
      </c>
      <c r="O34">
        <v>35</v>
      </c>
    </row>
    <row r="35" spans="1:15" x14ac:dyDescent="0.25">
      <c r="A35">
        <v>35</v>
      </c>
      <c r="B35">
        <v>40</v>
      </c>
      <c r="C35" t="s">
        <v>42</v>
      </c>
      <c r="D35">
        <v>770.71232235000002</v>
      </c>
      <c r="E35" s="19">
        <v>30</v>
      </c>
      <c r="F35">
        <v>0</v>
      </c>
      <c r="G35" s="19">
        <v>30</v>
      </c>
      <c r="H35">
        <v>14.24987565</v>
      </c>
      <c r="I35">
        <v>30</v>
      </c>
      <c r="J35">
        <v>0</v>
      </c>
      <c r="K35">
        <v>1</v>
      </c>
      <c r="L35">
        <v>0</v>
      </c>
      <c r="M35">
        <v>1</v>
      </c>
      <c r="N35">
        <v>0</v>
      </c>
      <c r="O35">
        <v>30</v>
      </c>
    </row>
    <row r="36" spans="1:15" x14ac:dyDescent="0.25">
      <c r="A36">
        <v>36</v>
      </c>
      <c r="B36">
        <v>38</v>
      </c>
      <c r="C36" t="s">
        <v>43</v>
      </c>
      <c r="D36">
        <v>398.89002467</v>
      </c>
      <c r="E36" s="19">
        <v>30</v>
      </c>
      <c r="F36">
        <v>0</v>
      </c>
      <c r="G36" s="19">
        <v>30</v>
      </c>
      <c r="H36">
        <v>6.1499463299999997</v>
      </c>
      <c r="I36">
        <v>30</v>
      </c>
      <c r="J36">
        <v>0</v>
      </c>
      <c r="K36">
        <v>1</v>
      </c>
      <c r="L36">
        <v>0</v>
      </c>
      <c r="M36">
        <v>1</v>
      </c>
      <c r="N36">
        <v>0</v>
      </c>
      <c r="O36">
        <v>30</v>
      </c>
    </row>
    <row r="37" spans="1:15" x14ac:dyDescent="0.25">
      <c r="A37">
        <v>37</v>
      </c>
      <c r="B37">
        <v>29</v>
      </c>
      <c r="C37" t="s">
        <v>6</v>
      </c>
      <c r="D37">
        <v>6936.7063450100013</v>
      </c>
      <c r="E37" s="19">
        <v>55</v>
      </c>
      <c r="F37">
        <v>0</v>
      </c>
      <c r="G37" s="19">
        <v>55</v>
      </c>
      <c r="H37">
        <v>641.60792099000003</v>
      </c>
      <c r="I37">
        <v>55</v>
      </c>
      <c r="J37">
        <v>0</v>
      </c>
      <c r="K37">
        <v>1</v>
      </c>
      <c r="L37">
        <v>0</v>
      </c>
      <c r="M37">
        <v>1</v>
      </c>
      <c r="N37">
        <v>0</v>
      </c>
      <c r="O37">
        <v>55</v>
      </c>
    </row>
    <row r="38" spans="1:15" x14ac:dyDescent="0.25">
      <c r="A38">
        <v>38</v>
      </c>
      <c r="B38">
        <v>37</v>
      </c>
      <c r="C38" t="s">
        <v>7</v>
      </c>
      <c r="D38">
        <v>3309.5399910000006</v>
      </c>
      <c r="E38" s="19">
        <v>65</v>
      </c>
      <c r="F38">
        <v>0</v>
      </c>
      <c r="G38" s="19">
        <v>65</v>
      </c>
      <c r="H38">
        <v>0</v>
      </c>
      <c r="I38">
        <v>65</v>
      </c>
      <c r="J38">
        <v>0</v>
      </c>
      <c r="K38">
        <v>1</v>
      </c>
      <c r="L38">
        <v>0</v>
      </c>
      <c r="M38">
        <v>1</v>
      </c>
      <c r="N38">
        <v>0</v>
      </c>
      <c r="O38">
        <v>65</v>
      </c>
    </row>
    <row r="39" spans="1:15" x14ac:dyDescent="0.25">
      <c r="A39">
        <v>101</v>
      </c>
      <c r="B39">
        <v>62</v>
      </c>
      <c r="C39" t="s">
        <v>82</v>
      </c>
      <c r="D39">
        <v>3227.6564524899995</v>
      </c>
      <c r="E39" s="19">
        <v>65</v>
      </c>
      <c r="F39">
        <v>0</v>
      </c>
      <c r="G39" s="19">
        <v>65</v>
      </c>
      <c r="H39">
        <v>42.95895651</v>
      </c>
      <c r="I39">
        <v>65</v>
      </c>
      <c r="J39">
        <v>0</v>
      </c>
      <c r="K39">
        <v>1</v>
      </c>
      <c r="L39">
        <v>0</v>
      </c>
      <c r="M39">
        <v>1</v>
      </c>
      <c r="N39">
        <v>0</v>
      </c>
      <c r="O39">
        <v>65</v>
      </c>
    </row>
    <row r="40" spans="1:15" x14ac:dyDescent="0.25">
      <c r="A40">
        <v>102</v>
      </c>
      <c r="B40">
        <v>61</v>
      </c>
      <c r="C40" t="s">
        <v>83</v>
      </c>
      <c r="D40">
        <v>29.003223660000003</v>
      </c>
      <c r="E40">
        <v>35</v>
      </c>
      <c r="F40">
        <v>0</v>
      </c>
      <c r="G40">
        <v>35</v>
      </c>
      <c r="H40">
        <v>0.89649533999999986</v>
      </c>
      <c r="I40">
        <v>35</v>
      </c>
      <c r="J40">
        <v>0</v>
      </c>
      <c r="K40">
        <v>1</v>
      </c>
      <c r="L40">
        <v>0</v>
      </c>
      <c r="M40">
        <v>1</v>
      </c>
      <c r="N40">
        <v>0</v>
      </c>
      <c r="O40">
        <v>35</v>
      </c>
    </row>
    <row r="41" spans="1:15" x14ac:dyDescent="0.25">
      <c r="A41">
        <v>103</v>
      </c>
      <c r="B41">
        <v>85</v>
      </c>
      <c r="C41" t="s">
        <v>84</v>
      </c>
      <c r="D41">
        <v>116.45782623999999</v>
      </c>
      <c r="E41">
        <v>35</v>
      </c>
      <c r="F41">
        <v>0</v>
      </c>
      <c r="G41">
        <v>35</v>
      </c>
      <c r="H41">
        <v>3.5412417600000001</v>
      </c>
      <c r="I41">
        <v>35</v>
      </c>
      <c r="J41">
        <v>0</v>
      </c>
      <c r="K41">
        <v>1</v>
      </c>
      <c r="L41">
        <v>0</v>
      </c>
      <c r="M41">
        <v>1</v>
      </c>
      <c r="N41">
        <v>0</v>
      </c>
      <c r="O41">
        <v>35</v>
      </c>
    </row>
    <row r="42" spans="1:15" x14ac:dyDescent="0.25">
      <c r="A42">
        <v>104</v>
      </c>
      <c r="B42">
        <v>86</v>
      </c>
      <c r="C42" t="s">
        <v>85</v>
      </c>
      <c r="D42">
        <v>141.45282185000002</v>
      </c>
      <c r="E42">
        <v>25</v>
      </c>
      <c r="F42">
        <v>0</v>
      </c>
      <c r="G42">
        <v>25</v>
      </c>
      <c r="H42">
        <v>3.5428951500000001</v>
      </c>
      <c r="I42">
        <v>25</v>
      </c>
      <c r="J42">
        <v>0</v>
      </c>
      <c r="K42">
        <v>1</v>
      </c>
      <c r="L42">
        <v>0</v>
      </c>
      <c r="M42">
        <v>1</v>
      </c>
      <c r="N42">
        <v>0</v>
      </c>
      <c r="O42">
        <v>25</v>
      </c>
    </row>
    <row r="43" spans="1:15" x14ac:dyDescent="0.25">
      <c r="A43">
        <v>105</v>
      </c>
      <c r="B43">
        <v>84</v>
      </c>
      <c r="C43" t="s">
        <v>86</v>
      </c>
      <c r="D43">
        <v>328.36427065999999</v>
      </c>
      <c r="E43">
        <v>35</v>
      </c>
      <c r="F43">
        <v>0</v>
      </c>
      <c r="G43">
        <v>35</v>
      </c>
      <c r="H43">
        <v>7.6453103399999991</v>
      </c>
      <c r="I43">
        <v>35</v>
      </c>
      <c r="J43">
        <v>0</v>
      </c>
      <c r="K43">
        <v>1</v>
      </c>
      <c r="L43">
        <v>0</v>
      </c>
      <c r="M43">
        <v>1</v>
      </c>
      <c r="N43">
        <v>0</v>
      </c>
      <c r="O43">
        <v>35</v>
      </c>
    </row>
    <row r="44" spans="1:15" x14ac:dyDescent="0.25">
      <c r="A44">
        <v>106</v>
      </c>
      <c r="B44">
        <v>87</v>
      </c>
      <c r="C44" t="s">
        <v>87</v>
      </c>
      <c r="D44">
        <v>248.86897133000002</v>
      </c>
      <c r="E44">
        <v>25</v>
      </c>
      <c r="F44">
        <v>0</v>
      </c>
      <c r="G44">
        <v>25</v>
      </c>
      <c r="H44">
        <v>6.1259696699999999</v>
      </c>
      <c r="I44">
        <v>25</v>
      </c>
      <c r="J44">
        <v>0</v>
      </c>
      <c r="K44">
        <v>1</v>
      </c>
      <c r="L44">
        <v>0</v>
      </c>
      <c r="M44">
        <v>1</v>
      </c>
      <c r="N44">
        <v>0</v>
      </c>
      <c r="O44">
        <v>25</v>
      </c>
    </row>
    <row r="45" spans="1:15" x14ac:dyDescent="0.25">
      <c r="A45">
        <v>107</v>
      </c>
      <c r="B45">
        <v>90</v>
      </c>
      <c r="D45">
        <v>72.749575140000005</v>
      </c>
      <c r="E45">
        <v>25</v>
      </c>
      <c r="F45">
        <v>0</v>
      </c>
      <c r="G45">
        <v>25</v>
      </c>
      <c r="H45">
        <v>2.2499868600000004</v>
      </c>
      <c r="I45">
        <v>25</v>
      </c>
      <c r="J45">
        <v>0</v>
      </c>
      <c r="K45">
        <v>1</v>
      </c>
      <c r="L45">
        <v>0</v>
      </c>
      <c r="M45">
        <v>1</v>
      </c>
      <c r="N45">
        <v>0</v>
      </c>
      <c r="O45">
        <v>25</v>
      </c>
    </row>
    <row r="46" spans="1:15" x14ac:dyDescent="0.25">
      <c r="A46">
        <v>108</v>
      </c>
      <c r="B46">
        <v>91</v>
      </c>
      <c r="D46">
        <v>261.98587409999999</v>
      </c>
      <c r="E46">
        <v>25</v>
      </c>
      <c r="F46">
        <v>0</v>
      </c>
      <c r="G46">
        <v>25</v>
      </c>
      <c r="H46">
        <v>8.1026559000000002</v>
      </c>
      <c r="I46">
        <v>25</v>
      </c>
      <c r="J46">
        <v>0</v>
      </c>
      <c r="K46">
        <v>1</v>
      </c>
      <c r="L46">
        <v>0</v>
      </c>
      <c r="M46">
        <v>1</v>
      </c>
      <c r="N46">
        <v>0</v>
      </c>
      <c r="O46">
        <v>25</v>
      </c>
    </row>
    <row r="47" spans="1:15" x14ac:dyDescent="0.25">
      <c r="A47">
        <v>10000</v>
      </c>
      <c r="B47">
        <v>10000</v>
      </c>
      <c r="C47" t="s">
        <v>88</v>
      </c>
      <c r="D47">
        <v>1</v>
      </c>
      <c r="E47">
        <v>55</v>
      </c>
      <c r="F47">
        <v>0</v>
      </c>
      <c r="G47">
        <v>55</v>
      </c>
      <c r="H47">
        <v>0</v>
      </c>
      <c r="I47">
        <v>55</v>
      </c>
      <c r="J47">
        <v>0</v>
      </c>
      <c r="K47">
        <v>1</v>
      </c>
      <c r="L47">
        <v>0</v>
      </c>
      <c r="M47">
        <v>1</v>
      </c>
      <c r="N47">
        <v>1</v>
      </c>
      <c r="O47">
        <v>55</v>
      </c>
    </row>
    <row r="48" spans="1:15" x14ac:dyDescent="0.25">
      <c r="A48">
        <v>1000</v>
      </c>
      <c r="B48">
        <v>9999</v>
      </c>
      <c r="C48" t="s">
        <v>79</v>
      </c>
      <c r="D48">
        <v>0</v>
      </c>
      <c r="E48">
        <v>1</v>
      </c>
      <c r="F48">
        <v>0</v>
      </c>
      <c r="G48">
        <v>1</v>
      </c>
      <c r="H48">
        <v>0</v>
      </c>
      <c r="I48">
        <v>1</v>
      </c>
      <c r="J48">
        <v>1</v>
      </c>
      <c r="K48">
        <v>1</v>
      </c>
      <c r="L48">
        <v>1</v>
      </c>
      <c r="M48">
        <v>1</v>
      </c>
      <c r="N48">
        <v>0</v>
      </c>
      <c r="O4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tabColor rgb="FF7030A0"/>
  </sheetPr>
  <dimension ref="A1:U77"/>
  <sheetViews>
    <sheetView topLeftCell="B1" zoomScale="85" zoomScaleNormal="85" workbookViewId="0">
      <selection activeCell="U1" sqref="U1"/>
    </sheetView>
  </sheetViews>
  <sheetFormatPr defaultRowHeight="15" x14ac:dyDescent="0.25"/>
  <cols>
    <col min="1" max="2" width="15.140625" customWidth="1"/>
    <col min="3" max="3" width="15.140625" style="13" customWidth="1"/>
    <col min="4" max="4" width="6" customWidth="1"/>
    <col min="5" max="5" width="15.140625" customWidth="1"/>
    <col min="6" max="6" width="36.140625" customWidth="1"/>
    <col min="7" max="9" width="12.85546875" customWidth="1"/>
    <col min="10" max="21" width="12.5703125" customWidth="1"/>
  </cols>
  <sheetData>
    <row r="1" spans="1:21" x14ac:dyDescent="0.25">
      <c r="A1" s="14" t="s">
        <v>67</v>
      </c>
      <c r="B1" s="14" t="s">
        <v>52</v>
      </c>
      <c r="C1" s="17" t="s">
        <v>53</v>
      </c>
      <c r="E1" s="15" t="s">
        <v>68</v>
      </c>
      <c r="F1" s="15" t="s">
        <v>46</v>
      </c>
      <c r="G1" s="15" t="s">
        <v>44</v>
      </c>
      <c r="H1" s="15" t="s">
        <v>47</v>
      </c>
      <c r="I1" s="15" t="s">
        <v>48</v>
      </c>
      <c r="J1" s="15" t="s">
        <v>49</v>
      </c>
      <c r="K1" s="15" t="s">
        <v>50</v>
      </c>
      <c r="L1" s="15" t="s">
        <v>51</v>
      </c>
      <c r="M1" s="15" t="s">
        <v>57</v>
      </c>
      <c r="N1" s="15" t="s">
        <v>58</v>
      </c>
      <c r="O1" s="15" t="s">
        <v>59</v>
      </c>
      <c r="P1" s="15" t="s">
        <v>60</v>
      </c>
      <c r="Q1" s="15" t="s">
        <v>61</v>
      </c>
      <c r="R1" s="15" t="s">
        <v>62</v>
      </c>
      <c r="S1" s="15" t="s">
        <v>63</v>
      </c>
      <c r="T1" s="15" t="s">
        <v>64</v>
      </c>
      <c r="U1" s="15" t="s">
        <v>65</v>
      </c>
    </row>
    <row r="2" spans="1:21" x14ac:dyDescent="0.25">
      <c r="A2" s="14">
        <v>105920065</v>
      </c>
      <c r="B2" s="14">
        <v>4</v>
      </c>
      <c r="C2" s="18">
        <f ca="1">SUM(VLOOKUP(A2,Compositions!A:J,5,FALSE),VLOOKUP(A2,Compositions!A:J,7,FALSE),VLOOKUP(A2,Compositions!A:J,9,FALSE))</f>
        <v>7798.9120070000008</v>
      </c>
      <c r="E2">
        <f>VLOOKUP(A2,Compositions!A:C,3,FALSE)</f>
        <v>13</v>
      </c>
      <c r="F2" t="s">
        <v>8</v>
      </c>
      <c r="G2">
        <f>VLOOKUP(A2,Compositions!A:B,2,FALSE)</f>
        <v>1</v>
      </c>
      <c r="H2" s="12">
        <f ca="1">$C2*VLOOKUP($B2,[1]Distributions!$A:$S,H$72,FALSE)</f>
        <v>7638.3550442908845</v>
      </c>
      <c r="I2" s="12">
        <f ca="1">$C2*VLOOKUP($B2,[1]Distributions!$A:$S,I$72,FALSE)</f>
        <v>7918.5755470566901</v>
      </c>
      <c r="J2" s="12">
        <f ca="1">$C2*VLOOKUP($B2,[1]Distributions!$A:$S,J$72,FALSE)</f>
        <v>8031.200055345339</v>
      </c>
      <c r="K2" s="12">
        <f ca="1">$C2*VLOOKUP($B2,[1]Distributions!$A:$S,K$72,FALSE)</f>
        <v>7923.938618879959</v>
      </c>
      <c r="L2" s="12">
        <f ca="1">$C2*VLOOKUP($B2,[1]Distributions!$A:$S,L$72,FALSE)</f>
        <v>7899.8047956752489</v>
      </c>
      <c r="M2" s="12">
        <f ca="1">$C2*VLOOKUP($B2,[1]Distributions!$A:$S,M$72,FALSE)</f>
        <v>8153.2099393247099</v>
      </c>
      <c r="N2" s="12">
        <f ca="1">$C2*VLOOKUP($B2,[1]Distributions!$A:$S,N$72,FALSE)</f>
        <v>8106.2830608711056</v>
      </c>
      <c r="O2" s="12">
        <f ca="1">$C2*VLOOKUP($B2,[1]Distributions!$A:$S,O$72,FALSE)</f>
        <v>8279.242127171532</v>
      </c>
      <c r="P2" s="12">
        <f ca="1">$C2*VLOOKUP($B2,[1]Distributions!$A:$S,P$72,FALSE)</f>
        <v>7675.8965470537678</v>
      </c>
      <c r="Q2" s="12">
        <f ca="1">$C2*VLOOKUP($B2,[1]Distributions!$A:$S,Q$72,FALSE)</f>
        <v>7134.2262929035978</v>
      </c>
      <c r="R2" s="12">
        <f ca="1">$C2*VLOOKUP($B2,[1]Distributions!$A:$S,R$72,FALSE)</f>
        <v>6981.3787459404311</v>
      </c>
      <c r="S2" s="12">
        <f ca="1">$C2*VLOOKUP($B2,[1]Distributions!$A:$S,S$72,FALSE)</f>
        <v>7052.4394475987456</v>
      </c>
      <c r="T2" s="12">
        <f ca="1">$C2*VLOOKUP($B2,[1]Distributions!$A:$S,T$72,FALSE)</f>
        <v>6540.2660884765555</v>
      </c>
      <c r="U2" s="12">
        <f ca="1">$C2*VLOOKUP($B2,[1]Distributions!$A:$S,U$72,FALSE)</f>
        <v>6699.8174752188079</v>
      </c>
    </row>
    <row r="3" spans="1:21" x14ac:dyDescent="0.25">
      <c r="A3" s="14">
        <v>105920026</v>
      </c>
      <c r="B3" s="14">
        <v>13</v>
      </c>
      <c r="C3" s="18">
        <f ca="1">SUM(VLOOKUP(A3,Compositions!A:J,5,FALSE),VLOOKUP(A3,Compositions!A:J,7,FALSE),VLOOKUP(A3,Compositions!A:J,9,FALSE))</f>
        <v>1019.9021620000001</v>
      </c>
      <c r="E3">
        <f>VLOOKUP(A3,Compositions!A:C,3,FALSE)</f>
        <v>14</v>
      </c>
      <c r="F3" t="s">
        <v>9</v>
      </c>
      <c r="G3">
        <f>VLOOKUP(A3,Compositions!A:B,2,FALSE)</f>
        <v>2</v>
      </c>
      <c r="H3" s="12">
        <f ca="1">$C3*VLOOKUP($B3,[1]Distributions!$A:$S,H$72,FALSE)</f>
        <v>357.32090493338808</v>
      </c>
      <c r="I3" s="12">
        <f ca="1">$C3*VLOOKUP($B3,[1]Distributions!$A:$S,I$72,FALSE)</f>
        <v>487.68119765932005</v>
      </c>
      <c r="J3" s="12">
        <f ca="1">$C3*VLOOKUP($B3,[1]Distributions!$A:$S,J$72,FALSE)</f>
        <v>587.28983158836547</v>
      </c>
      <c r="K3" s="12">
        <f ca="1">$C3*VLOOKUP($B3,[1]Distributions!$A:$S,K$72,FALSE)</f>
        <v>665.17175006308912</v>
      </c>
      <c r="L3" s="12">
        <f ca="1">$C3*VLOOKUP($B3,[1]Distributions!$A:$S,L$72,FALSE)</f>
        <v>783.94446121338251</v>
      </c>
      <c r="M3" s="12">
        <f ca="1">$C3*VLOOKUP($B3,[1]Distributions!$A:$S,M$72,FALSE)</f>
        <v>898.59466738003562</v>
      </c>
      <c r="N3" s="12">
        <f ca="1">$C3*VLOOKUP($B3,[1]Distributions!$A:$S,N$72,FALSE)</f>
        <v>971.23989033499947</v>
      </c>
      <c r="O3" s="12">
        <f ca="1">$C3*VLOOKUP($B3,[1]Distributions!$A:$S,O$72,FALSE)</f>
        <v>968.78867115553737</v>
      </c>
      <c r="P3" s="12">
        <f ca="1">$C3*VLOOKUP($B3,[1]Distributions!$A:$S,P$72,FALSE)</f>
        <v>1024.2753598542677</v>
      </c>
      <c r="Q3" s="12">
        <f ca="1">$C3*VLOOKUP($B3,[1]Distributions!$A:$S,Q$72,FALSE)</f>
        <v>1115.304726655196</v>
      </c>
      <c r="R3" s="12">
        <f ca="1">$C3*VLOOKUP($B3,[1]Distributions!$A:$S,R$72,FALSE)</f>
        <v>1110.1794501890483</v>
      </c>
      <c r="S3" s="12">
        <f ca="1">$C3*VLOOKUP($B3,[1]Distributions!$A:$S,S$72,FALSE)</f>
        <v>1053.6899900078113</v>
      </c>
      <c r="T3" s="12">
        <f ca="1">$C3*VLOOKUP($B3,[1]Distributions!$A:$S,T$72,FALSE)</f>
        <v>969.68002358443277</v>
      </c>
      <c r="U3" s="12">
        <f ca="1">$C3*VLOOKUP($B3,[1]Distributions!$A:$S,U$72,FALSE)</f>
        <v>932.24322157083179</v>
      </c>
    </row>
    <row r="4" spans="1:21" x14ac:dyDescent="0.25">
      <c r="A4" s="14">
        <v>105920028</v>
      </c>
      <c r="B4" s="14">
        <v>13</v>
      </c>
      <c r="C4" s="18">
        <f ca="1">SUM(VLOOKUP(A4,Compositions!A:J,5,FALSE),VLOOKUP(A4,Compositions!A:J,7,FALSE),VLOOKUP(A4,Compositions!A:J,9,FALSE))</f>
        <v>819.892786</v>
      </c>
      <c r="E4">
        <f>VLOOKUP(A4,Compositions!A:C,3,FALSE)</f>
        <v>12</v>
      </c>
      <c r="F4" t="s">
        <v>10</v>
      </c>
      <c r="G4">
        <f>VLOOKUP(A4,Compositions!A:B,2,FALSE)</f>
        <v>3</v>
      </c>
      <c r="H4" s="12">
        <f ca="1">$C4*VLOOKUP($B4,[1]Distributions!$A:$S,H$72,FALSE)</f>
        <v>287.24797647980341</v>
      </c>
      <c r="I4" s="12">
        <f ca="1">$C4*VLOOKUP($B4,[1]Distributions!$A:$S,I$72,FALSE)</f>
        <v>392.04377706644823</v>
      </c>
      <c r="J4" s="12">
        <f ca="1">$C4*VLOOKUP($B4,[1]Distributions!$A:$S,J$72,FALSE)</f>
        <v>472.11851700188447</v>
      </c>
      <c r="K4" s="12">
        <f ca="1">$C4*VLOOKUP($B4,[1]Distributions!$A:$S,K$72,FALSE)</f>
        <v>534.72729017288009</v>
      </c>
      <c r="L4" s="12">
        <f ca="1">$C4*VLOOKUP($B4,[1]Distributions!$A:$S,L$72,FALSE)</f>
        <v>630.20790848515628</v>
      </c>
      <c r="M4" s="12">
        <f ca="1">$C4*VLOOKUP($B4,[1]Distributions!$A:$S,M$72,FALSE)</f>
        <v>722.37447156520557</v>
      </c>
      <c r="N4" s="12">
        <f ca="1">$C4*VLOOKUP($B4,[1]Distributions!$A:$S,N$72,FALSE)</f>
        <v>780.77349890066921</v>
      </c>
      <c r="O4" s="12">
        <f ca="1">$C4*VLOOKUP($B4,[1]Distributions!$A:$S,O$72,FALSE)</f>
        <v>778.80297957339883</v>
      </c>
      <c r="P4" s="12">
        <f ca="1">$C4*VLOOKUP($B4,[1]Distributions!$A:$S,P$72,FALSE)</f>
        <v>823.40837161797094</v>
      </c>
      <c r="Q4" s="12">
        <f ca="1">$C4*VLOOKUP($B4,[1]Distributions!$A:$S,Q$72,FALSE)</f>
        <v>896.58629390796125</v>
      </c>
      <c r="R4" s="12">
        <f ca="1">$C4*VLOOKUP($B4,[1]Distributions!$A:$S,R$72,FALSE)</f>
        <v>892.4661171327599</v>
      </c>
      <c r="S4" s="12">
        <f ca="1">$C4*VLOOKUP($B4,[1]Distributions!$A:$S,S$72,FALSE)</f>
        <v>847.05460354521381</v>
      </c>
      <c r="T4" s="12">
        <f ca="1">$C4*VLOOKUP($B4,[1]Distributions!$A:$S,T$72,FALSE)</f>
        <v>779.51953205604275</v>
      </c>
      <c r="U4" s="12">
        <f ca="1">$C4*VLOOKUP($B4,[1]Distributions!$A:$S,U$72,FALSE)</f>
        <v>749.4243277850062</v>
      </c>
    </row>
    <row r="5" spans="1:21" x14ac:dyDescent="0.25">
      <c r="A5" s="14">
        <v>246</v>
      </c>
      <c r="B5" s="14">
        <v>9</v>
      </c>
      <c r="C5" s="18">
        <f ca="1">SUM(VLOOKUP(A5,Compositions!A:J,5,FALSE),VLOOKUP(A5,Compositions!A:J,7,FALSE),VLOOKUP(A5,Compositions!A:J,9,FALSE))</f>
        <v>2271.1018459999996</v>
      </c>
      <c r="E5">
        <f>VLOOKUP(A5,Compositions!A:C,3,FALSE)</f>
        <v>24</v>
      </c>
      <c r="F5" t="s">
        <v>11</v>
      </c>
      <c r="G5">
        <f>VLOOKUP(A5,Compositions!A:B,2,FALSE)</f>
        <v>4</v>
      </c>
      <c r="H5" s="12">
        <f ca="1">$C5*VLOOKUP($B5,[1]Distributions!$A:$S,H$72,FALSE)</f>
        <v>749.83071380029776</v>
      </c>
      <c r="I5" s="12">
        <f ca="1">$C5*VLOOKUP($B5,[1]Distributions!$A:$S,I$72,FALSE)</f>
        <v>948.74413926676573</v>
      </c>
      <c r="J5" s="12">
        <f ca="1">$C5*VLOOKUP($B5,[1]Distributions!$A:$S,J$72,FALSE)</f>
        <v>1223.6820676602083</v>
      </c>
      <c r="K5" s="12">
        <f ca="1">$C5*VLOOKUP($B5,[1]Distributions!$A:$S,K$72,FALSE)</f>
        <v>1374.6896419672128</v>
      </c>
      <c r="L5" s="12">
        <f ca="1">$C5*VLOOKUP($B5,[1]Distributions!$A:$S,L$72,FALSE)</f>
        <v>1672.5390643934422</v>
      </c>
      <c r="M5" s="12">
        <f ca="1">$C5*VLOOKUP($B5,[1]Distributions!$A:$S,M$72,FALSE)</f>
        <v>1900.6125731743662</v>
      </c>
      <c r="N5" s="12">
        <f ca="1">$C5*VLOOKUP($B5,[1]Distributions!$A:$S,N$72,FALSE)</f>
        <v>2184.9233854903123</v>
      </c>
      <c r="O5" s="12">
        <f ca="1">$C5*VLOOKUP($B5,[1]Distributions!$A:$S,O$72,FALSE)</f>
        <v>2208.8763110700443</v>
      </c>
      <c r="P5" s="12">
        <f ca="1">$C5*VLOOKUP($B5,[1]Distributions!$A:$S,P$72,FALSE)</f>
        <v>2399.4582841609536</v>
      </c>
      <c r="Q5" s="12">
        <f ca="1">$C5*VLOOKUP($B5,[1]Distributions!$A:$S,Q$72,FALSE)</f>
        <v>2291.1494032786882</v>
      </c>
      <c r="R5" s="12">
        <f ca="1">$C5*VLOOKUP($B5,[1]Distributions!$A:$S,R$72,FALSE)</f>
        <v>2286.9836770909083</v>
      </c>
      <c r="S5" s="12">
        <f ca="1">$C5*VLOOKUP($B5,[1]Distributions!$A:$S,S$72,FALSE)</f>
        <v>2236.9949628375552</v>
      </c>
      <c r="T5" s="12">
        <f ca="1">$C5*VLOOKUP($B5,[1]Distributions!$A:$S,T$72,FALSE)</f>
        <v>2085.9873885305506</v>
      </c>
      <c r="U5" s="12">
        <f ca="1">$C5*VLOOKUP($B5,[1]Distributions!$A:$S,U$72,FALSE)</f>
        <v>1688.1605375976151</v>
      </c>
    </row>
    <row r="6" spans="1:21" x14ac:dyDescent="0.25">
      <c r="A6" s="14">
        <v>480</v>
      </c>
      <c r="B6" s="14">
        <v>7</v>
      </c>
      <c r="C6" s="18">
        <f ca="1">SUM(VLOOKUP(A6,Compositions!A:J,5,FALSE),VLOOKUP(A6,Compositions!A:J,7,FALSE),VLOOKUP(A6,Compositions!A:J,9,FALSE))</f>
        <v>1030.5691780000002</v>
      </c>
      <c r="E6">
        <f>VLOOKUP(A6,Compositions!A:C,3,FALSE)</f>
        <v>25</v>
      </c>
      <c r="F6" t="s">
        <v>54</v>
      </c>
      <c r="G6">
        <f>VLOOKUP(A6,Compositions!A:B,2,FALSE)</f>
        <v>5</v>
      </c>
      <c r="H6" s="12">
        <f ca="1">$C6*VLOOKUP($B6,[1]Distributions!$A:$S,H$72,FALSE)</f>
        <v>394.96282897532996</v>
      </c>
      <c r="I6" s="12">
        <f ca="1">$C6*VLOOKUP($B6,[1]Distributions!$A:$S,I$72,FALSE)</f>
        <v>552.2384465014344</v>
      </c>
      <c r="J6" s="12">
        <f ca="1">$C6*VLOOKUP($B6,[1]Distributions!$A:$S,J$72,FALSE)</f>
        <v>760.36257194951247</v>
      </c>
      <c r="K6" s="12">
        <f ca="1">$C6*VLOOKUP($B6,[1]Distributions!$A:$S,K$72,FALSE)</f>
        <v>864.42463467355151</v>
      </c>
      <c r="L6" s="12">
        <f ca="1">$C6*VLOOKUP($B6,[1]Distributions!$A:$S,L$72,FALSE)</f>
        <v>901.08286131497437</v>
      </c>
      <c r="M6" s="12">
        <f ca="1">$C6*VLOOKUP($B6,[1]Distributions!$A:$S,M$72,FALSE)</f>
        <v>1099.7467992426853</v>
      </c>
      <c r="N6" s="12">
        <f ca="1">$C6*VLOOKUP($B6,[1]Distributions!$A:$S,N$72,FALSE)</f>
        <v>1033.5254866001148</v>
      </c>
      <c r="O6" s="12">
        <f ca="1">$C6*VLOOKUP($B6,[1]Distributions!$A:$S,O$72,FALSE)</f>
        <v>1064.2710960413083</v>
      </c>
      <c r="P6" s="12">
        <f ca="1">$C6*VLOOKUP($B6,[1]Distributions!$A:$S,P$72,FALSE)</f>
        <v>982.67697867814138</v>
      </c>
      <c r="Q6" s="12">
        <f ca="1">$C6*VLOOKUP($B6,[1]Distributions!$A:$S,Q$72,FALSE)</f>
        <v>1041.8031506804364</v>
      </c>
      <c r="R6" s="12">
        <f ca="1">$C6*VLOOKUP($B6,[1]Distributions!$A:$S,R$72,FALSE)</f>
        <v>1007.5099709191052</v>
      </c>
      <c r="S6" s="12">
        <f ca="1">$C6*VLOOKUP($B6,[1]Distributions!$A:$S,S$72,FALSE)</f>
        <v>1026.4303459598395</v>
      </c>
      <c r="T6" s="12">
        <f ca="1">$C6*VLOOKUP($B6,[1]Distributions!$A:$S,T$72,FALSE)</f>
        <v>920.00323635570874</v>
      </c>
      <c r="U6" s="12">
        <f ca="1">$C6*VLOOKUP($B6,[1]Distributions!$A:$S,U$72,FALSE)</f>
        <v>872.70229875387281</v>
      </c>
    </row>
    <row r="7" spans="1:21" x14ac:dyDescent="0.25">
      <c r="A7" s="14">
        <v>474</v>
      </c>
      <c r="B7" s="14">
        <v>7</v>
      </c>
      <c r="C7" s="18">
        <f ca="1">SUM(VLOOKUP(A7,Compositions!A:J,5,FALSE),VLOOKUP(A7,Compositions!A:J,7,FALSE),VLOOKUP(A7,Compositions!A:J,9,FALSE))</f>
        <v>19.977987999999996</v>
      </c>
      <c r="E7">
        <f>VLOOKUP(A7,Compositions!A:C,3,FALSE)</f>
        <v>52</v>
      </c>
      <c r="F7" t="s">
        <v>12</v>
      </c>
      <c r="G7">
        <f>VLOOKUP(A7,Compositions!A:B,2,FALSE)</f>
        <v>6</v>
      </c>
      <c r="H7" s="12">
        <f ca="1">$C7*VLOOKUP($B7,[1]Distributions!$A:$S,H$72,FALSE)</f>
        <v>7.6565094572576005</v>
      </c>
      <c r="I7" s="12">
        <f ca="1">$C7*VLOOKUP($B7,[1]Distributions!$A:$S,I$72,FALSE)</f>
        <v>10.705359031554787</v>
      </c>
      <c r="J7" s="12">
        <f ca="1">$C7*VLOOKUP($B7,[1]Distributions!$A:$S,J$72,FALSE)</f>
        <v>14.739926889271368</v>
      </c>
      <c r="K7" s="12">
        <f ca="1">$C7*VLOOKUP($B7,[1]Distributions!$A:$S,K$72,FALSE)</f>
        <v>16.757210818129657</v>
      </c>
      <c r="L7" s="12">
        <f ca="1">$C7*VLOOKUP($B7,[1]Distributions!$A:$S,L$72,FALSE)</f>
        <v>17.467844929432012</v>
      </c>
      <c r="M7" s="12">
        <f ca="1">$C7*VLOOKUP($B7,[1]Distributions!$A:$S,M$72,FALSE)</f>
        <v>21.319023339070565</v>
      </c>
      <c r="N7" s="12">
        <f ca="1">$C7*VLOOKUP($B7,[1]Distributions!$A:$S,N$72,FALSE)</f>
        <v>20.035297202524376</v>
      </c>
      <c r="O7" s="12">
        <f ca="1">$C7*VLOOKUP($B7,[1]Distributions!$A:$S,O$72,FALSE)</f>
        <v>20.631312908777968</v>
      </c>
      <c r="P7" s="12">
        <f ca="1">$C7*VLOOKUP($B7,[1]Distributions!$A:$S,P$72,FALSE)</f>
        <v>19.049578919104988</v>
      </c>
      <c r="Q7" s="12">
        <f ca="1">$C7*VLOOKUP($B7,[1]Distributions!$A:$S,Q$72,FALSE)</f>
        <v>20.195762969592657</v>
      </c>
      <c r="R7" s="12">
        <f ca="1">$C7*VLOOKUP($B7,[1]Distributions!$A:$S,R$72,FALSE)</f>
        <v>19.530976220309807</v>
      </c>
      <c r="S7" s="12">
        <f ca="1">$C7*VLOOKUP($B7,[1]Distributions!$A:$S,S$72,FALSE)</f>
        <v>19.897755116465859</v>
      </c>
      <c r="T7" s="12">
        <f ca="1">$C7*VLOOKUP($B7,[1]Distributions!$A:$S,T$72,FALSE)</f>
        <v>17.834623825588064</v>
      </c>
      <c r="U7" s="12">
        <f ca="1">$C7*VLOOKUP($B7,[1]Distributions!$A:$S,U$72,FALSE)</f>
        <v>16.917676585197931</v>
      </c>
    </row>
    <row r="8" spans="1:21" x14ac:dyDescent="0.25">
      <c r="A8" s="14">
        <v>473</v>
      </c>
      <c r="B8" s="14">
        <v>7</v>
      </c>
      <c r="C8" s="18">
        <f ca="1">SUM(VLOOKUP(A8,Compositions!A:J,5,FALSE),VLOOKUP(A8,Compositions!A:J,7,FALSE),VLOOKUP(A8,Compositions!A:J,9,FALSE))</f>
        <v>10.491690999999999</v>
      </c>
      <c r="E8">
        <f>VLOOKUP(A8,Compositions!A:C,3,FALSE)</f>
        <v>53</v>
      </c>
      <c r="F8" t="s">
        <v>13</v>
      </c>
      <c r="G8">
        <f>VLOOKUP(A8,Compositions!A:B,2,FALSE)</f>
        <v>7</v>
      </c>
      <c r="H8" s="12">
        <f ca="1">$C8*VLOOKUP($B8,[1]Distributions!$A:$S,H$72,FALSE)</f>
        <v>4.0209119839357426</v>
      </c>
      <c r="I8" s="12">
        <f ca="1">$C8*VLOOKUP($B8,[1]Distributions!$A:$S,I$72,FALSE)</f>
        <v>5.6220535823293165</v>
      </c>
      <c r="J8" s="12">
        <f ca="1">$C8*VLOOKUP($B8,[1]Distributions!$A:$S,J$72,FALSE)</f>
        <v>7.7408575020080317</v>
      </c>
      <c r="K8" s="12">
        <f ca="1">$C8*VLOOKUP($B8,[1]Distributions!$A:$S,K$72,FALSE)</f>
        <v>8.8002594618473893</v>
      </c>
      <c r="L8" s="12">
        <f ca="1">$C8*VLOOKUP($B8,[1]Distributions!$A:$S,L$72,FALSE)</f>
        <v>9.1734578795180717</v>
      </c>
      <c r="M8" s="12">
        <f ca="1">$C8*VLOOKUP($B8,[1]Distributions!$A:$S,M$72,FALSE)</f>
        <v>11.195952530120481</v>
      </c>
      <c r="N8" s="12">
        <f ca="1">$C8*VLOOKUP($B8,[1]Distributions!$A:$S,N$72,FALSE)</f>
        <v>10.521787646586343</v>
      </c>
      <c r="O8" s="12">
        <f ca="1">$C8*VLOOKUP($B8,[1]Distributions!$A:$S,O$72,FALSE)</f>
        <v>10.834792771084338</v>
      </c>
      <c r="P8" s="12">
        <f ca="1">$C8*VLOOKUP($B8,[1]Distributions!$A:$S,P$72,FALSE)</f>
        <v>10.004125325301205</v>
      </c>
      <c r="Q8" s="12">
        <f ca="1">$C8*VLOOKUP($B8,[1]Distributions!$A:$S,Q$72,FALSE)</f>
        <v>10.606058257028113</v>
      </c>
      <c r="R8" s="12">
        <f ca="1">$C8*VLOOKUP($B8,[1]Distributions!$A:$S,R$72,FALSE)</f>
        <v>10.256937156626506</v>
      </c>
      <c r="S8" s="12">
        <f ca="1">$C8*VLOOKUP($B8,[1]Distributions!$A:$S,S$72,FALSE)</f>
        <v>10.449555694779116</v>
      </c>
      <c r="T8" s="12">
        <f ca="1">$C8*VLOOKUP($B8,[1]Distributions!$A:$S,T$72,FALSE)</f>
        <v>9.3660764176706817</v>
      </c>
      <c r="U8" s="12">
        <f ca="1">$C8*VLOOKUP($B8,[1]Distributions!$A:$S,U$72,FALSE)</f>
        <v>8.8845300722891558</v>
      </c>
    </row>
    <row r="9" spans="1:21" x14ac:dyDescent="0.25">
      <c r="A9" s="14">
        <v>488</v>
      </c>
      <c r="B9" s="14">
        <v>7</v>
      </c>
      <c r="C9" s="18">
        <f ca="1">SUM(VLOOKUP(A9,Compositions!A:J,5,FALSE),VLOOKUP(A9,Compositions!A:J,7,FALSE),VLOOKUP(A9,Compositions!A:J,9,FALSE))</f>
        <v>394.87670900000006</v>
      </c>
      <c r="E9">
        <f>VLOOKUP(A9,Compositions!A:C,3,FALSE)</f>
        <v>46</v>
      </c>
      <c r="F9" t="s">
        <v>14</v>
      </c>
      <c r="G9">
        <f>VLOOKUP(A9,Compositions!A:B,2,FALSE)</f>
        <v>8</v>
      </c>
      <c r="H9" s="12">
        <f ca="1">$C9*VLOOKUP($B9,[1]Distributions!$A:$S,H$72,FALSE)</f>
        <v>151.33542261158925</v>
      </c>
      <c r="I9" s="12">
        <f ca="1">$C9*VLOOKUP($B9,[1]Distributions!$A:$S,I$72,FALSE)</f>
        <v>211.59773161560528</v>
      </c>
      <c r="J9" s="12">
        <f ca="1">$C9*VLOOKUP($B9,[1]Distributions!$A:$S,J$72,FALSE)</f>
        <v>291.34334353069426</v>
      </c>
      <c r="K9" s="12">
        <f ca="1">$C9*VLOOKUP($B9,[1]Distributions!$A:$S,K$72,FALSE)</f>
        <v>331.21614948823873</v>
      </c>
      <c r="L9" s="12">
        <f ca="1">$C9*VLOOKUP($B9,[1]Distributions!$A:$S,L$72,FALSE)</f>
        <v>345.26225158691915</v>
      </c>
      <c r="M9" s="12">
        <f ca="1">$C9*VLOOKUP($B9,[1]Distributions!$A:$S,M$72,FALSE)</f>
        <v>421.38306296041316</v>
      </c>
      <c r="N9" s="12">
        <f ca="1">$C9*VLOOKUP($B9,[1]Distributions!$A:$S,N$72,FALSE)</f>
        <v>396.00945916924843</v>
      </c>
      <c r="O9" s="12">
        <f ca="1">$C9*VLOOKUP($B9,[1]Distributions!$A:$S,O$72,FALSE)</f>
        <v>407.79006092943212</v>
      </c>
      <c r="P9" s="12">
        <f ca="1">$C9*VLOOKUP($B9,[1]Distributions!$A:$S,P$72,FALSE)</f>
        <v>376.52615625817566</v>
      </c>
      <c r="Q9" s="12">
        <f ca="1">$C9*VLOOKUP($B9,[1]Distributions!$A:$S,Q$72,FALSE)</f>
        <v>399.18115964314416</v>
      </c>
      <c r="R9" s="12">
        <f ca="1">$C9*VLOOKUP($B9,[1]Distributions!$A:$S,R$72,FALSE)</f>
        <v>386.04125767986238</v>
      </c>
      <c r="S9" s="12">
        <f ca="1">$C9*VLOOKUP($B9,[1]Distributions!$A:$S,S$72,FALSE)</f>
        <v>393.29085876305226</v>
      </c>
      <c r="T9" s="12">
        <f ca="1">$C9*VLOOKUP($B9,[1]Distributions!$A:$S,T$72,FALSE)</f>
        <v>352.51185267010902</v>
      </c>
      <c r="U9" s="12">
        <f ca="1">$C9*VLOOKUP($B9,[1]Distributions!$A:$S,U$72,FALSE)</f>
        <v>334.38784996213428</v>
      </c>
    </row>
    <row r="10" spans="1:21" x14ac:dyDescent="0.25">
      <c r="A10" s="14">
        <v>485</v>
      </c>
      <c r="B10" s="14">
        <v>7</v>
      </c>
      <c r="C10" s="18">
        <f ca="1">SUM(VLOOKUP(A10,Compositions!A:J,5,FALSE),VLOOKUP(A10,Compositions!A:J,7,FALSE),VLOOKUP(A10,Compositions!A:J,9,FALSE))</f>
        <v>104.99052999999999</v>
      </c>
      <c r="E10">
        <f>VLOOKUP(A10,Compositions!A:C,3,FALSE)</f>
        <v>10</v>
      </c>
      <c r="F10" t="s">
        <v>27</v>
      </c>
      <c r="G10">
        <f>VLOOKUP(A10,Compositions!A:B,2,FALSE)</f>
        <v>9</v>
      </c>
      <c r="H10" s="12">
        <f ca="1">$C10*VLOOKUP($B10,[1]Distributions!$A:$S,H$72,FALSE)</f>
        <v>40.237334503729201</v>
      </c>
      <c r="I10" s="12">
        <f ca="1">$C10*VLOOKUP($B10,[1]Distributions!$A:$S,I$72,FALSE)</f>
        <v>56.259985668387827</v>
      </c>
      <c r="J10" s="12">
        <f ca="1">$C10*VLOOKUP($B10,[1]Distributions!$A:$S,J$72,FALSE)</f>
        <v>77.462892472748123</v>
      </c>
      <c r="K10" s="12">
        <f ca="1">$C10*VLOOKUP($B10,[1]Distributions!$A:$S,K$72,FALSE)</f>
        <v>88.064345874928279</v>
      </c>
      <c r="L10" s="12">
        <f ca="1">$C10*VLOOKUP($B10,[1]Distributions!$A:$S,L$72,FALSE)</f>
        <v>91.798948777969017</v>
      </c>
      <c r="M10" s="12">
        <f ca="1">$C10*VLOOKUP($B10,[1]Distributions!$A:$S,M$72,FALSE)</f>
        <v>112.03808709122202</v>
      </c>
      <c r="N10" s="12">
        <f ca="1">$C10*VLOOKUP($B10,[1]Distributions!$A:$S,N$72,FALSE)</f>
        <v>105.29170765347101</v>
      </c>
      <c r="O10" s="12">
        <f ca="1">$C10*VLOOKUP($B10,[1]Distributions!$A:$S,O$72,FALSE)</f>
        <v>108.4239552495697</v>
      </c>
      <c r="P10" s="12">
        <f ca="1">$C10*VLOOKUP($B10,[1]Distributions!$A:$S,P$72,FALSE)</f>
        <v>100.11145201376937</v>
      </c>
      <c r="Q10" s="12">
        <f ca="1">$C10*VLOOKUP($B10,[1]Distributions!$A:$S,Q$72,FALSE)</f>
        <v>106.13500508318991</v>
      </c>
      <c r="R10" s="12">
        <f ca="1">$C10*VLOOKUP($B10,[1]Distributions!$A:$S,R$72,FALSE)</f>
        <v>102.64134430292599</v>
      </c>
      <c r="S10" s="12">
        <f ca="1">$C10*VLOOKUP($B10,[1]Distributions!$A:$S,S$72,FALSE)</f>
        <v>104.56888128514055</v>
      </c>
      <c r="T10" s="12">
        <f ca="1">$C10*VLOOKUP($B10,[1]Distributions!$A:$S,T$72,FALSE)</f>
        <v>93.726485760183579</v>
      </c>
      <c r="U10" s="12">
        <f ca="1">$C10*VLOOKUP($B10,[1]Distributions!$A:$S,U$72,FALSE)</f>
        <v>88.907643304647152</v>
      </c>
    </row>
    <row r="11" spans="1:21" x14ac:dyDescent="0.25">
      <c r="A11" s="14">
        <v>84</v>
      </c>
      <c r="B11" s="14">
        <v>8</v>
      </c>
      <c r="C11" s="18">
        <f ca="1">SUM(VLOOKUP(A11,Compositions!A:J,5,FALSE),VLOOKUP(A11,Compositions!A:J,7,FALSE),VLOOKUP(A11,Compositions!A:J,9,FALSE))</f>
        <v>114.93862299999999</v>
      </c>
      <c r="E11">
        <f>VLOOKUP(A11,Compositions!A:C,3,FALSE)</f>
        <v>11</v>
      </c>
      <c r="F11" t="s">
        <v>15</v>
      </c>
      <c r="G11">
        <f>VLOOKUP(A11,Compositions!A:B,2,FALSE)</f>
        <v>10</v>
      </c>
      <c r="H11" s="12">
        <f ca="1">$C11*VLOOKUP($B11,[1]Distributions!$A:$S,H$72,FALSE)</f>
        <v>14.219211092783503</v>
      </c>
      <c r="I11" s="12">
        <f ca="1">$C11*VLOOKUP($B11,[1]Distributions!$A:$S,I$72,FALSE)</f>
        <v>17.379035780068723</v>
      </c>
      <c r="J11" s="12">
        <f ca="1">$C11*VLOOKUP($B11,[1]Distributions!$A:$S,J$72,FALSE)</f>
        <v>23.066720217182123</v>
      </c>
      <c r="K11" s="12">
        <f ca="1">$C11*VLOOKUP($B11,[1]Distributions!$A:$S,K$72,FALSE)</f>
        <v>36.022001435051536</v>
      </c>
      <c r="L11" s="12">
        <f ca="1">$C11*VLOOKUP($B11,[1]Distributions!$A:$S,L$72,FALSE)</f>
        <v>59.720686589690708</v>
      </c>
      <c r="M11" s="12">
        <f ca="1">$C11*VLOOKUP($B11,[1]Distributions!$A:$S,M$72,FALSE)</f>
        <v>66.04033596426116</v>
      </c>
      <c r="N11" s="12">
        <f ca="1">$C11*VLOOKUP($B11,[1]Distributions!$A:$S,N$72,FALSE)</f>
        <v>97.322600368384869</v>
      </c>
      <c r="O11" s="12">
        <f ca="1">$C11*VLOOKUP($B11,[1]Distributions!$A:$S,O$72,FALSE)</f>
        <v>124.18111021030926</v>
      </c>
      <c r="P11" s="12">
        <f ca="1">$C11*VLOOKUP($B11,[1]Distributions!$A:$S,P$72,FALSE)</f>
        <v>141.8761284591065</v>
      </c>
      <c r="Q11" s="12">
        <f ca="1">$C11*VLOOKUP($B11,[1]Distributions!$A:$S,Q$72,FALSE)</f>
        <v>96.374652962199292</v>
      </c>
      <c r="R11" s="12">
        <f ca="1">$C11*VLOOKUP($B11,[1]Distributions!$A:$S,R$72,FALSE)</f>
        <v>60.352651527147749</v>
      </c>
      <c r="S11" s="12">
        <f ca="1">$C11*VLOOKUP($B11,[1]Distributions!$A:$S,S$72,FALSE)</f>
        <v>67.620248307903765</v>
      </c>
      <c r="T11" s="12">
        <f ca="1">$C11*VLOOKUP($B11,[1]Distributions!$A:$S,T$72,FALSE)</f>
        <v>65.724353495532625</v>
      </c>
      <c r="U11" s="12">
        <f ca="1">$C11*VLOOKUP($B11,[1]Distributions!$A:$S,U$72,FALSE)</f>
        <v>54.98094955876288</v>
      </c>
    </row>
    <row r="12" spans="1:21" x14ac:dyDescent="0.25">
      <c r="A12" s="14">
        <v>81</v>
      </c>
      <c r="B12" s="14">
        <v>8</v>
      </c>
      <c r="C12" s="18">
        <f ca="1">SUM(VLOOKUP(A12,Compositions!A:J,5,FALSE),VLOOKUP(A12,Compositions!A:J,7,FALSE),VLOOKUP(A12,Compositions!A:J,9,FALSE))</f>
        <v>635.10023000000001</v>
      </c>
      <c r="E12">
        <f>VLOOKUP(A12,Compositions!A:C,3,FALSE)</f>
        <v>23</v>
      </c>
      <c r="F12" t="s">
        <v>16</v>
      </c>
      <c r="G12">
        <f>VLOOKUP(A12,Compositions!A:B,2,FALSE)</f>
        <v>11</v>
      </c>
      <c r="H12" s="12">
        <f ca="1">$C12*VLOOKUP($B12,[1]Distributions!$A:$S,H$72,FALSE)</f>
        <v>78.569100618556703</v>
      </c>
      <c r="I12" s="12">
        <f ca="1">$C12*VLOOKUP($B12,[1]Distributions!$A:$S,I$72,FALSE)</f>
        <v>96.028900756013726</v>
      </c>
      <c r="J12" s="12">
        <f ca="1">$C12*VLOOKUP($B12,[1]Distributions!$A:$S,J$72,FALSE)</f>
        <v>127.4565410034364</v>
      </c>
      <c r="K12" s="12">
        <f ca="1">$C12*VLOOKUP($B12,[1]Distributions!$A:$S,K$72,FALSE)</f>
        <v>199.04172156701028</v>
      </c>
      <c r="L12" s="12">
        <f ca="1">$C12*VLOOKUP($B12,[1]Distributions!$A:$S,L$72,FALSE)</f>
        <v>329.9902225979381</v>
      </c>
      <c r="M12" s="12">
        <f ca="1">$C12*VLOOKUP($B12,[1]Distributions!$A:$S,M$72,FALSE)</f>
        <v>364.9098228728522</v>
      </c>
      <c r="N12" s="12">
        <f ca="1">$C12*VLOOKUP($B12,[1]Distributions!$A:$S,N$72,FALSE)</f>
        <v>537.76184423367692</v>
      </c>
      <c r="O12" s="12">
        <f ca="1">$C12*VLOOKUP($B12,[1]Distributions!$A:$S,O$72,FALSE)</f>
        <v>686.17014540206185</v>
      </c>
      <c r="P12" s="12">
        <f ca="1">$C12*VLOOKUP($B12,[1]Distributions!$A:$S,P$72,FALSE)</f>
        <v>783.94502617182127</v>
      </c>
      <c r="Q12" s="12">
        <f ca="1">$C12*VLOOKUP($B12,[1]Distributions!$A:$S,Q$72,FALSE)</f>
        <v>532.52390419243977</v>
      </c>
      <c r="R12" s="12">
        <f ca="1">$C12*VLOOKUP($B12,[1]Distributions!$A:$S,R$72,FALSE)</f>
        <v>333.48218262542952</v>
      </c>
      <c r="S12" s="12">
        <f ca="1">$C12*VLOOKUP($B12,[1]Distributions!$A:$S,S$72,FALSE)</f>
        <v>373.63972294158071</v>
      </c>
      <c r="T12" s="12">
        <f ca="1">$C12*VLOOKUP($B12,[1]Distributions!$A:$S,T$72,FALSE)</f>
        <v>363.16384285910647</v>
      </c>
      <c r="U12" s="12">
        <f ca="1">$C12*VLOOKUP($B12,[1]Distributions!$A:$S,U$72,FALSE)</f>
        <v>303.80052239175257</v>
      </c>
    </row>
    <row r="13" spans="1:21" x14ac:dyDescent="0.25">
      <c r="A13" s="14">
        <v>59</v>
      </c>
      <c r="B13" s="14">
        <v>6</v>
      </c>
      <c r="C13" s="18">
        <f ca="1">SUM(VLOOKUP(A13,Compositions!A:J,5,FALSE),VLOOKUP(A13,Compositions!A:J,7,FALSE),VLOOKUP(A13,Compositions!A:J,9,FALSE))</f>
        <v>8135.5604869999997</v>
      </c>
      <c r="E13">
        <f>VLOOKUP(A13,Compositions!A:C,3,FALSE)</f>
        <v>35</v>
      </c>
      <c r="F13" t="s">
        <v>18</v>
      </c>
      <c r="G13">
        <f>VLOOKUP(A13,Compositions!A:B,2,FALSE)</f>
        <v>12</v>
      </c>
      <c r="H13" s="12">
        <f ca="1">$C13*VLOOKUP($B13,[1]Distributions!$A:$S,H$72,FALSE)</f>
        <v>4445.46770202076</v>
      </c>
      <c r="I13" s="12">
        <f ca="1">$C13*VLOOKUP($B13,[1]Distributions!$A:$S,I$72,FALSE)</f>
        <v>6171.7723302194181</v>
      </c>
      <c r="J13" s="12">
        <f ca="1">$C13*VLOOKUP($B13,[1]Distributions!$A:$S,J$72,FALSE)</f>
        <v>7562.1474091469863</v>
      </c>
      <c r="K13" s="12">
        <f ca="1">$C13*VLOOKUP($B13,[1]Distributions!$A:$S,K$72,FALSE)</f>
        <v>8771.4937865229113</v>
      </c>
      <c r="L13" s="12">
        <f ca="1">$C13*VLOOKUP($B13,[1]Distributions!$A:$S,L$72,FALSE)</f>
        <v>8987.9817182753904</v>
      </c>
      <c r="M13" s="12">
        <f ca="1">$C13*VLOOKUP($B13,[1]Distributions!$A:$S,M$72,FALSE)</f>
        <v>9624.3815866167351</v>
      </c>
      <c r="N13" s="12">
        <f ca="1">$C13*VLOOKUP($B13,[1]Distributions!$A:$S,N$72,FALSE)</f>
        <v>9407.8936548642541</v>
      </c>
      <c r="O13" s="12">
        <f ca="1">$C13*VLOOKUP($B13,[1]Distributions!$A:$S,O$72,FALSE)</f>
        <v>8625.9243151721057</v>
      </c>
      <c r="P13" s="12">
        <f ca="1">$C13*VLOOKUP($B13,[1]Distributions!$A:$S,P$72,FALSE)</f>
        <v>7491.2289487453118</v>
      </c>
      <c r="Q13" s="12">
        <f ca="1">$C13*VLOOKUP($B13,[1]Distributions!$A:$S,Q$72,FALSE)</f>
        <v>7017.1950292183292</v>
      </c>
      <c r="R13" s="12">
        <f ca="1">$C13*VLOOKUP($B13,[1]Distributions!$A:$S,R$72,FALSE)</f>
        <v>6627.1434970091195</v>
      </c>
      <c r="S13" s="12">
        <f ca="1">$C13*VLOOKUP($B13,[1]Distributions!$A:$S,S$72,FALSE)</f>
        <v>6899.6196869734467</v>
      </c>
      <c r="T13" s="12">
        <f ca="1">$C13*VLOOKUP($B13,[1]Distributions!$A:$S,T$72,FALSE)</f>
        <v>6696.195682137065</v>
      </c>
      <c r="U13" s="12">
        <f ca="1">$C13*VLOOKUP($B13,[1]Distributions!$A:$S,U$72,FALSE)</f>
        <v>7043.322883050525</v>
      </c>
    </row>
    <row r="14" spans="1:21" x14ac:dyDescent="0.25">
      <c r="A14" s="14">
        <v>65</v>
      </c>
      <c r="B14" s="14">
        <v>3</v>
      </c>
      <c r="C14" s="18">
        <f ca="1">SUM(VLOOKUP(A14,Compositions!A:J,5,FALSE),VLOOKUP(A14,Compositions!A:J,7,FALSE),VLOOKUP(A14,Compositions!A:J,9,FALSE))</f>
        <v>2259.4879139999998</v>
      </c>
      <c r="E14">
        <f>VLOOKUP(A14,Compositions!A:C,3,FALSE)</f>
        <v>32</v>
      </c>
      <c r="F14" t="s">
        <v>19</v>
      </c>
      <c r="G14">
        <f>VLOOKUP(A14,Compositions!A:B,2,FALSE)</f>
        <v>13</v>
      </c>
      <c r="H14" s="12">
        <f ca="1">$C14*VLOOKUP($B14,[1]Distributions!$A:$S,H$72,FALSE)</f>
        <v>1099.9698343547527</v>
      </c>
      <c r="I14" s="12">
        <f ca="1">$C14*VLOOKUP($B14,[1]Distributions!$A:$S,I$72,FALSE)</f>
        <v>1399.7183050305002</v>
      </c>
      <c r="J14" s="12">
        <f ca="1">$C14*VLOOKUP($B14,[1]Distributions!$A:$S,J$72,FALSE)</f>
        <v>1576.3557966787089</v>
      </c>
      <c r="K14" s="12">
        <f ca="1">$C14*VLOOKUP($B14,[1]Distributions!$A:$S,K$72,FALSE)</f>
        <v>1723.553706385549</v>
      </c>
      <c r="L14" s="12">
        <f ca="1">$C14*VLOOKUP($B14,[1]Distributions!$A:$S,L$72,FALSE)</f>
        <v>1908.2201749268579</v>
      </c>
      <c r="M14" s="12">
        <f ca="1">$C14*VLOOKUP($B14,[1]Distributions!$A:$S,M$72,FALSE)</f>
        <v>2296.2873914267097</v>
      </c>
      <c r="N14" s="12">
        <f ca="1">$C14*VLOOKUP($B14,[1]Distributions!$A:$S,N$72,FALSE)</f>
        <v>2317.6979964749776</v>
      </c>
      <c r="O14" s="12">
        <f ca="1">$C14*VLOOKUP($B14,[1]Distributions!$A:$S,O$72,FALSE)</f>
        <v>2157.1184586129698</v>
      </c>
      <c r="P14" s="12">
        <f ca="1">$C14*VLOOKUP($B14,[1]Distributions!$A:$S,P$72,FALSE)</f>
        <v>2317.6979964749776</v>
      </c>
      <c r="Q14" s="12">
        <f ca="1">$C14*VLOOKUP($B14,[1]Distributions!$A:$S,Q$72,FALSE)</f>
        <v>2245.4372044370743</v>
      </c>
      <c r="R14" s="12">
        <f ca="1">$C14*VLOOKUP($B14,[1]Distributions!$A:$S,R$72,FALSE)</f>
        <v>1961.7466875475272</v>
      </c>
      <c r="S14" s="12">
        <f ca="1">$C14*VLOOKUP($B14,[1]Distributions!$A:$S,S$72,FALSE)</f>
        <v>1782.4328702682851</v>
      </c>
      <c r="T14" s="12">
        <f ca="1">$C14*VLOOKUP($B14,[1]Distributions!$A:$S,T$72,FALSE)</f>
        <v>1752.9932883269173</v>
      </c>
      <c r="U14" s="12">
        <f ca="1">$C14*VLOOKUP($B14,[1]Distributions!$A:$S,U$72,FALSE)</f>
        <v>1597.7664017269765</v>
      </c>
    </row>
    <row r="15" spans="1:21" x14ac:dyDescent="0.25">
      <c r="A15" s="14">
        <v>24</v>
      </c>
      <c r="B15" s="14">
        <v>5</v>
      </c>
      <c r="C15" s="18">
        <f ca="1">SUM(VLOOKUP(A15,Compositions!A:J,5,FALSE),VLOOKUP(A15,Compositions!A:J,7,FALSE),VLOOKUP(A15,Compositions!A:J,9,FALSE))</f>
        <v>4851.2301900000002</v>
      </c>
      <c r="E15">
        <f>VLOOKUP(A15,Compositions!A:C,3,FALSE)</f>
        <v>30</v>
      </c>
      <c r="F15" t="s">
        <v>20</v>
      </c>
      <c r="G15">
        <f>VLOOKUP(A15,Compositions!A:B,2,FALSE)</f>
        <v>14</v>
      </c>
      <c r="H15" s="12">
        <f ca="1">$C15*VLOOKUP($B15,[1]Distributions!$A:$S,H$72,FALSE)</f>
        <v>1308.4093506693951</v>
      </c>
      <c r="I15" s="12">
        <f ca="1">$C15*VLOOKUP($B15,[1]Distributions!$A:$S,I$72,FALSE)</f>
        <v>1817.0251242677582</v>
      </c>
      <c r="J15" s="12">
        <f ca="1">$C15*VLOOKUP($B15,[1]Distributions!$A:$S,J$72,FALSE)</f>
        <v>2289.7163636714417</v>
      </c>
      <c r="K15" s="12">
        <f ca="1">$C15*VLOOKUP($B15,[1]Distributions!$A:$S,K$72,FALSE)</f>
        <v>2923.1226244723771</v>
      </c>
      <c r="L15" s="12">
        <f ca="1">$C15*VLOOKUP($B15,[1]Distributions!$A:$S,L$72,FALSE)</f>
        <v>3514.9320562057883</v>
      </c>
      <c r="M15" s="12">
        <f ca="1">$C15*VLOOKUP($B15,[1]Distributions!$A:$S,M$72,FALSE)</f>
        <v>3970.6064109909394</v>
      </c>
      <c r="N15" s="12">
        <f ca="1">$C15*VLOOKUP($B15,[1]Distributions!$A:$S,N$72,FALSE)</f>
        <v>4263.6749794212228</v>
      </c>
      <c r="O15" s="12">
        <f ca="1">$C15*VLOOKUP($B15,[1]Distributions!$A:$S,O$72,FALSE)</f>
        <v>4798.7614624261914</v>
      </c>
      <c r="P15" s="12">
        <f ca="1">$C15*VLOOKUP($B15,[1]Distributions!$A:$S,P$72,FALSE)</f>
        <v>5080.4854411107872</v>
      </c>
      <c r="Q15" s="12">
        <f ca="1">$C15*VLOOKUP($B15,[1]Distributions!$A:$S,Q$72,FALSE)</f>
        <v>5261.9988770418013</v>
      </c>
      <c r="R15" s="12">
        <f ca="1">$C15*VLOOKUP($B15,[1]Distributions!$A:$S,R$72,FALSE)</f>
        <v>5008.6363727214275</v>
      </c>
      <c r="S15" s="12">
        <f ca="1">$C15*VLOOKUP($B15,[1]Distributions!$A:$S,S$72,FALSE)</f>
        <v>5025.65325733996</v>
      </c>
      <c r="T15" s="12">
        <f ca="1">$C15*VLOOKUP($B15,[1]Distributions!$A:$S,T$72,FALSE)</f>
        <v>4811.996817129495</v>
      </c>
      <c r="U15" s="12">
        <f ca="1">$C15*VLOOKUP($B15,[1]Distributions!$A:$S,U$72,FALSE)</f>
        <v>4063.2538939140613</v>
      </c>
    </row>
    <row r="16" spans="1:21" x14ac:dyDescent="0.25">
      <c r="A16" s="14">
        <v>20017</v>
      </c>
      <c r="B16" s="14">
        <v>15</v>
      </c>
      <c r="C16" s="18">
        <f ca="1">SUM(VLOOKUP(A16,Compositions!A:J,5,FALSE),VLOOKUP(A16,Compositions!A:J,7,FALSE),VLOOKUP(A16,Compositions!A:J,9,FALSE))</f>
        <v>350.027263</v>
      </c>
      <c r="E16">
        <f>VLOOKUP(A16,Compositions!A:C,3,FALSE)</f>
        <v>44</v>
      </c>
      <c r="F16" t="s">
        <v>21</v>
      </c>
      <c r="G16">
        <f>VLOOKUP(A16,Compositions!A:B,2,FALSE)</f>
        <v>15</v>
      </c>
      <c r="H16" s="12">
        <f ca="1">$C16*VLOOKUP($B16,[1]Distributions!$A:$S,H$72,FALSE)</f>
        <v>69.129517960392477</v>
      </c>
      <c r="I16" s="12">
        <f ca="1">$C16*VLOOKUP($B16,[1]Distributions!$A:$S,I$72,FALSE)</f>
        <v>101.89829584499057</v>
      </c>
      <c r="J16" s="12">
        <f ca="1">$C16*VLOOKUP($B16,[1]Distributions!$A:$S,J$72,FALSE)</f>
        <v>140.68518582185615</v>
      </c>
      <c r="K16" s="12">
        <f ca="1">$C16*VLOOKUP($B16,[1]Distributions!$A:$S,K$72,FALSE)</f>
        <v>203.79659168998114</v>
      </c>
      <c r="L16" s="12">
        <f ca="1">$C16*VLOOKUP($B16,[1]Distributions!$A:$S,L$72,FALSE)</f>
        <v>243.65476863615089</v>
      </c>
      <c r="M16" s="12">
        <f ca="1">$C16*VLOOKUP($B16,[1]Distributions!$A:$S,M$72,FALSE)</f>
        <v>317.16395979458093</v>
      </c>
      <c r="N16" s="12">
        <f ca="1">$C16*VLOOKUP($B16,[1]Distributions!$A:$S,N$72,FALSE)</f>
        <v>355.82481601035198</v>
      </c>
      <c r="O16" s="12">
        <f ca="1">$C16*VLOOKUP($B16,[1]Distributions!$A:$S,O$72,FALSE)</f>
        <v>348.86145070987487</v>
      </c>
      <c r="P16" s="12">
        <f ca="1">$C16*VLOOKUP($B16,[1]Distributions!$A:$S,P$72,FALSE)</f>
        <v>342.37071201350255</v>
      </c>
      <c r="Q16" s="12">
        <f ca="1">$C16*VLOOKUP($B16,[1]Distributions!$A:$S,Q$72,FALSE)</f>
        <v>353.05207326627061</v>
      </c>
      <c r="R16" s="12">
        <f ca="1">$C16*VLOOKUP($B16,[1]Distributions!$A:$S,R$72,FALSE)</f>
        <v>349.71217859726346</v>
      </c>
      <c r="S16" s="12">
        <f ca="1">$C16*VLOOKUP($B16,[1]Distributions!$A:$S,S$72,FALSE)</f>
        <v>333.86343313961657</v>
      </c>
      <c r="T16" s="12">
        <f ca="1">$C16*VLOOKUP($B16,[1]Distributions!$A:$S,T$72,FALSE)</f>
        <v>326.49045811558199</v>
      </c>
      <c r="U16" s="12">
        <f ca="1">$C16*VLOOKUP($B16,[1]Distributions!$A:$S,U$72,FALSE)</f>
        <v>316.31323190719246</v>
      </c>
    </row>
    <row r="17" spans="1:21" x14ac:dyDescent="0.25">
      <c r="A17" s="14">
        <v>56</v>
      </c>
      <c r="B17" s="14">
        <v>15</v>
      </c>
      <c r="C17" s="18">
        <f ca="1">SUM(VLOOKUP(A17,Compositions!A:J,5,FALSE),VLOOKUP(A17,Compositions!A:J,7,FALSE),VLOOKUP(A17,Compositions!A:J,9,FALSE))</f>
        <v>630.01098999999988</v>
      </c>
      <c r="E17">
        <f>VLOOKUP(A17,Compositions!A:C,3,FALSE)</f>
        <v>43</v>
      </c>
      <c r="F17" t="s">
        <v>22</v>
      </c>
      <c r="G17">
        <f>VLOOKUP(A17,Compositions!A:B,2,FALSE)</f>
        <v>16</v>
      </c>
      <c r="H17" s="12">
        <f ca="1">$C17*VLOOKUP($B17,[1]Distributions!$A:$S,H$72,FALSE)</f>
        <v>124.42561095148078</v>
      </c>
      <c r="I17" s="12">
        <f ca="1">$C17*VLOOKUP($B17,[1]Distributions!$A:$S,I$72,FALSE)</f>
        <v>183.40584586011343</v>
      </c>
      <c r="J17" s="12">
        <f ca="1">$C17*VLOOKUP($B17,[1]Distributions!$A:$S,J$72,FALSE)</f>
        <v>253.21802775677372</v>
      </c>
      <c r="K17" s="12">
        <f ca="1">$C17*VLOOKUP($B17,[1]Distributions!$A:$S,K$72,FALSE)</f>
        <v>366.81169172022686</v>
      </c>
      <c r="L17" s="12">
        <f ca="1">$C17*VLOOKUP($B17,[1]Distributions!$A:$S,L$72,FALSE)</f>
        <v>438.55207360428477</v>
      </c>
      <c r="M17" s="12">
        <f ca="1">$C17*VLOOKUP($B17,[1]Distributions!$A:$S,M$72,FALSE)</f>
        <v>570.86061979836154</v>
      </c>
      <c r="N17" s="12">
        <f ca="1">$C17*VLOOKUP($B17,[1]Distributions!$A:$S,N$72,FALSE)</f>
        <v>640.4459546376811</v>
      </c>
      <c r="O17" s="12">
        <f ca="1">$C17*VLOOKUP($B17,[1]Distributions!$A:$S,O$72,FALSE)</f>
        <v>627.91265471959662</v>
      </c>
      <c r="P17" s="12">
        <f ca="1">$C17*VLOOKUP($B17,[1]Distributions!$A:$S,P$72,FALSE)</f>
        <v>616.23003126654055</v>
      </c>
      <c r="Q17" s="12">
        <f ca="1">$C17*VLOOKUP($B17,[1]Distributions!$A:$S,Q$72,FALSE)</f>
        <v>635.45531937618136</v>
      </c>
      <c r="R17" s="12">
        <f ca="1">$C17*VLOOKUP($B17,[1]Distributions!$A:$S,R$72,FALSE)</f>
        <v>629.4438723566476</v>
      </c>
      <c r="S17" s="12">
        <f ca="1">$C17*VLOOKUP($B17,[1]Distributions!$A:$S,S$72,FALSE)</f>
        <v>600.91785489603024</v>
      </c>
      <c r="T17" s="12">
        <f ca="1">$C17*VLOOKUP($B17,[1]Distributions!$A:$S,T$72,FALSE)</f>
        <v>587.64730204158775</v>
      </c>
      <c r="U17" s="12">
        <f ca="1">$C17*VLOOKUP($B17,[1]Distributions!$A:$S,U$72,FALSE)</f>
        <v>569.32940216131067</v>
      </c>
    </row>
    <row r="18" spans="1:21" x14ac:dyDescent="0.25">
      <c r="A18" s="14">
        <v>20057</v>
      </c>
      <c r="B18" s="14">
        <v>15</v>
      </c>
      <c r="C18" s="18">
        <f ca="1">SUM(VLOOKUP(A18,Compositions!A:J,5,FALSE),VLOOKUP(A18,Compositions!A:J,7,FALSE),VLOOKUP(A18,Compositions!A:J,9,FALSE))</f>
        <v>534.99715100000003</v>
      </c>
      <c r="E18">
        <f>VLOOKUP(A18,Compositions!A:C,3,FALSE)</f>
        <v>42</v>
      </c>
      <c r="F18" t="s">
        <v>23</v>
      </c>
      <c r="G18">
        <f>VLOOKUP(A18,Compositions!A:B,2,FALSE)</f>
        <v>17</v>
      </c>
      <c r="H18" s="12">
        <f ca="1">$C18*VLOOKUP($B18,[1]Distributions!$A:$S,H$72,FALSE)</f>
        <v>105.66061295292107</v>
      </c>
      <c r="I18" s="12">
        <f ca="1">$C18*VLOOKUP($B18,[1]Distributions!$A:$S,I$72,FALSE)</f>
        <v>155.745862483932</v>
      </c>
      <c r="J18" s="12">
        <f ca="1">$C18*VLOOKUP($B18,[1]Distributions!$A:$S,J$72,FALSE)</f>
        <v>215.02946072688812</v>
      </c>
      <c r="K18" s="12">
        <f ca="1">$C18*VLOOKUP($B18,[1]Distributions!$A:$S,K$72,FALSE)</f>
        <v>311.491724967864</v>
      </c>
      <c r="L18" s="12">
        <f ca="1">$C18*VLOOKUP($B18,[1]Distributions!$A:$S,L$72,FALSE)</f>
        <v>372.4127255993339</v>
      </c>
      <c r="M18" s="12">
        <f ca="1">$C18*VLOOKUP($B18,[1]Distributions!$A:$S,M$72,FALSE)</f>
        <v>484.76742478764965</v>
      </c>
      <c r="N18" s="12">
        <f ca="1">$C18*VLOOKUP($B18,[1]Distributions!$A:$S,N$72,FALSE)</f>
        <v>543.85838745548665</v>
      </c>
      <c r="O18" s="12">
        <f ca="1">$C18*VLOOKUP($B18,[1]Distributions!$A:$S,O$72,FALSE)</f>
        <v>533.21527193014674</v>
      </c>
      <c r="P18" s="12">
        <f ca="1">$C18*VLOOKUP($B18,[1]Distributions!$A:$S,P$72,FALSE)</f>
        <v>523.29453981150425</v>
      </c>
      <c r="Q18" s="12">
        <f ca="1">$C18*VLOOKUP($B18,[1]Distributions!$A:$S,Q$72,FALSE)</f>
        <v>539.62040480286259</v>
      </c>
      <c r="R18" s="12">
        <f ca="1">$C18*VLOOKUP($B18,[1]Distributions!$A:$S,R$72,FALSE)</f>
        <v>534.51556206220187</v>
      </c>
      <c r="S18" s="12">
        <f ca="1">$C18*VLOOKUP($B18,[1]Distributions!$A:$S,S$72,FALSE)</f>
        <v>510.2916384909534</v>
      </c>
      <c r="T18" s="12">
        <f ca="1">$C18*VLOOKUP($B18,[1]Distributions!$A:$S,T$72,FALSE)</f>
        <v>499.02245734647585</v>
      </c>
      <c r="U18" s="12">
        <f ca="1">$C18*VLOOKUP($B18,[1]Distributions!$A:$S,U$72,FALSE)</f>
        <v>483.46713465559469</v>
      </c>
    </row>
    <row r="19" spans="1:21" x14ac:dyDescent="0.25">
      <c r="A19" s="14">
        <v>135</v>
      </c>
      <c r="B19" s="14">
        <v>15</v>
      </c>
      <c r="C19" s="18">
        <f ca="1">SUM(VLOOKUP(A19,Compositions!A:J,5,FALSE),VLOOKUP(A19,Compositions!A:J,7,FALSE),VLOOKUP(A19,Compositions!A:J,9,FALSE))</f>
        <v>544.9973</v>
      </c>
      <c r="E19">
        <f>VLOOKUP(A19,Compositions!A:C,3,FALSE)</f>
        <v>49</v>
      </c>
      <c r="F19" t="s">
        <v>24</v>
      </c>
      <c r="G19">
        <f>VLOOKUP(A19,Compositions!A:B,2,FALSE)</f>
        <v>18</v>
      </c>
      <c r="H19" s="12">
        <f ca="1">$C19*VLOOKUP($B19,[1]Distributions!$A:$S,H$72,FALSE)</f>
        <v>107.63561762534883</v>
      </c>
      <c r="I19" s="12">
        <f ca="1">$C19*VLOOKUP($B19,[1]Distributions!$A:$S,I$72,FALSE)</f>
        <v>158.65705897920608</v>
      </c>
      <c r="J19" s="12">
        <f ca="1">$C19*VLOOKUP($B19,[1]Distributions!$A:$S,J$72,FALSE)</f>
        <v>219.04878427401204</v>
      </c>
      <c r="K19" s="12">
        <f ca="1">$C19*VLOOKUP($B19,[1]Distributions!$A:$S,K$72,FALSE)</f>
        <v>317.31411795841217</v>
      </c>
      <c r="L19" s="12">
        <f ca="1">$C19*VLOOKUP($B19,[1]Distributions!$A:$S,L$72,FALSE)</f>
        <v>379.37385191286347</v>
      </c>
      <c r="M19" s="12">
        <f ca="1">$C19*VLOOKUP($B19,[1]Distributions!$A:$S,M$72,FALSE)</f>
        <v>493.82868141146815</v>
      </c>
      <c r="N19" s="12">
        <f ca="1">$C19*VLOOKUP($B19,[1]Distributions!$A:$S,N$72,FALSE)</f>
        <v>554.02417039337479</v>
      </c>
      <c r="O19" s="12">
        <f ca="1">$C19*VLOOKUP($B19,[1]Distributions!$A:$S,O$72,FALSE)</f>
        <v>543.18211410568006</v>
      </c>
      <c r="P19" s="12">
        <f ca="1">$C19*VLOOKUP($B19,[1]Distributions!$A:$S,P$72,FALSE)</f>
        <v>533.07594399135837</v>
      </c>
      <c r="Q19" s="12">
        <f ca="1">$C19*VLOOKUP($B19,[1]Distributions!$A:$S,Q$72,FALSE)</f>
        <v>549.70697150958677</v>
      </c>
      <c r="R19" s="12">
        <f ca="1">$C19*VLOOKUP($B19,[1]Distributions!$A:$S,R$72,FALSE)</f>
        <v>544.50670921775134</v>
      </c>
      <c r="S19" s="12">
        <f ca="1">$C19*VLOOKUP($B19,[1]Distributions!$A:$S,S$72,FALSE)</f>
        <v>519.82999287064547</v>
      </c>
      <c r="T19" s="12">
        <f ca="1">$C19*VLOOKUP($B19,[1]Distributions!$A:$S,T$72,FALSE)</f>
        <v>508.35016856602755</v>
      </c>
      <c r="U19" s="12">
        <f ca="1">$C19*VLOOKUP($B19,[1]Distributions!$A:$S,U$72,FALSE)</f>
        <v>492.50408629939699</v>
      </c>
    </row>
    <row r="20" spans="1:21" x14ac:dyDescent="0.25">
      <c r="A20" s="14">
        <v>288</v>
      </c>
      <c r="B20" s="14">
        <v>15</v>
      </c>
      <c r="C20" s="18">
        <f ca="1">SUM(VLOOKUP(A20,Compositions!A:J,5,FALSE),VLOOKUP(A20,Compositions!A:J,7,FALSE),VLOOKUP(A20,Compositions!A:J,9,FALSE))</f>
        <v>435.01949099999996</v>
      </c>
      <c r="E20">
        <f>VLOOKUP(A20,Compositions!A:C,3,FALSE)</f>
        <v>41</v>
      </c>
      <c r="F20" t="s">
        <v>25</v>
      </c>
      <c r="G20">
        <f>VLOOKUP(A20,Compositions!A:B,2,FALSE)</f>
        <v>19</v>
      </c>
      <c r="H20" s="12">
        <f ca="1">$C20*VLOOKUP($B20,[1]Distributions!$A:$S,H$72,FALSE)</f>
        <v>85.91527259465299</v>
      </c>
      <c r="I20" s="12">
        <f ca="1">$C20*VLOOKUP($B20,[1]Distributions!$A:$S,I$72,FALSE)</f>
        <v>126.64083480907374</v>
      </c>
      <c r="J20" s="12">
        <f ca="1">$C20*VLOOKUP($B20,[1]Distributions!$A:$S,J$72,FALSE)</f>
        <v>174.84580316095057</v>
      </c>
      <c r="K20" s="12">
        <f ca="1">$C20*VLOOKUP($B20,[1]Distributions!$A:$S,K$72,FALSE)</f>
        <v>253.28166961814748</v>
      </c>
      <c r="L20" s="12">
        <f ca="1">$C20*VLOOKUP($B20,[1]Distributions!$A:$S,L$72,FALSE)</f>
        <v>302.81805058088037</v>
      </c>
      <c r="M20" s="12">
        <f ca="1">$C20*VLOOKUP($B20,[1]Distributions!$A:$S,M$72,FALSE)</f>
        <v>394.17645120226837</v>
      </c>
      <c r="N20" s="12">
        <f ca="1">$C20*VLOOKUP($B20,[1]Distributions!$A:$S,N$72,FALSE)</f>
        <v>442.22478277639755</v>
      </c>
      <c r="O20" s="12">
        <f ca="1">$C20*VLOOKUP($B20,[1]Distributions!$A:$S,O$72,FALSE)</f>
        <v>433.57060080583307</v>
      </c>
      <c r="P20" s="12">
        <f ca="1">$C20*VLOOKUP($B20,[1]Distributions!$A:$S,P$72,FALSE)</f>
        <v>425.50380675182282</v>
      </c>
      <c r="Q20" s="12">
        <f ca="1">$C20*VLOOKUP($B20,[1]Distributions!$A:$S,Q$72,FALSE)</f>
        <v>438.77877366594646</v>
      </c>
      <c r="R20" s="12">
        <f ca="1">$C20*VLOOKUP($B20,[1]Distributions!$A:$S,R$72,FALSE)</f>
        <v>434.62789905563051</v>
      </c>
      <c r="S20" s="12">
        <f ca="1">$C20*VLOOKUP($B20,[1]Distributions!$A:$S,S$72,FALSE)</f>
        <v>414.93082425384824</v>
      </c>
      <c r="T20" s="12">
        <f ca="1">$C20*VLOOKUP($B20,[1]Distributions!$A:$S,T$72,FALSE)</f>
        <v>405.76757275560351</v>
      </c>
      <c r="U20" s="12">
        <f ca="1">$C20*VLOOKUP($B20,[1]Distributions!$A:$S,U$72,FALSE)</f>
        <v>393.11915295247104</v>
      </c>
    </row>
    <row r="21" spans="1:21" x14ac:dyDescent="0.25">
      <c r="A21" s="14">
        <v>48</v>
      </c>
      <c r="B21" s="14">
        <v>15</v>
      </c>
      <c r="C21" s="18">
        <f ca="1">SUM(VLOOKUP(A21,Compositions!A:J,5,FALSE),VLOOKUP(A21,Compositions!A:J,7,FALSE),VLOOKUP(A21,Compositions!A:J,9,FALSE))</f>
        <v>564.972172</v>
      </c>
      <c r="E21">
        <f>VLOOKUP(A21,Compositions!A:C,3,FALSE)</f>
        <v>16</v>
      </c>
      <c r="F21" t="s">
        <v>26</v>
      </c>
      <c r="G21">
        <f>VLOOKUP(A21,Compositions!A:B,2,FALSE)</f>
        <v>20</v>
      </c>
      <c r="H21" s="12">
        <f ca="1">$C21*VLOOKUP($B21,[1]Distributions!$A:$S,H$72,FALSE)</f>
        <v>111.58060539814566</v>
      </c>
      <c r="I21" s="12">
        <f ca="1">$C21*VLOOKUP($B21,[1]Distributions!$A:$S,I$72,FALSE)</f>
        <v>164.47205007183368</v>
      </c>
      <c r="J21" s="12">
        <f ca="1">$C21*VLOOKUP($B21,[1]Distributions!$A:$S,J$72,FALSE)</f>
        <v>227.07721198847779</v>
      </c>
      <c r="K21" s="12">
        <f ca="1">$C21*VLOOKUP($B21,[1]Distributions!$A:$S,K$72,FALSE)</f>
        <v>328.94410014366736</v>
      </c>
      <c r="L21" s="12">
        <f ca="1">$C21*VLOOKUP($B21,[1]Distributions!$A:$S,L$72,FALSE)</f>
        <v>393.27840544387436</v>
      </c>
      <c r="M21" s="12">
        <f ca="1">$C21*VLOOKUP($B21,[1]Distributions!$A:$S,M$72,FALSE)</f>
        <v>511.92815585129171</v>
      </c>
      <c r="N21" s="12">
        <f ca="1">$C21*VLOOKUP($B21,[1]Distributions!$A:$S,N$72,FALSE)</f>
        <v>574.32988913457564</v>
      </c>
      <c r="O21" s="12">
        <f ca="1">$C21*VLOOKUP($B21,[1]Distributions!$A:$S,O$72,FALSE)</f>
        <v>563.09045714141689</v>
      </c>
      <c r="P21" s="12">
        <f ca="1">$C21*VLOOKUP($B21,[1]Distributions!$A:$S,P$72,FALSE)</f>
        <v>552.61388252335939</v>
      </c>
      <c r="Q21" s="12">
        <f ca="1">$C21*VLOOKUP($B21,[1]Distributions!$A:$S,Q$72,FALSE)</f>
        <v>569.85445920064808</v>
      </c>
      <c r="R21" s="12">
        <f ca="1">$C21*VLOOKUP($B21,[1]Distributions!$A:$S,R$72,FALSE)</f>
        <v>564.46360041659921</v>
      </c>
      <c r="S21" s="12">
        <f ca="1">$C21*VLOOKUP($B21,[1]Distributions!$A:$S,S$72,FALSE)</f>
        <v>538.8824497715367</v>
      </c>
      <c r="T21" s="12">
        <f ca="1">$C21*VLOOKUP($B21,[1]Distributions!$A:$S,T$72,FALSE)</f>
        <v>526.98187471995675</v>
      </c>
      <c r="U21" s="12">
        <f ca="1">$C21*VLOOKUP($B21,[1]Distributions!$A:$S,U$72,FALSE)</f>
        <v>510.55501257610956</v>
      </c>
    </row>
    <row r="22" spans="1:21" x14ac:dyDescent="0.25">
      <c r="A22" s="14">
        <v>29</v>
      </c>
      <c r="B22" s="14">
        <v>14</v>
      </c>
      <c r="C22" s="18">
        <f ca="1">SUM(VLOOKUP(A22,Compositions!A:J,5,FALSE),VLOOKUP(A22,Compositions!A:J,7,FALSE),VLOOKUP(A22,Compositions!A:J,9,FALSE))</f>
        <v>1899.980558</v>
      </c>
      <c r="E22">
        <f>VLOOKUP(A22,Compositions!A:C,3,FALSE)</f>
        <v>22</v>
      </c>
      <c r="F22" t="s">
        <v>29</v>
      </c>
      <c r="G22">
        <f>VLOOKUP(A22,Compositions!A:B,2,FALSE)</f>
        <v>21</v>
      </c>
      <c r="H22" s="12">
        <f ca="1">$C22*VLOOKUP($B22,[1]Distributions!$A:$S,H$72,FALSE)</f>
        <v>931.05407350259873</v>
      </c>
      <c r="I22" s="12">
        <f ca="1">$C22*VLOOKUP($B22,[1]Distributions!$A:$S,I$72,FALSE)</f>
        <v>1148.6366676398254</v>
      </c>
      <c r="J22" s="12">
        <f ca="1">$C22*VLOOKUP($B22,[1]Distributions!$A:$S,J$72,FALSE)</f>
        <v>1504.9249695554843</v>
      </c>
      <c r="K22" s="12">
        <f ca="1">$C22*VLOOKUP($B22,[1]Distributions!$A:$S,K$72,FALSE)</f>
        <v>1555.0379994625307</v>
      </c>
      <c r="L22" s="12">
        <f ca="1">$C22*VLOOKUP($B22,[1]Distributions!$A:$S,L$72,FALSE)</f>
        <v>1718.6723828324782</v>
      </c>
      <c r="M22" s="12">
        <f ca="1">$C22*VLOOKUP($B22,[1]Distributions!$A:$S,M$72,FALSE)</f>
        <v>1848.1736565463502</v>
      </c>
      <c r="N22" s="12">
        <f ca="1">$C22*VLOOKUP($B22,[1]Distributions!$A:$S,N$72,FALSE)</f>
        <v>1856.3553757148491</v>
      </c>
      <c r="O22" s="12">
        <f ca="1">$C22*VLOOKUP($B22,[1]Distributions!$A:$S,O$72,FALSE)</f>
        <v>1874.2528863959369</v>
      </c>
      <c r="P22" s="12">
        <f ca="1">$C22*VLOOKUP($B22,[1]Distributions!$A:$S,P$72,FALSE)</f>
        <v>2008.7398952281126</v>
      </c>
      <c r="Q22" s="12">
        <f ca="1">$C22*VLOOKUP($B22,[1]Distributions!$A:$S,Q$72,FALSE)</f>
        <v>1860.5740746611054</v>
      </c>
      <c r="R22" s="12">
        <f ca="1">$C22*VLOOKUP($B22,[1]Distributions!$A:$S,R$72,FALSE)</f>
        <v>1724.1694753988122</v>
      </c>
      <c r="S22" s="12">
        <f ca="1">$C22*VLOOKUP($B22,[1]Distributions!$A:$S,S$72,FALSE)</f>
        <v>1805.2196309117392</v>
      </c>
      <c r="T22" s="12">
        <f ca="1">$C22*VLOOKUP($B22,[1]Distributions!$A:$S,T$72,FALSE)</f>
        <v>1822.6057841447964</v>
      </c>
      <c r="U22" s="12">
        <f ca="1">$C22*VLOOKUP($B22,[1]Distributions!$A:$S,U$72,FALSE)</f>
        <v>1799.4668596213894</v>
      </c>
    </row>
    <row r="23" spans="1:21" x14ac:dyDescent="0.25">
      <c r="A23" s="14">
        <v>23</v>
      </c>
      <c r="B23" s="14">
        <v>14</v>
      </c>
      <c r="C23" s="18">
        <f ca="1">SUM(VLOOKUP(A23,Compositions!A:J,5,FALSE),VLOOKUP(A23,Compositions!A:J,7,FALSE),VLOOKUP(A23,Compositions!A:J,9,FALSE))</f>
        <v>274.999348</v>
      </c>
      <c r="E23">
        <f>VLOOKUP(A23,Compositions!A:C,3,FALSE)</f>
        <v>51</v>
      </c>
      <c r="F23" t="s">
        <v>28</v>
      </c>
      <c r="G23">
        <f>VLOOKUP(A23,Compositions!A:B,2,FALSE)</f>
        <v>22</v>
      </c>
      <c r="H23" s="12">
        <f ca="1">$C23*VLOOKUP($B23,[1]Distributions!$A:$S,H$72,FALSE)</f>
        <v>134.75888586748303</v>
      </c>
      <c r="I23" s="12">
        <f ca="1">$C23*VLOOKUP($B23,[1]Distributions!$A:$S,I$72,FALSE)</f>
        <v>166.25135102558491</v>
      </c>
      <c r="J23" s="12">
        <f ca="1">$C23*VLOOKUP($B23,[1]Distributions!$A:$S,J$72,FALSE)</f>
        <v>217.81980014170125</v>
      </c>
      <c r="K23" s="12">
        <f ca="1">$C23*VLOOKUP($B23,[1]Distributions!$A:$S,K$72,FALSE)</f>
        <v>225.07305886201615</v>
      </c>
      <c r="L23" s="12">
        <f ca="1">$C23*VLOOKUP($B23,[1]Distributions!$A:$S,L$72,FALSE)</f>
        <v>248.75716896916683</v>
      </c>
      <c r="M23" s="12">
        <f ca="1">$C23*VLOOKUP($B23,[1]Distributions!$A:$S,M$72,FALSE)</f>
        <v>267.50092173365402</v>
      </c>
      <c r="N23" s="12">
        <f ca="1">$C23*VLOOKUP($B23,[1]Distributions!$A:$S,N$72,FALSE)</f>
        <v>268.68512723901171</v>
      </c>
      <c r="O23" s="12">
        <f ca="1">$C23*VLOOKUP($B23,[1]Distributions!$A:$S,O$72,FALSE)</f>
        <v>271.27557678198133</v>
      </c>
      <c r="P23" s="12">
        <f ca="1">$C23*VLOOKUP($B23,[1]Distributions!$A:$S,P$72,FALSE)</f>
        <v>290.74095477629578</v>
      </c>
      <c r="Q23" s="12">
        <f ca="1">$C23*VLOOKUP($B23,[1]Distributions!$A:$S,Q$72,FALSE)</f>
        <v>269.29573320271169</v>
      </c>
      <c r="R23" s="12">
        <f ca="1">$C23*VLOOKUP($B23,[1]Distributions!$A:$S,R$72,FALSE)</f>
        <v>249.5528070430789</v>
      </c>
      <c r="S23" s="12">
        <f ca="1">$C23*VLOOKUP($B23,[1]Distributions!$A:$S,S$72,FALSE)</f>
        <v>261.28384283052696</v>
      </c>
      <c r="T23" s="12">
        <f ca="1">$C23*VLOOKUP($B23,[1]Distributions!$A:$S,T$72,FALSE)</f>
        <v>263.8002795294118</v>
      </c>
      <c r="U23" s="12">
        <f ca="1">$C23*VLOOKUP($B23,[1]Distributions!$A:$S,U$72,FALSE)</f>
        <v>260.45119833457244</v>
      </c>
    </row>
    <row r="24" spans="1:21" x14ac:dyDescent="0.25">
      <c r="A24" s="14">
        <v>91</v>
      </c>
      <c r="B24" s="14">
        <v>14</v>
      </c>
      <c r="C24" s="18">
        <f ca="1">SUM(VLOOKUP(A24,Compositions!A:J,5,FALSE),VLOOKUP(A24,Compositions!A:J,7,FALSE),VLOOKUP(A24,Compositions!A:J,9,FALSE))</f>
        <v>679.99785300000019</v>
      </c>
      <c r="E24">
        <f>VLOOKUP(A24,Compositions!A:C,3,FALSE)</f>
        <v>27</v>
      </c>
      <c r="F24" t="s">
        <v>30</v>
      </c>
      <c r="G24">
        <f>VLOOKUP(A24,Compositions!A:B,2,FALSE)</f>
        <v>23</v>
      </c>
      <c r="H24" s="12">
        <f ca="1">$C24*VLOOKUP($B24,[1]Distributions!$A:$S,H$72,FALSE)</f>
        <v>333.221710265875</v>
      </c>
      <c r="I24" s="12">
        <f ca="1">$C24*VLOOKUP($B24,[1]Distributions!$A:$S,I$72,FALSE)</f>
        <v>411.09392650540804</v>
      </c>
      <c r="J24" s="12">
        <f ca="1">$C24*VLOOKUP($B24,[1]Distributions!$A:$S,J$72,FALSE)</f>
        <v>538.60853676367992</v>
      </c>
      <c r="K24" s="12">
        <f ca="1">$C24*VLOOKUP($B24,[1]Distributions!$A:$S,K$72,FALSE)</f>
        <v>556.54385331238552</v>
      </c>
      <c r="L24" s="12">
        <f ca="1">$C24*VLOOKUP($B24,[1]Distributions!$A:$S,L$72,FALSE)</f>
        <v>615.10815224693454</v>
      </c>
      <c r="M24" s="12">
        <f ca="1">$C24*VLOOKUP($B24,[1]Distributions!$A:$S,M$72,FALSE)</f>
        <v>661.45630445060476</v>
      </c>
      <c r="N24" s="12">
        <f ca="1">$C24*VLOOKUP($B24,[1]Distributions!$A:$S,N$72,FALSE)</f>
        <v>664.38451939733272</v>
      </c>
      <c r="O24" s="12">
        <f ca="1">$C24*VLOOKUP($B24,[1]Distributions!$A:$S,O$72,FALSE)</f>
        <v>670.78998959329897</v>
      </c>
      <c r="P24" s="12">
        <f ca="1">$C24*VLOOKUP($B24,[1]Distributions!$A:$S,P$72,FALSE)</f>
        <v>718.92252278013143</v>
      </c>
      <c r="Q24" s="12">
        <f ca="1">$C24*VLOOKUP($B24,[1]Distributions!$A:$S,Q$72,FALSE)</f>
        <v>665.894380229239</v>
      </c>
      <c r="R24" s="12">
        <f ca="1">$C24*VLOOKUP($B24,[1]Distributions!$A:$S,R$72,FALSE)</f>
        <v>617.07554666426688</v>
      </c>
      <c r="S24" s="12">
        <f ca="1">$C24*VLOOKUP($B24,[1]Distributions!$A:$S,S$72,FALSE)</f>
        <v>646.08317598028566</v>
      </c>
      <c r="T24" s="12">
        <f ca="1">$C24*VLOOKUP($B24,[1]Distributions!$A:$S,T$72,FALSE)</f>
        <v>652.30563274208168</v>
      </c>
      <c r="U24" s="12">
        <f ca="1">$C24*VLOOKUP($B24,[1]Distributions!$A:$S,U$72,FALSE)</f>
        <v>644.02427484586792</v>
      </c>
    </row>
    <row r="25" spans="1:21" x14ac:dyDescent="0.25">
      <c r="A25" s="14">
        <v>92</v>
      </c>
      <c r="B25" s="14">
        <v>14</v>
      </c>
      <c r="C25" s="18">
        <f ca="1">SUM(VLOOKUP(A25,Compositions!A:J,5,FALSE),VLOOKUP(A25,Compositions!A:J,7,FALSE),VLOOKUP(A25,Compositions!A:J,9,FALSE))</f>
        <v>935.01387899999997</v>
      </c>
      <c r="E25">
        <f>VLOOKUP(A25,Compositions!A:C,3,FALSE)</f>
        <v>21</v>
      </c>
      <c r="F25" t="s">
        <v>31</v>
      </c>
      <c r="G25">
        <f>VLOOKUP(A25,Compositions!A:B,2,FALSE)</f>
        <v>24</v>
      </c>
      <c r="H25" s="12">
        <f ca="1">$C25*VLOOKUP($B25,[1]Distributions!$A:$S,H$72,FALSE)</f>
        <v>458.18809943023422</v>
      </c>
      <c r="I25" s="12">
        <f ca="1">$C25*VLOOKUP($B25,[1]Distributions!$A:$S,I$72,FALSE)</f>
        <v>565.26432423186247</v>
      </c>
      <c r="J25" s="12">
        <f ca="1">$C25*VLOOKUP($B25,[1]Distributions!$A:$S,J$72,FALSE)</f>
        <v>740.60006954451705</v>
      </c>
      <c r="K25" s="12">
        <f ca="1">$C25*VLOOKUP($B25,[1]Distributions!$A:$S,K$72,FALSE)</f>
        <v>765.26157372914588</v>
      </c>
      <c r="L25" s="12">
        <f ca="1">$C25*VLOOKUP($B25,[1]Distributions!$A:$S,L$72,FALSE)</f>
        <v>845.78893433201563</v>
      </c>
      <c r="M25" s="12">
        <f ca="1">$C25*VLOOKUP($B25,[1]Distributions!$A:$S,M$72,FALSE)</f>
        <v>909.51879080913034</v>
      </c>
      <c r="N25" s="12">
        <f ca="1">$C25*VLOOKUP($B25,[1]Distributions!$A:$S,N$72,FALSE)</f>
        <v>913.54515883927445</v>
      </c>
      <c r="O25" s="12">
        <f ca="1">$C25*VLOOKUP($B25,[1]Distributions!$A:$S,O$72,FALSE)</f>
        <v>922.35283890521328</v>
      </c>
      <c r="P25" s="12">
        <f ca="1">$C25*VLOOKUP($B25,[1]Distributions!$A:$S,P$72,FALSE)</f>
        <v>988.53626340069695</v>
      </c>
      <c r="Q25" s="12">
        <f ca="1">$C25*VLOOKUP($B25,[1]Distributions!$A:$S,Q$72,FALSE)</f>
        <v>915.62125485481715</v>
      </c>
      <c r="R25" s="12">
        <f ca="1">$C25*VLOOKUP($B25,[1]Distributions!$A:$S,R$72,FALSE)</f>
        <v>848.49415035226821</v>
      </c>
      <c r="S25" s="12">
        <f ca="1">$C25*VLOOKUP($B25,[1]Distributions!$A:$S,S$72,FALSE)</f>
        <v>888.38035865087704</v>
      </c>
      <c r="T25" s="12">
        <f ca="1">$C25*VLOOKUP($B25,[1]Distributions!$A:$S,T$72,FALSE)</f>
        <v>896.93639071493214</v>
      </c>
      <c r="U25" s="12">
        <f ca="1">$C25*VLOOKUP($B25,[1]Distributions!$A:$S,U$72,FALSE)</f>
        <v>885.54931862968238</v>
      </c>
    </row>
    <row r="26" spans="1:21" x14ac:dyDescent="0.25">
      <c r="A26" s="14">
        <v>26</v>
      </c>
      <c r="B26" s="14">
        <v>14</v>
      </c>
      <c r="C26" s="18">
        <f ca="1">SUM(VLOOKUP(A26,Compositions!A:J,5,FALSE),VLOOKUP(A26,Compositions!A:J,7,FALSE),VLOOKUP(A26,Compositions!A:J,9,FALSE))</f>
        <v>995.02799699999991</v>
      </c>
      <c r="E26">
        <f>VLOOKUP(A26,Compositions!A:C,3,FALSE)</f>
        <v>39</v>
      </c>
      <c r="F26" t="s">
        <v>32</v>
      </c>
      <c r="G26">
        <f>VLOOKUP(A26,Compositions!A:B,2,FALSE)</f>
        <v>25</v>
      </c>
      <c r="H26" s="12">
        <f ca="1">$C26*VLOOKUP($B26,[1]Distributions!$A:$S,H$72,FALSE)</f>
        <v>487.59702616703379</v>
      </c>
      <c r="I26" s="12">
        <f ca="1">$C26*VLOOKUP($B26,[1]Distributions!$A:$S,I$72,FALSE)</f>
        <v>601.5459673363722</v>
      </c>
      <c r="J26" s="12">
        <f ca="1">$C26*VLOOKUP($B26,[1]Distributions!$A:$S,J$72,FALSE)</f>
        <v>788.13568475055911</v>
      </c>
      <c r="K26" s="12">
        <f ca="1">$C26*VLOOKUP($B26,[1]Distributions!$A:$S,K$72,FALSE)</f>
        <v>814.38009423256892</v>
      </c>
      <c r="L26" s="12">
        <f ca="1">$C26*VLOOKUP($B26,[1]Distributions!$A:$S,L$72,FALSE)</f>
        <v>900.07612519423355</v>
      </c>
      <c r="M26" s="12">
        <f ca="1">$C26*VLOOKUP($B26,[1]Distributions!$A:$S,M$72,FALSE)</f>
        <v>967.89649969748837</v>
      </c>
      <c r="N26" s="12">
        <f ca="1">$C26*VLOOKUP($B26,[1]Distributions!$A:$S,N$72,FALSE)</f>
        <v>972.18130124557229</v>
      </c>
      <c r="O26" s="12">
        <f ca="1">$C26*VLOOKUP($B26,[1]Distributions!$A:$S,O$72,FALSE)</f>
        <v>981.55430463200423</v>
      </c>
      <c r="P26" s="12">
        <f ca="1">$C26*VLOOKUP($B26,[1]Distributions!$A:$S,P$72,FALSE)</f>
        <v>1051.9857300786225</v>
      </c>
      <c r="Q26" s="12">
        <f ca="1">$C26*VLOOKUP($B26,[1]Distributions!$A:$S,Q$72,FALSE)</f>
        <v>974.39065204380267</v>
      </c>
      <c r="R26" s="12">
        <f ca="1">$C26*VLOOKUP($B26,[1]Distributions!$A:$S,R$72,FALSE)</f>
        <v>902.95497623435188</v>
      </c>
      <c r="S26" s="12">
        <f ca="1">$C26*VLOOKUP($B26,[1]Distributions!$A:$S,S$72,FALSE)</f>
        <v>945.4012915700514</v>
      </c>
      <c r="T26" s="12">
        <f ca="1">$C26*VLOOKUP($B26,[1]Distributions!$A:$S,T$72,FALSE)</f>
        <v>954.50649485972849</v>
      </c>
      <c r="U26" s="12">
        <f ca="1">$C26*VLOOKUP($B26,[1]Distributions!$A:$S,U$72,FALSE)</f>
        <v>942.38854048155542</v>
      </c>
    </row>
    <row r="27" spans="1:21" x14ac:dyDescent="0.25">
      <c r="A27" s="14">
        <v>129</v>
      </c>
      <c r="B27" s="14">
        <v>14</v>
      </c>
      <c r="C27" s="18">
        <f ca="1">SUM(VLOOKUP(A27,Compositions!A:J,5,FALSE),VLOOKUP(A27,Compositions!A:J,7,FALSE),VLOOKUP(A27,Compositions!A:J,9,FALSE))</f>
        <v>645.09084900000005</v>
      </c>
      <c r="E27">
        <f>VLOOKUP(A27,Compositions!A:C,3,FALSE)</f>
        <v>2</v>
      </c>
      <c r="F27" t="s">
        <v>35</v>
      </c>
      <c r="G27">
        <f>VLOOKUP(A27,Compositions!A:B,2,FALSE)</f>
        <v>27</v>
      </c>
      <c r="H27" s="12">
        <f ca="1">$C27*VLOOKUP($B27,[1]Distributions!$A:$S,H$72,FALSE)</f>
        <v>316.11610982637217</v>
      </c>
      <c r="I27" s="12">
        <f ca="1">$C27*VLOOKUP($B27,[1]Distributions!$A:$S,I$72,FALSE)</f>
        <v>389.99083438005681</v>
      </c>
      <c r="J27" s="12">
        <f ca="1">$C27*VLOOKUP($B27,[1]Distributions!$A:$S,J$72,FALSE)</f>
        <v>510.95961072031486</v>
      </c>
      <c r="K27" s="12">
        <f ca="1">$C27*VLOOKUP($B27,[1]Distributions!$A:$S,K$72,FALSE)</f>
        <v>527.97423588191555</v>
      </c>
      <c r="L27" s="12">
        <f ca="1">$C27*VLOOKUP($B27,[1]Distributions!$A:$S,L$72,FALSE)</f>
        <v>583.53219559326487</v>
      </c>
      <c r="M27" s="12">
        <f ca="1">$C27*VLOOKUP($B27,[1]Distributions!$A:$S,M$72,FALSE)</f>
        <v>627.50111214607477</v>
      </c>
      <c r="N27" s="12">
        <f ca="1">$C27*VLOOKUP($B27,[1]Distributions!$A:$S,N$72,FALSE)</f>
        <v>630.27901013164262</v>
      </c>
      <c r="O27" s="12">
        <f ca="1">$C27*VLOOKUP($B27,[1]Distributions!$A:$S,O$72,FALSE)</f>
        <v>636.35566197507137</v>
      </c>
      <c r="P27" s="12">
        <f ca="1">$C27*VLOOKUP($B27,[1]Distributions!$A:$S,P$72,FALSE)</f>
        <v>682.01736011283663</v>
      </c>
      <c r="Q27" s="12">
        <f ca="1">$C27*VLOOKUP($B27,[1]Distributions!$A:$S,Q$72,FALSE)</f>
        <v>631.71136378045082</v>
      </c>
      <c r="R27" s="12">
        <f ca="1">$C27*VLOOKUP($B27,[1]Distributions!$A:$S,R$72,FALSE)</f>
        <v>585.39859580231791</v>
      </c>
      <c r="S27" s="12">
        <f ca="1">$C27*VLOOKUP($B27,[1]Distributions!$A:$S,S$72,FALSE)</f>
        <v>612.91714772184559</v>
      </c>
      <c r="T27" s="12">
        <f ca="1">$C27*VLOOKUP($B27,[1]Distributions!$A:$S,T$72,FALSE)</f>
        <v>618.82018094117655</v>
      </c>
      <c r="U27" s="12">
        <f ca="1">$C27*VLOOKUP($B27,[1]Distributions!$A:$S,U$72,FALSE)</f>
        <v>610.96393820074343</v>
      </c>
    </row>
    <row r="28" spans="1:21" x14ac:dyDescent="0.25">
      <c r="A28" s="14">
        <v>95</v>
      </c>
      <c r="B28" s="14">
        <v>14</v>
      </c>
      <c r="C28" s="18">
        <f ca="1">SUM(VLOOKUP(A28,Compositions!A:J,5,FALSE),VLOOKUP(A28,Compositions!A:J,7,FALSE),VLOOKUP(A28,Compositions!A:J,9,FALSE))</f>
        <v>445.04512900000003</v>
      </c>
      <c r="E28">
        <f>VLOOKUP(A28,Compositions!A:C,3,FALSE)</f>
        <v>50</v>
      </c>
      <c r="F28" t="s">
        <v>33</v>
      </c>
      <c r="G28">
        <f>VLOOKUP(A28,Compositions!A:B,2,FALSE)</f>
        <v>28</v>
      </c>
      <c r="H28" s="12">
        <f ca="1">$C28*VLOOKUP($B28,[1]Distributions!$A:$S,H$72,FALSE)</f>
        <v>218.08701068189538</v>
      </c>
      <c r="I28" s="12">
        <f ca="1">$C28*VLOOKUP($B28,[1]Distributions!$A:$S,I$72,FALSE)</f>
        <v>269.05283413110391</v>
      </c>
      <c r="J28" s="12">
        <f ca="1">$C28*VLOOKUP($B28,[1]Distributions!$A:$S,J$72,FALSE)</f>
        <v>352.50862141250479</v>
      </c>
      <c r="K28" s="12">
        <f ca="1">$C28*VLOOKUP($B28,[1]Distributions!$A:$S,K$72,FALSE)</f>
        <v>364.24693092607106</v>
      </c>
      <c r="L28" s="12">
        <f ca="1">$C28*VLOOKUP($B28,[1]Distributions!$A:$S,L$72,FALSE)</f>
        <v>402.57610484792008</v>
      </c>
      <c r="M28" s="12">
        <f ca="1">$C28*VLOOKUP($B28,[1]Distributions!$A:$S,M$72,FALSE)</f>
        <v>432.91005264700829</v>
      </c>
      <c r="N28" s="12">
        <f ca="1">$C28*VLOOKUP($B28,[1]Distributions!$A:$S,N$72,FALSE)</f>
        <v>434.82651134310106</v>
      </c>
      <c r="O28" s="12">
        <f ca="1">$C28*VLOOKUP($B28,[1]Distributions!$A:$S,O$72,FALSE)</f>
        <v>439.01876474080325</v>
      </c>
      <c r="P28" s="12">
        <f ca="1">$C28*VLOOKUP($B28,[1]Distributions!$A:$S,P$72,FALSE)</f>
        <v>470.52055455782295</v>
      </c>
      <c r="Q28" s="12">
        <f ca="1">$C28*VLOOKUP($B28,[1]Distributions!$A:$S,Q$72,FALSE)</f>
        <v>435.81468535827372</v>
      </c>
      <c r="R28" s="12">
        <f ca="1">$C28*VLOOKUP($B28,[1]Distributions!$A:$S,R$72,FALSE)</f>
        <v>403.86372553435712</v>
      </c>
      <c r="S28" s="12">
        <f ca="1">$C28*VLOOKUP($B28,[1]Distributions!$A:$S,S$72,FALSE)</f>
        <v>422.84864449252296</v>
      </c>
      <c r="T28" s="12">
        <f ca="1">$C28*VLOOKUP($B28,[1]Distributions!$A:$S,T$72,FALSE)</f>
        <v>426.92111922171949</v>
      </c>
      <c r="U28" s="12">
        <f ca="1">$C28*VLOOKUP($B28,[1]Distributions!$A:$S,U$72,FALSE)</f>
        <v>421.50113447183298</v>
      </c>
    </row>
    <row r="29" spans="1:21" x14ac:dyDescent="0.25">
      <c r="A29" s="14">
        <v>128</v>
      </c>
      <c r="B29" s="14">
        <v>14</v>
      </c>
      <c r="C29" s="18">
        <f ca="1">SUM(VLOOKUP(A29,Compositions!A:J,5,FALSE),VLOOKUP(A29,Compositions!A:J,7,FALSE),VLOOKUP(A29,Compositions!A:J,9,FALSE))</f>
        <v>1144.9777939999999</v>
      </c>
      <c r="E29">
        <f>VLOOKUP(A29,Compositions!A:C,3,FALSE)</f>
        <v>47</v>
      </c>
      <c r="F29" t="s">
        <v>36</v>
      </c>
      <c r="G29">
        <f>VLOOKUP(A29,Compositions!A:B,2,FALSE)</f>
        <v>29</v>
      </c>
      <c r="H29" s="12">
        <f ca="1">$C29*VLOOKUP($B29,[1]Distributions!$A:$S,H$72,FALSE)</f>
        <v>561.07744612706676</v>
      </c>
      <c r="I29" s="12">
        <f ca="1">$C29*VLOOKUP($B29,[1]Distributions!$A:$S,I$72,FALSE)</f>
        <v>692.19838712778994</v>
      </c>
      <c r="J29" s="12">
        <f ca="1">$C29*VLOOKUP($B29,[1]Distributions!$A:$S,J$72,FALSE)</f>
        <v>906.90700203320478</v>
      </c>
      <c r="K29" s="12">
        <f ca="1">$C29*VLOOKUP($B29,[1]Distributions!$A:$S,K$72,FALSE)</f>
        <v>937.10641970199651</v>
      </c>
      <c r="L29" s="12">
        <f ca="1">$C29*VLOOKUP($B29,[1]Distributions!$A:$S,L$72,FALSE)</f>
        <v>1035.7167631102961</v>
      </c>
      <c r="M29" s="12">
        <f ca="1">$C29*VLOOKUP($B29,[1]Distributions!$A:$S,M$72,FALSE)</f>
        <v>1113.7576051982705</v>
      </c>
      <c r="N29" s="12">
        <f ca="1">$C29*VLOOKUP($B29,[1]Distributions!$A:$S,N$72,FALSE)</f>
        <v>1118.6881223686862</v>
      </c>
      <c r="O29" s="12">
        <f ca="1">$C29*VLOOKUP($B29,[1]Distributions!$A:$S,O$72,FALSE)</f>
        <v>1129.4736286789689</v>
      </c>
      <c r="P29" s="12">
        <f ca="1">$C29*VLOOKUP($B29,[1]Distributions!$A:$S,P$72,FALSE)</f>
        <v>1210.5190046676653</v>
      </c>
      <c r="Q29" s="12">
        <f ca="1">$C29*VLOOKUP($B29,[1]Distributions!$A:$S,Q$72,FALSE)</f>
        <v>1121.2304202846815</v>
      </c>
      <c r="R29" s="12">
        <f ca="1">$C29*VLOOKUP($B29,[1]Distributions!$A:$S,R$72,FALSE)</f>
        <v>1039.0294543341686</v>
      </c>
      <c r="S29" s="12">
        <f ca="1">$C29*VLOOKUP($B29,[1]Distributions!$A:$S,S$72,FALSE)</f>
        <v>1087.872390053592</v>
      </c>
      <c r="T29" s="12">
        <f ca="1">$C29*VLOOKUP($B29,[1]Distributions!$A:$S,T$72,FALSE)</f>
        <v>1098.349739040724</v>
      </c>
      <c r="U29" s="12">
        <f ca="1">$C29*VLOOKUP($B29,[1]Distributions!$A:$S,U$72,FALSE)</f>
        <v>1084.405620168144</v>
      </c>
    </row>
    <row r="30" spans="1:21" x14ac:dyDescent="0.25">
      <c r="A30" s="14">
        <v>136</v>
      </c>
      <c r="B30" s="14">
        <v>11</v>
      </c>
      <c r="C30" s="18">
        <f ca="1">SUM(VLOOKUP(A30,Compositions!A:J,5,FALSE),VLOOKUP(A30,Compositions!A:J,7,FALSE),VLOOKUP(A30,Compositions!A:J,9,FALSE))</f>
        <v>710.00035099999991</v>
      </c>
      <c r="E30">
        <f>VLOOKUP(A30,Compositions!A:C,3,FALSE)</f>
        <v>20</v>
      </c>
      <c r="F30" t="s">
        <v>37</v>
      </c>
      <c r="G30">
        <f>VLOOKUP(A30,Compositions!A:B,2,FALSE)</f>
        <v>30</v>
      </c>
      <c r="H30" s="12">
        <f ca="1">$C30*VLOOKUP($B30,[1]Distributions!$A:$S,H$72,FALSE)</f>
        <v>441.08191261439094</v>
      </c>
      <c r="I30" s="12">
        <f ca="1">$C30*VLOOKUP($B30,[1]Distributions!$A:$S,I$72,FALSE)</f>
        <v>493.91328765217389</v>
      </c>
      <c r="J30" s="12">
        <f ca="1">$C30*VLOOKUP($B30,[1]Distributions!$A:$S,J$72,FALSE)</f>
        <v>567.92995617432575</v>
      </c>
      <c r="K30" s="12">
        <f ca="1">$C30*VLOOKUP($B30,[1]Distributions!$A:$S,K$72,FALSE)</f>
        <v>649.77023930273833</v>
      </c>
      <c r="L30" s="12">
        <f ca="1">$C30*VLOOKUP($B30,[1]Distributions!$A:$S,L$72,FALSE)</f>
        <v>714.87912190615134</v>
      </c>
      <c r="M30" s="12">
        <f ca="1">$C30*VLOOKUP($B30,[1]Distributions!$A:$S,M$72,FALSE)</f>
        <v>717.28187995002168</v>
      </c>
      <c r="N30" s="12">
        <f ca="1">$C30*VLOOKUP($B30,[1]Distributions!$A:$S,N$72,FALSE)</f>
        <v>728.59242391263069</v>
      </c>
      <c r="O30" s="12">
        <f ca="1">$C30*VLOOKUP($B30,[1]Distributions!$A:$S,O$72,FALSE)</f>
        <v>691.87710892519749</v>
      </c>
      <c r="P30" s="12">
        <f ca="1">$C30*VLOOKUP($B30,[1]Distributions!$A:$S,P$72,FALSE)</f>
        <v>706.8210918809765</v>
      </c>
      <c r="Q30" s="12">
        <f ca="1">$C30*VLOOKUP($B30,[1]Distributions!$A:$S,Q$72,FALSE)</f>
        <v>712.7107792811953</v>
      </c>
      <c r="R30" s="12">
        <f ca="1">$C30*VLOOKUP($B30,[1]Distributions!$A:$S,R$72,FALSE)</f>
        <v>667.20488608448034</v>
      </c>
      <c r="S30" s="12">
        <f ca="1">$C30*VLOOKUP($B30,[1]Distributions!$A:$S,S$72,FALSE)</f>
        <v>624.86360104310677</v>
      </c>
      <c r="T30" s="12">
        <f ca="1">$C30*VLOOKUP($B30,[1]Distributions!$A:$S,T$72,FALSE)</f>
        <v>612.38097998592696</v>
      </c>
      <c r="U30" s="12">
        <f ca="1">$C30*VLOOKUP($B30,[1]Distributions!$A:$S,U$72,FALSE)</f>
        <v>619.706461826995</v>
      </c>
    </row>
    <row r="31" spans="1:21" x14ac:dyDescent="0.25">
      <c r="A31" s="14">
        <v>169</v>
      </c>
      <c r="B31" s="14">
        <v>11</v>
      </c>
      <c r="C31" s="18">
        <f ca="1">SUM(VLOOKUP(A31,Compositions!A:J,5,FALSE),VLOOKUP(A31,Compositions!A:J,7,FALSE),VLOOKUP(A31,Compositions!A:J,9,FALSE))</f>
        <v>464.99832000000004</v>
      </c>
      <c r="E31">
        <f>VLOOKUP(A31,Compositions!A:C,3,FALSE)</f>
        <v>8</v>
      </c>
      <c r="F31" t="s">
        <v>38</v>
      </c>
      <c r="G31">
        <f>VLOOKUP(A31,Compositions!A:B,2,FALSE)</f>
        <v>31</v>
      </c>
      <c r="H31" s="12">
        <f ca="1">$C31*VLOOKUP($B31,[1]Distributions!$A:$S,H$72,FALSE)</f>
        <v>288.87640415839547</v>
      </c>
      <c r="I31" s="12">
        <f ca="1">$C31*VLOOKUP($B31,[1]Distributions!$A:$S,I$72,FALSE)</f>
        <v>323.47709217391309</v>
      </c>
      <c r="J31" s="12">
        <f ca="1">$C31*VLOOKUP($B31,[1]Distributions!$A:$S,J$72,FALSE)</f>
        <v>371.95259851179304</v>
      </c>
      <c r="K31" s="12">
        <f ca="1">$C31*VLOOKUP($B31,[1]Distributions!$A:$S,K$72,FALSE)</f>
        <v>425.55200041270314</v>
      </c>
      <c r="L31" s="12">
        <f ca="1">$C31*VLOOKUP($B31,[1]Distributions!$A:$S,L$72,FALSE)</f>
        <v>468.19355824436155</v>
      </c>
      <c r="M31" s="12">
        <f ca="1">$C31*VLOOKUP($B31,[1]Distributions!$A:$S,M$72,FALSE)</f>
        <v>469.76718909143449</v>
      </c>
      <c r="N31" s="12">
        <f ca="1">$C31*VLOOKUP($B31,[1]Distributions!$A:$S,N$72,FALSE)</f>
        <v>477.17476844472878</v>
      </c>
      <c r="O31" s="12">
        <f ca="1">$C31*VLOOKUP($B31,[1]Distributions!$A:$S,O$72,FALSE)</f>
        <v>453.12892147665133</v>
      </c>
      <c r="P31" s="12">
        <f ca="1">$C31*VLOOKUP($B31,[1]Distributions!$A:$S,P$72,FALSE)</f>
        <v>462.91613772064142</v>
      </c>
      <c r="Q31" s="12">
        <f ca="1">$C31*VLOOKUP($B31,[1]Distributions!$A:$S,Q$72,FALSE)</f>
        <v>466.77345235797873</v>
      </c>
      <c r="R31" s="12">
        <f ca="1">$C31*VLOOKUP($B31,[1]Distributions!$A:$S,R$72,FALSE)</f>
        <v>436.97041936402479</v>
      </c>
      <c r="S31" s="12">
        <f ca="1">$C31*VLOOKUP($B31,[1]Distributions!$A:$S,S$72,FALSE)</f>
        <v>409.23997333938638</v>
      </c>
      <c r="T31" s="12">
        <f ca="1">$C31*VLOOKUP($B31,[1]Distributions!$A:$S,T$72,FALSE)</f>
        <v>401.06476918264184</v>
      </c>
      <c r="U31" s="12">
        <f ca="1">$C31*VLOOKUP($B31,[1]Distributions!$A:$S,U$72,FALSE)</f>
        <v>405.86242420420558</v>
      </c>
    </row>
    <row r="32" spans="1:21" x14ac:dyDescent="0.25">
      <c r="A32" s="14">
        <v>147</v>
      </c>
      <c r="B32" s="14">
        <v>11</v>
      </c>
      <c r="C32" s="18">
        <f ca="1">SUM(VLOOKUP(A32,Compositions!A:J,5,FALSE),VLOOKUP(A32,Compositions!A:J,7,FALSE),VLOOKUP(A32,Compositions!A:J,9,FALSE))</f>
        <v>2364.9922700000002</v>
      </c>
      <c r="E32">
        <f>VLOOKUP(A32,Compositions!A:C,3,FALSE)</f>
        <v>26</v>
      </c>
      <c r="F32" t="s">
        <v>39</v>
      </c>
      <c r="G32">
        <f>VLOOKUP(A32,Compositions!A:B,2,FALSE)</f>
        <v>32</v>
      </c>
      <c r="H32" s="12">
        <f ca="1">$C32*VLOOKUP($B32,[1]Distributions!$A:$S,H$72,FALSE)</f>
        <v>1469.2321099568728</v>
      </c>
      <c r="I32" s="12">
        <f ca="1">$C32*VLOOKUP($B32,[1]Distributions!$A:$S,I$72,FALSE)</f>
        <v>1645.2120139130438</v>
      </c>
      <c r="J32" s="12">
        <f ca="1">$C32*VLOOKUP($B32,[1]Distributions!$A:$S,J$72,FALSE)</f>
        <v>1891.7595665438191</v>
      </c>
      <c r="K32" s="12">
        <f ca="1">$C32*VLOOKUP($B32,[1]Distributions!$A:$S,K$72,FALSE)</f>
        <v>2164.3673711747597</v>
      </c>
      <c r="L32" s="12">
        <f ca="1">$C32*VLOOKUP($B32,[1]Distributions!$A:$S,L$72,FALSE)</f>
        <v>2381.2433260225753</v>
      </c>
      <c r="M32" s="12">
        <f ca="1">$C32*VLOOKUP($B32,[1]Distributions!$A:$S,M$72,FALSE)</f>
        <v>2389.2468491087684</v>
      </c>
      <c r="N32" s="12">
        <f ca="1">$C32*VLOOKUP($B32,[1]Distributions!$A:$S,N$72,FALSE)</f>
        <v>2426.9219699779205</v>
      </c>
      <c r="O32" s="12">
        <f ca="1">$C32*VLOOKUP($B32,[1]Distributions!$A:$S,O$72,FALSE)</f>
        <v>2304.6242330632881</v>
      </c>
      <c r="P32" s="12">
        <f ca="1">$C32*VLOOKUP($B32,[1]Distributions!$A:$S,P$72,FALSE)</f>
        <v>2354.4022425018061</v>
      </c>
      <c r="Q32" s="12">
        <f ca="1">$C32*VLOOKUP($B32,[1]Distributions!$A:$S,Q$72,FALSE)</f>
        <v>2374.020634456987</v>
      </c>
      <c r="R32" s="12">
        <f ca="1">$C32*VLOOKUP($B32,[1]Distributions!$A:$S,R$72,FALSE)</f>
        <v>2222.441715519697</v>
      </c>
      <c r="S32" s="12">
        <f ca="1">$C32*VLOOKUP($B32,[1]Distributions!$A:$S,S$72,FALSE)</f>
        <v>2081.4040221105633</v>
      </c>
      <c r="T32" s="12">
        <f ca="1">$C32*VLOOKUP($B32,[1]Distributions!$A:$S,T$72,FALSE)</f>
        <v>2039.8247436383904</v>
      </c>
      <c r="U32" s="12">
        <f ca="1">$C32*VLOOKUP($B32,[1]Distributions!$A:$S,U$72,FALSE)</f>
        <v>2064.2257286572717</v>
      </c>
    </row>
    <row r="33" spans="1:21" x14ac:dyDescent="0.25">
      <c r="A33" s="14">
        <v>78</v>
      </c>
      <c r="B33" s="14">
        <v>12</v>
      </c>
      <c r="C33" s="18">
        <f ca="1">SUM(VLOOKUP(A33,Compositions!A:J,5,FALSE),VLOOKUP(A33,Compositions!A:J,7,FALSE),VLOOKUP(A33,Compositions!A:J,9,FALSE))</f>
        <v>799.9978779999999</v>
      </c>
      <c r="E33">
        <f>VLOOKUP(A33,Compositions!A:C,3,FALSE)</f>
        <v>18</v>
      </c>
      <c r="F33" t="s">
        <v>40</v>
      </c>
      <c r="G33">
        <f>VLOOKUP(A33,Compositions!A:B,2,FALSE)</f>
        <v>33</v>
      </c>
      <c r="H33" s="12">
        <f ca="1">$C33*VLOOKUP($B33,[1]Distributions!$A:$S,H$72,FALSE)</f>
        <v>127.21215665309983</v>
      </c>
      <c r="I33" s="12">
        <f ca="1">$C33*VLOOKUP($B33,[1]Distributions!$A:$S,I$72,FALSE)</f>
        <v>162.04405668906762</v>
      </c>
      <c r="J33" s="12">
        <f ca="1">$C33*VLOOKUP($B33,[1]Distributions!$A:$S,J$72,FALSE)</f>
        <v>305.91494814197819</v>
      </c>
      <c r="K33" s="12">
        <f ca="1">$C33*VLOOKUP($B33,[1]Distributions!$A:$S,K$72,FALSE)</f>
        <v>302.88608726928533</v>
      </c>
      <c r="L33" s="12">
        <f ca="1">$C33*VLOOKUP($B33,[1]Distributions!$A:$S,L$72,FALSE)</f>
        <v>452.81470046758153</v>
      </c>
      <c r="M33" s="12">
        <f ca="1">$C33*VLOOKUP($B33,[1]Distributions!$A:$S,M$72,FALSE)</f>
        <v>499.76204399432066</v>
      </c>
      <c r="N33" s="12">
        <f ca="1">$C33*VLOOKUP($B33,[1]Distributions!$A:$S,N$72,FALSE)</f>
        <v>673.92154417415986</v>
      </c>
      <c r="O33" s="12">
        <f ca="1">$C33*VLOOKUP($B33,[1]Distributions!$A:$S,O$72,FALSE)</f>
        <v>754.1863573005204</v>
      </c>
      <c r="P33" s="12">
        <f ca="1">$C33*VLOOKUP($B33,[1]Distributions!$A:$S,P$72,FALSE)</f>
        <v>832.93673999053476</v>
      </c>
      <c r="Q33" s="12">
        <f ca="1">$C33*VLOOKUP($B33,[1]Distributions!$A:$S,Q$72,FALSE)</f>
        <v>938.94687053478469</v>
      </c>
      <c r="R33" s="12">
        <f ca="1">$C33*VLOOKUP($B33,[1]Distributions!$A:$S,R$72,FALSE)</f>
        <v>958.63446620728791</v>
      </c>
      <c r="S33" s="12">
        <f ca="1">$C33*VLOOKUP($B33,[1]Distributions!$A:$S,S$72,FALSE)</f>
        <v>937.43244009843818</v>
      </c>
      <c r="T33" s="12">
        <f ca="1">$C33*VLOOKUP($B33,[1]Distributions!$A:$S,T$72,FALSE)</f>
        <v>837.48003129957374</v>
      </c>
      <c r="U33" s="12">
        <f ca="1">$C33*VLOOKUP($B33,[1]Distributions!$A:$S,U$72,FALSE)</f>
        <v>563.36812232087073</v>
      </c>
    </row>
    <row r="34" spans="1:21" x14ac:dyDescent="0.25">
      <c r="A34" s="14">
        <v>133</v>
      </c>
      <c r="B34" s="14">
        <v>12</v>
      </c>
      <c r="C34" s="18">
        <f ca="1">SUM(VLOOKUP(A34,Compositions!A:J,5,FALSE),VLOOKUP(A34,Compositions!A:J,7,FALSE),VLOOKUP(A34,Compositions!A:J,9,FALSE))</f>
        <v>969.99391800000001</v>
      </c>
      <c r="E34">
        <f>VLOOKUP(A34,Compositions!A:C,3,FALSE)</f>
        <v>17</v>
      </c>
      <c r="F34" t="s">
        <v>41</v>
      </c>
      <c r="G34">
        <f>VLOOKUP(A34,Compositions!A:B,2,FALSE)</f>
        <v>34</v>
      </c>
      <c r="H34" s="12">
        <f ca="1">$C34*VLOOKUP($B34,[1]Distributions!$A:$S,H$72,FALSE)</f>
        <v>154.2441819441552</v>
      </c>
      <c r="I34" s="12">
        <f ca="1">$C34*VLOOKUP($B34,[1]Distributions!$A:$S,I$72,FALSE)</f>
        <v>196.47770795267388</v>
      </c>
      <c r="J34" s="12">
        <f ca="1">$C34*VLOOKUP($B34,[1]Distributions!$A:$S,J$72,FALSE)</f>
        <v>370.92053277046853</v>
      </c>
      <c r="K34" s="12">
        <f ca="1">$C34*VLOOKUP($B34,[1]Distributions!$A:$S,K$72,FALSE)</f>
        <v>367.2480522479886</v>
      </c>
      <c r="L34" s="12">
        <f ca="1">$C34*VLOOKUP($B34,[1]Distributions!$A:$S,L$72,FALSE)</f>
        <v>549.03583811074293</v>
      </c>
      <c r="M34" s="12">
        <f ca="1">$C34*VLOOKUP($B34,[1]Distributions!$A:$S,M$72,FALSE)</f>
        <v>605.95928620918107</v>
      </c>
      <c r="N34" s="12">
        <f ca="1">$C34*VLOOKUP($B34,[1]Distributions!$A:$S,N$72,FALSE)</f>
        <v>817.12691625177467</v>
      </c>
      <c r="O34" s="12">
        <f ca="1">$C34*VLOOKUP($B34,[1]Distributions!$A:$S,O$72,FALSE)</f>
        <v>914.44765009749165</v>
      </c>
      <c r="P34" s="12">
        <f ca="1">$C34*VLOOKUP($B34,[1]Distributions!$A:$S,P$72,FALSE)</f>
        <v>1009.9321436819689</v>
      </c>
      <c r="Q34" s="12">
        <f ca="1">$C34*VLOOKUP($B34,[1]Distributions!$A:$S,Q$72,FALSE)</f>
        <v>1138.4689619687649</v>
      </c>
      <c r="R34" s="12">
        <f ca="1">$C34*VLOOKUP($B34,[1]Distributions!$A:$S,R$72,FALSE)</f>
        <v>1162.3400853648839</v>
      </c>
      <c r="S34" s="12">
        <f ca="1">$C34*VLOOKUP($B34,[1]Distributions!$A:$S,S$72,FALSE)</f>
        <v>1136.6327217075248</v>
      </c>
      <c r="T34" s="12">
        <f ca="1">$C34*VLOOKUP($B34,[1]Distributions!$A:$S,T$72,FALSE)</f>
        <v>1015.4408644656884</v>
      </c>
      <c r="U34" s="12">
        <f ca="1">$C34*VLOOKUP($B34,[1]Distributions!$A:$S,U$72,FALSE)</f>
        <v>683.08137718125886</v>
      </c>
    </row>
    <row r="35" spans="1:21" x14ac:dyDescent="0.25">
      <c r="A35" s="14">
        <v>204</v>
      </c>
      <c r="B35" s="14">
        <v>10</v>
      </c>
      <c r="C35" s="18">
        <f ca="1">SUM(VLOOKUP(A35,Compositions!A:J,5,FALSE),VLOOKUP(A35,Compositions!A:J,7,FALSE),VLOOKUP(A35,Compositions!A:J,9,FALSE))</f>
        <v>784.96219800000006</v>
      </c>
      <c r="E35">
        <f>VLOOKUP(A35,Compositions!A:C,3,FALSE)</f>
        <v>40</v>
      </c>
      <c r="F35" t="s">
        <v>55</v>
      </c>
      <c r="G35">
        <f>VLOOKUP(A35,Compositions!A:B,2,FALSE)</f>
        <v>35</v>
      </c>
      <c r="H35" s="12">
        <f ca="1">$C35*VLOOKUP($B35,[1]Distributions!$A:$S,H$72,FALSE)</f>
        <v>130.33965182331028</v>
      </c>
      <c r="I35" s="12">
        <f ca="1">$C35*VLOOKUP($B35,[1]Distributions!$A:$S,I$72,FALSE)</f>
        <v>152.06292712719537</v>
      </c>
      <c r="J35" s="12">
        <f ca="1">$C35*VLOOKUP($B35,[1]Distributions!$A:$S,J$72,FALSE)</f>
        <v>212.21968950718468</v>
      </c>
      <c r="K35" s="12">
        <f ca="1">$C35*VLOOKUP($B35,[1]Distributions!$A:$S,K$72,FALSE)</f>
        <v>287.41564248217145</v>
      </c>
      <c r="L35" s="12">
        <f ca="1">$C35*VLOOKUP($B35,[1]Distributions!$A:$S,L$72,FALSE)</f>
        <v>394.36099782437481</v>
      </c>
      <c r="M35" s="12">
        <f ca="1">$C35*VLOOKUP($B35,[1]Distributions!$A:$S,M$72,FALSE)</f>
        <v>538.06881906546039</v>
      </c>
      <c r="N35" s="12">
        <f ca="1">$C35*VLOOKUP($B35,[1]Distributions!$A:$S,N$72,FALSE)</f>
        <v>591.54149673656207</v>
      </c>
      <c r="O35" s="12">
        <f ca="1">$C35*VLOOKUP($B35,[1]Distributions!$A:$S,O$72,FALSE)</f>
        <v>822.14241919318795</v>
      </c>
      <c r="P35" s="12">
        <f ca="1">$C35*VLOOKUP($B35,[1]Distributions!$A:$S,P$72,FALSE)</f>
        <v>845.53671567429501</v>
      </c>
      <c r="Q35" s="12">
        <f ca="1">$C35*VLOOKUP($B35,[1]Distributions!$A:$S,Q$72,FALSE)</f>
        <v>880.62816039595532</v>
      </c>
      <c r="R35" s="12">
        <f ca="1">$C35*VLOOKUP($B35,[1]Distributions!$A:$S,R$72,FALSE)</f>
        <v>970.86330396593951</v>
      </c>
      <c r="S35" s="12">
        <f ca="1">$C35*VLOOKUP($B35,[1]Distributions!$A:$S,S$72,FALSE)</f>
        <v>977.5473886748274</v>
      </c>
      <c r="T35" s="12">
        <f ca="1">$C35*VLOOKUP($B35,[1]Distributions!$A:$S,T$72,FALSE)</f>
        <v>768.66974152208638</v>
      </c>
      <c r="U35" s="12">
        <f ca="1">$C35*VLOOKUP($B35,[1]Distributions!$A:$S,U$72,FALSE)</f>
        <v>668.40847088877081</v>
      </c>
    </row>
    <row r="36" spans="1:21" x14ac:dyDescent="0.25">
      <c r="A36" s="14">
        <v>205</v>
      </c>
      <c r="B36" s="14">
        <v>10</v>
      </c>
      <c r="C36" s="18">
        <f ca="1">SUM(VLOOKUP(A36,Compositions!A:J,5,FALSE),VLOOKUP(A36,Compositions!A:J,7,FALSE),VLOOKUP(A36,Compositions!A:J,9,FALSE))</f>
        <v>405.03997099999998</v>
      </c>
      <c r="E36">
        <f>VLOOKUP(A36,Compositions!A:C,3,FALSE)</f>
        <v>38</v>
      </c>
      <c r="F36" t="s">
        <v>56</v>
      </c>
      <c r="G36">
        <f>VLOOKUP(A36,Compositions!A:B,2,FALSE)</f>
        <v>36</v>
      </c>
      <c r="H36" s="12">
        <f ca="1">$C36*VLOOKUP($B36,[1]Distributions!$A:$S,H$72,FALSE)</f>
        <v>67.255173470995203</v>
      </c>
      <c r="I36" s="12">
        <f ca="1">$C36*VLOOKUP($B36,[1]Distributions!$A:$S,I$72,FALSE)</f>
        <v>78.464369049494422</v>
      </c>
      <c r="J36" s="12">
        <f ca="1">$C36*VLOOKUP($B36,[1]Distributions!$A:$S,J$72,FALSE)</f>
        <v>109.50521834379988</v>
      </c>
      <c r="K36" s="12">
        <f ca="1">$C36*VLOOKUP($B36,[1]Distributions!$A:$S,K$72,FALSE)</f>
        <v>148.30627996168175</v>
      </c>
      <c r="L36" s="12">
        <f ca="1">$C36*VLOOKUP($B36,[1]Distributions!$A:$S,L$72,FALSE)</f>
        <v>203.49001204044708</v>
      </c>
      <c r="M36" s="12">
        <f ca="1">$C36*VLOOKUP($B36,[1]Distributions!$A:$S,M$72,FALSE)</f>
        <v>277.6431520212879</v>
      </c>
      <c r="N36" s="12">
        <f ca="1">$C36*VLOOKUP($B36,[1]Distributions!$A:$S,N$72,FALSE)</f>
        <v>305.2350180606706</v>
      </c>
      <c r="O36" s="12">
        <f ca="1">$C36*VLOOKUP($B36,[1]Distributions!$A:$S,O$72,FALSE)</f>
        <v>424.22494035550824</v>
      </c>
      <c r="P36" s="12">
        <f ca="1">$C36*VLOOKUP($B36,[1]Distributions!$A:$S,P$72,FALSE)</f>
        <v>436.29638174773817</v>
      </c>
      <c r="Q36" s="12">
        <f ca="1">$C36*VLOOKUP($B36,[1]Distributions!$A:$S,Q$72,FALSE)</f>
        <v>454.40354383608297</v>
      </c>
      <c r="R36" s="12">
        <f ca="1">$C36*VLOOKUP($B36,[1]Distributions!$A:$S,R$72,FALSE)</f>
        <v>500.96481777754127</v>
      </c>
      <c r="S36" s="12">
        <f ca="1">$C36*VLOOKUP($B36,[1]Distributions!$A:$S,S$72,FALSE)</f>
        <v>504.41380103246422</v>
      </c>
      <c r="T36" s="12">
        <f ca="1">$C36*VLOOKUP($B36,[1]Distributions!$A:$S,T$72,FALSE)</f>
        <v>396.63307431612566</v>
      </c>
      <c r="U36" s="12">
        <f ca="1">$C36*VLOOKUP($B36,[1]Distributions!$A:$S,U$72,FALSE)</f>
        <v>344.89832549228316</v>
      </c>
    </row>
    <row r="37" spans="1:21" x14ac:dyDescent="0.25">
      <c r="A37" s="14">
        <v>210</v>
      </c>
      <c r="B37" s="14">
        <v>1</v>
      </c>
      <c r="C37" s="18">
        <f ca="1">SUM(VLOOKUP(A37,Compositions!A:J,5,FALSE),VLOOKUP(A37,Compositions!A:J,7,FALSE),VLOOKUP(A37,Compositions!A:J,9,FALSE))</f>
        <v>7578.3142660000012</v>
      </c>
      <c r="E37">
        <f>VLOOKUP(A37,Compositions!A:C,3,FALSE)</f>
        <v>29</v>
      </c>
      <c r="F37" t="s">
        <v>6</v>
      </c>
      <c r="G37">
        <f>VLOOKUP(A37,Compositions!A:B,2,FALSE)</f>
        <v>37</v>
      </c>
      <c r="H37" s="12">
        <f ca="1">$C37*VLOOKUP($B37,[1]Distributions!$A:$S,H$72,FALSE)</f>
        <v>7196.4086864719629</v>
      </c>
      <c r="I37" s="12">
        <f ca="1">$C37*VLOOKUP($B37,[1]Distributions!$A:$S,I$72,FALSE)</f>
        <v>8279.1389098520795</v>
      </c>
      <c r="J37" s="12">
        <f ca="1">$C37*VLOOKUP($B37,[1]Distributions!$A:$S,J$72,FALSE)</f>
        <v>7759.3008350038926</v>
      </c>
      <c r="K37" s="12">
        <f ca="1">$C37*VLOOKUP($B37,[1]Distributions!$A:$S,K$72,FALSE)</f>
        <v>7896.4360326632304</v>
      </c>
      <c r="L37" s="12">
        <f ca="1">$C37*VLOOKUP($B37,[1]Distributions!$A:$S,L$72,FALSE)</f>
        <v>8398.733558973594</v>
      </c>
      <c r="M37" s="12">
        <f ca="1">$C37*VLOOKUP($B37,[1]Distributions!$A:$S,M$72,FALSE)</f>
        <v>8484.8417063410852</v>
      </c>
      <c r="N37" s="12">
        <f ca="1">$C37*VLOOKUP($B37,[1]Distributions!$A:$S,N$72,FALSE)</f>
        <v>7910.7873905578135</v>
      </c>
      <c r="O37" s="12">
        <f ca="1">$C37*VLOOKUP($B37,[1]Distributions!$A:$S,O$72,FALSE)</f>
        <v>7689.138640852605</v>
      </c>
      <c r="P37" s="12">
        <f ca="1">$C37*VLOOKUP($B37,[1]Distributions!$A:$S,P$72,FALSE)</f>
        <v>7585.4899449472914</v>
      </c>
      <c r="Q37" s="12">
        <f ca="1">$C37*VLOOKUP($B37,[1]Distributions!$A:$S,Q$72,FALSE)</f>
        <v>7127.841087642294</v>
      </c>
      <c r="R37" s="12">
        <f ca="1">$C37*VLOOKUP($B37,[1]Distributions!$A:$S,R$72,FALSE)</f>
        <v>7234.6789741908469</v>
      </c>
      <c r="S37" s="12">
        <f ca="1">$C37*VLOOKUP($B37,[1]Distributions!$A:$S,S$72,FALSE)</f>
        <v>6743.5436151318263</v>
      </c>
      <c r="T37" s="12">
        <f ca="1">$C37*VLOOKUP($B37,[1]Distributions!$A:$S,T$72,FALSE)</f>
        <v>6638.300323904894</v>
      </c>
      <c r="U37" s="12">
        <f ca="1">$C37*VLOOKUP($B37,[1]Distributions!$A:$S,U$72,FALSE)</f>
        <v>7239.4627601557086</v>
      </c>
    </row>
    <row r="38" spans="1:21" x14ac:dyDescent="0.25">
      <c r="A38" s="14">
        <v>245</v>
      </c>
      <c r="B38" s="14">
        <v>2</v>
      </c>
      <c r="C38" s="18">
        <f ca="1">SUM(VLOOKUP(A38,Compositions!A:J,5,FALSE),VLOOKUP(A38,Compositions!A:J,7,FALSE),VLOOKUP(A38,Compositions!A:J,9,FALSE))</f>
        <v>3309.5399910000006</v>
      </c>
      <c r="E38">
        <f>VLOOKUP(A38,Compositions!A:C,3,FALSE)</f>
        <v>37</v>
      </c>
      <c r="F38" t="s">
        <v>7</v>
      </c>
      <c r="G38">
        <f>VLOOKUP(A38,Compositions!A:B,2,FALSE)</f>
        <v>38</v>
      </c>
      <c r="H38" s="12">
        <f ca="1">$C38*VLOOKUP($B38,[1]Distributions!$A:$S,H$72,FALSE)</f>
        <v>1188.3247618691278</v>
      </c>
      <c r="I38" s="12">
        <f ca="1">$C38*VLOOKUP($B38,[1]Distributions!$A:$S,I$72,FALSE)</f>
        <v>1643.6641566040271</v>
      </c>
      <c r="J38" s="12">
        <f ca="1">$C38*VLOOKUP($B38,[1]Distributions!$A:$S,J$72,FALSE)</f>
        <v>2107.8882224557051</v>
      </c>
      <c r="K38" s="12">
        <f ca="1">$C38*VLOOKUP($B38,[1]Distributions!$A:$S,K$72,FALSE)</f>
        <v>2412.1882082053698</v>
      </c>
      <c r="L38" s="12">
        <f ca="1">$C38*VLOOKUP($B38,[1]Distributions!$A:$S,L$72,FALSE)</f>
        <v>2545.4582749570477</v>
      </c>
      <c r="M38" s="12">
        <f ca="1">$C38*VLOOKUP($B38,[1]Distributions!$A:$S,M$72,FALSE)</f>
        <v>2729.8152006302025</v>
      </c>
      <c r="N38" s="12">
        <f ca="1">$C38*VLOOKUP($B38,[1]Distributions!$A:$S,N$72,FALSE)</f>
        <v>3045.2210252758396</v>
      </c>
      <c r="O38" s="12">
        <f ca="1">$C38*VLOOKUP($B38,[1]Distributions!$A:$S,O$72,FALSE)</f>
        <v>3096.3078841973165</v>
      </c>
      <c r="P38" s="12">
        <f ca="1">$C38*VLOOKUP($B38,[1]Distributions!$A:$S,P$72,FALSE)</f>
        <v>3413.9348766221487</v>
      </c>
      <c r="Q38" s="12">
        <f ca="1">$C38*VLOOKUP($B38,[1]Distributions!$A:$S,Q$72,FALSE)</f>
        <v>3682.6961779046983</v>
      </c>
      <c r="R38" s="12">
        <f ca="1">$C38*VLOOKUP($B38,[1]Distributions!$A:$S,R$72,FALSE)</f>
        <v>3818.1874124355713</v>
      </c>
      <c r="S38" s="12">
        <f ca="1">$C38*VLOOKUP($B38,[1]Distributions!$A:$S,S$72,FALSE)</f>
        <v>3887.0436135906052</v>
      </c>
      <c r="T38" s="12">
        <f ca="1">$C38*VLOOKUP($B38,[1]Distributions!$A:$S,T$72,FALSE)</f>
        <v>3940.3516402912765</v>
      </c>
      <c r="U38" s="12">
        <f ca="1">$C38*VLOOKUP($B38,[1]Distributions!$A:$S,U$72,FALSE)</f>
        <v>3165.16408535235</v>
      </c>
    </row>
    <row r="39" spans="1:21" x14ac:dyDescent="0.25">
      <c r="A39" s="14">
        <v>424</v>
      </c>
      <c r="B39" s="14">
        <v>4</v>
      </c>
      <c r="C39" s="18">
        <f ca="1">SUM(VLOOKUP(A39,Compositions!A:J,5,FALSE),VLOOKUP(A39,Compositions!A:J,7,FALSE),VLOOKUP(A39,Compositions!A:J,9,FALSE))</f>
        <v>3270.6154089999995</v>
      </c>
      <c r="E39">
        <f>VLOOKUP(A39,Compositions!A:C,3,FALSE)</f>
        <v>62</v>
      </c>
      <c r="F39" t="s">
        <v>82</v>
      </c>
      <c r="G39">
        <f>VLOOKUP(A39,Compositions!A:B,2,FALSE)</f>
        <v>101</v>
      </c>
      <c r="H39" s="12">
        <f ca="1">$C39*VLOOKUP($B39,[1]Distributions!$A:$S,H$72,FALSE)</f>
        <v>3203.2829303430603</v>
      </c>
      <c r="I39" s="12">
        <f ca="1">$C39*VLOOKUP($B39,[1]Distributions!$A:$S,I$72,FALSE)</f>
        <v>3320.7984880825197</v>
      </c>
      <c r="J39" s="12">
        <f ca="1">$C39*VLOOKUP($B39,[1]Distributions!$A:$S,J$72,FALSE)</f>
        <v>3368.0296213366564</v>
      </c>
      <c r="K39" s="12">
        <f ca="1">$C39*VLOOKUP($B39,[1]Distributions!$A:$S,K$72,FALSE)</f>
        <v>3323.0475896660496</v>
      </c>
      <c r="L39" s="12">
        <f ca="1">$C39*VLOOKUP($B39,[1]Distributions!$A:$S,L$72,FALSE)</f>
        <v>3312.9266325401636</v>
      </c>
      <c r="M39" s="12">
        <f ca="1">$C39*VLOOKUP($B39,[1]Distributions!$A:$S,M$72,FALSE)</f>
        <v>3419.1966823619714</v>
      </c>
      <c r="N39" s="12">
        <f ca="1">$C39*VLOOKUP($B39,[1]Distributions!$A:$S,N$72,FALSE)</f>
        <v>3399.5170435060809</v>
      </c>
      <c r="O39" s="12">
        <f ca="1">$C39*VLOOKUP($B39,[1]Distributions!$A:$S,O$72,FALSE)</f>
        <v>3472.0505695749343</v>
      </c>
      <c r="P39" s="12">
        <f ca="1">$C39*VLOOKUP($B39,[1]Distributions!$A:$S,P$72,FALSE)</f>
        <v>3219.0266414277726</v>
      </c>
      <c r="Q39" s="12">
        <f ca="1">$C39*VLOOKUP($B39,[1]Distributions!$A:$S,Q$72,FALSE)</f>
        <v>2991.8673814912104</v>
      </c>
      <c r="R39" s="12">
        <f ca="1">$C39*VLOOKUP($B39,[1]Distributions!$A:$S,R$72,FALSE)</f>
        <v>2927.7679863605963</v>
      </c>
      <c r="S39" s="12">
        <f ca="1">$C39*VLOOKUP($B39,[1]Distributions!$A:$S,S$72,FALSE)</f>
        <v>2957.5685823423728</v>
      </c>
      <c r="T39" s="12">
        <f ca="1">$C39*VLOOKUP($B39,[1]Distributions!$A:$S,T$72,FALSE)</f>
        <v>2742.7793811152274</v>
      </c>
      <c r="U39" s="12">
        <f ca="1">$C39*VLOOKUP($B39,[1]Distributions!$A:$S,U$72,FALSE)</f>
        <v>2809.6901532252541</v>
      </c>
    </row>
    <row r="40" spans="1:21" x14ac:dyDescent="0.25">
      <c r="A40" s="14">
        <v>371</v>
      </c>
      <c r="B40" s="14">
        <v>15</v>
      </c>
      <c r="C40" s="18">
        <f ca="1">SUM(VLOOKUP(A40,Compositions!A:J,5,FALSE),VLOOKUP(A40,Compositions!A:J,7,FALSE),VLOOKUP(A40,Compositions!A:J,9,FALSE))</f>
        <v>29.899719000000005</v>
      </c>
      <c r="E40">
        <f>VLOOKUP(A40,Compositions!A:C,3,FALSE)</f>
        <v>61</v>
      </c>
      <c r="F40" t="s">
        <v>83</v>
      </c>
      <c r="G40">
        <f>VLOOKUP(A40,Compositions!A:B,2,FALSE)</f>
        <v>102</v>
      </c>
      <c r="H40" s="12">
        <f ca="1">$C40*VLOOKUP($B40,[1]Distributions!$A:$S,H$72,FALSE)</f>
        <v>5.9051204866324616</v>
      </c>
      <c r="I40" s="12">
        <f ca="1">$C40*VLOOKUP($B40,[1]Distributions!$A:$S,I$72,FALSE)</f>
        <v>8.7042660226843136</v>
      </c>
      <c r="J40" s="12">
        <f ca="1">$C40*VLOOKUP($B40,[1]Distributions!$A:$S,J$72,FALSE)</f>
        <v>12.017485402376453</v>
      </c>
      <c r="K40" s="12">
        <f ca="1">$C40*VLOOKUP($B40,[1]Distributions!$A:$S,K$72,FALSE)</f>
        <v>17.408532045368627</v>
      </c>
      <c r="L40" s="12">
        <f ca="1">$C40*VLOOKUP($B40,[1]Distributions!$A:$S,L$72,FALSE)</f>
        <v>20.813261952200921</v>
      </c>
      <c r="M40" s="12">
        <f ca="1">$C40*VLOOKUP($B40,[1]Distributions!$A:$S,M$72,FALSE)</f>
        <v>27.09249900567108</v>
      </c>
      <c r="N40" s="12">
        <f ca="1">$C40*VLOOKUP($B40,[1]Distributions!$A:$S,N$72,FALSE)</f>
        <v>30.394952440993798</v>
      </c>
      <c r="O40" s="12">
        <f ca="1">$C40*VLOOKUP($B40,[1]Distributions!$A:$S,O$72,FALSE)</f>
        <v>29.800134014582778</v>
      </c>
      <c r="P40" s="12">
        <f ca="1">$C40*VLOOKUP($B40,[1]Distributions!$A:$S,P$72,FALSE)</f>
        <v>29.245687879557121</v>
      </c>
      <c r="Q40" s="12">
        <f ca="1">$C40*VLOOKUP($B40,[1]Distributions!$A:$S,Q$72,FALSE)</f>
        <v>30.158101664866329</v>
      </c>
      <c r="R40" s="12">
        <f ca="1">$C40*VLOOKUP($B40,[1]Distributions!$A:$S,R$72,FALSE)</f>
        <v>29.872804139076429</v>
      </c>
      <c r="S40" s="12">
        <f ca="1">$C40*VLOOKUP($B40,[1]Distributions!$A:$S,S$72,FALSE)</f>
        <v>28.518986634620585</v>
      </c>
      <c r="T40" s="12">
        <f ca="1">$C40*VLOOKUP($B40,[1]Distributions!$A:$S,T$72,FALSE)</f>
        <v>27.889178889008917</v>
      </c>
      <c r="U40" s="12">
        <f ca="1">$C40*VLOOKUP($B40,[1]Distributions!$A:$S,U$72,FALSE)</f>
        <v>27.019828881177435</v>
      </c>
    </row>
    <row r="41" spans="1:21" x14ac:dyDescent="0.25">
      <c r="A41" s="14">
        <v>125</v>
      </c>
      <c r="B41" s="14">
        <v>11</v>
      </c>
      <c r="C41" s="18">
        <f ca="1">SUM(VLOOKUP(A41,Compositions!A:J,5,FALSE),VLOOKUP(A41,Compositions!A:J,7,FALSE),VLOOKUP(A41,Compositions!A:J,9,FALSE))</f>
        <v>119.99906799999999</v>
      </c>
      <c r="E41">
        <f>VLOOKUP(A41,Compositions!A:C,3,FALSE)</f>
        <v>85</v>
      </c>
      <c r="F41" t="s">
        <v>84</v>
      </c>
      <c r="G41">
        <f>VLOOKUP(A41,Compositions!A:B,2,FALSE)</f>
        <v>103</v>
      </c>
      <c r="H41" s="12">
        <f ca="1">$C41*VLOOKUP($B41,[1]Distributions!$A:$S,H$72,FALSE)</f>
        <v>74.548439801242239</v>
      </c>
      <c r="I41" s="12">
        <f ca="1">$C41*VLOOKUP($B41,[1]Distributions!$A:$S,I$72,FALSE)</f>
        <v>83.477612521739132</v>
      </c>
      <c r="J41" s="12">
        <f ca="1">$C41*VLOOKUP($B41,[1]Distributions!$A:$S,J$72,FALSE)</f>
        <v>95.987368645962746</v>
      </c>
      <c r="K41" s="12">
        <f ca="1">$C41*VLOOKUP($B41,[1]Distributions!$A:$S,K$72,FALSE)</f>
        <v>109.81941490683232</v>
      </c>
      <c r="L41" s="12">
        <f ca="1">$C41*VLOOKUP($B41,[1]Distributions!$A:$S,L$72,FALSE)</f>
        <v>120.82364218633541</v>
      </c>
      <c r="M41" s="12">
        <f ca="1">$C41*VLOOKUP($B41,[1]Distributions!$A:$S,M$72,FALSE)</f>
        <v>121.22973878260872</v>
      </c>
      <c r="N41" s="12">
        <f ca="1">$C41*VLOOKUP($B41,[1]Distributions!$A:$S,N$72,FALSE)</f>
        <v>123.14136422360248</v>
      </c>
      <c r="O41" s="12">
        <f ca="1">$C41*VLOOKUP($B41,[1]Distributions!$A:$S,O$72,FALSE)</f>
        <v>116.93601013664596</v>
      </c>
      <c r="P41" s="12">
        <f ca="1">$C41*VLOOKUP($B41,[1]Distributions!$A:$S,P$72,FALSE)</f>
        <v>119.46173286956522</v>
      </c>
      <c r="Q41" s="12">
        <f ca="1">$C41*VLOOKUP($B41,[1]Distributions!$A:$S,Q$72,FALSE)</f>
        <v>120.45716477018635</v>
      </c>
      <c r="R41" s="12">
        <f ca="1">$C41*VLOOKUP($B41,[1]Distributions!$A:$S,R$72,FALSE)</f>
        <v>112.76609142857144</v>
      </c>
      <c r="S41" s="12">
        <f ca="1">$C41*VLOOKUP($B41,[1]Distributions!$A:$S,S$72,FALSE)</f>
        <v>105.60987701863354</v>
      </c>
      <c r="T41" s="12">
        <f ca="1">$C41*VLOOKUP($B41,[1]Distributions!$A:$S,T$72,FALSE)</f>
        <v>103.50015567701865</v>
      </c>
      <c r="U41" s="12">
        <f ca="1">$C41*VLOOKUP($B41,[1]Distributions!$A:$S,U$72,FALSE)</f>
        <v>104.73825505590065</v>
      </c>
    </row>
    <row r="42" spans="1:21" x14ac:dyDescent="0.25">
      <c r="A42" s="14">
        <v>349</v>
      </c>
      <c r="B42" s="14">
        <v>11</v>
      </c>
      <c r="C42" s="18">
        <f ca="1">SUM(VLOOKUP(A42,Compositions!A:J,5,FALSE),VLOOKUP(A42,Compositions!A:J,7,FALSE),VLOOKUP(A42,Compositions!A:J,9,FALSE))</f>
        <v>144.99571700000001</v>
      </c>
      <c r="E42">
        <f>VLOOKUP(A42,Compositions!A:C,3,FALSE)</f>
        <v>86</v>
      </c>
      <c r="F42" t="s">
        <v>85</v>
      </c>
      <c r="G42">
        <f>VLOOKUP(A42,Compositions!A:B,2,FALSE)</f>
        <v>104</v>
      </c>
      <c r="H42" s="12">
        <f ca="1">$C42*VLOOKUP($B42,[1]Distributions!$A:$S,H$72,FALSE)</f>
        <v>90.07740360293846</v>
      </c>
      <c r="I42" s="12">
        <f ca="1">$C42*VLOOKUP($B42,[1]Distributions!$A:$S,I$72,FALSE)</f>
        <v>100.86658573913046</v>
      </c>
      <c r="J42" s="12">
        <f ca="1">$C42*VLOOKUP($B42,[1]Distributions!$A:$S,J$72,FALSE)</f>
        <v>115.98221195988529</v>
      </c>
      <c r="K42" s="12">
        <f ca="1">$C42*VLOOKUP($B42,[1]Distributions!$A:$S,K$72,FALSE)</f>
        <v>132.69557064340401</v>
      </c>
      <c r="L42" s="12">
        <f ca="1">$C42*VLOOKUP($B42,[1]Distributions!$A:$S,L$72,FALSE)</f>
        <v>145.99205578295951</v>
      </c>
      <c r="M42" s="12">
        <f ca="1">$C42*VLOOKUP($B42,[1]Distributions!$A:$S,M$72,FALSE)</f>
        <v>146.4827451535462</v>
      </c>
      <c r="N42" s="12">
        <f ca="1">$C42*VLOOKUP($B42,[1]Distributions!$A:$S,N$72,FALSE)</f>
        <v>148.79257560533213</v>
      </c>
      <c r="O42" s="12">
        <f ca="1">$C42*VLOOKUP($B42,[1]Distributions!$A:$S,O$72,FALSE)</f>
        <v>141.29460266209944</v>
      </c>
      <c r="P42" s="12">
        <f ca="1">$C42*VLOOKUP($B42,[1]Distributions!$A:$S,P$72,FALSE)</f>
        <v>144.34645118647987</v>
      </c>
      <c r="Q42" s="12">
        <f ca="1">$C42*VLOOKUP($B42,[1]Distributions!$A:$S,Q$72,FALSE)</f>
        <v>145.54923854608865</v>
      </c>
      <c r="R42" s="12">
        <f ca="1">$C42*VLOOKUP($B42,[1]Distributions!$A:$S,R$72,FALSE)</f>
        <v>136.25606058851452</v>
      </c>
      <c r="S42" s="12">
        <f ca="1">$C42*VLOOKUP($B42,[1]Distributions!$A:$S,S$72,FALSE)</f>
        <v>127.60915643610329</v>
      </c>
      <c r="T42" s="12">
        <f ca="1">$C42*VLOOKUP($B42,[1]Distributions!$A:$S,T$72,FALSE)</f>
        <v>125.05996531573847</v>
      </c>
      <c r="U42" s="12">
        <f ca="1">$C42*VLOOKUP($B42,[1]Distributions!$A:$S,U$72,FALSE)</f>
        <v>126.55596949435633</v>
      </c>
    </row>
    <row r="43" spans="1:21" x14ac:dyDescent="0.25">
      <c r="A43" s="14">
        <v>348</v>
      </c>
      <c r="B43" s="14">
        <v>11</v>
      </c>
      <c r="C43" s="18">
        <f ca="1">SUM(VLOOKUP(A43,Compositions!A:J,5,FALSE),VLOOKUP(A43,Compositions!A:J,7,FALSE),VLOOKUP(A43,Compositions!A:J,9,FALSE))</f>
        <v>336.00958099999997</v>
      </c>
      <c r="E43">
        <f>VLOOKUP(A43,Compositions!A:C,3,FALSE)</f>
        <v>84</v>
      </c>
      <c r="F43" t="s">
        <v>86</v>
      </c>
      <c r="G43">
        <f>VLOOKUP(A43,Compositions!A:B,2,FALSE)</f>
        <v>105</v>
      </c>
      <c r="H43" s="12">
        <f ca="1">$C43*VLOOKUP($B43,[1]Distributions!$A:$S,H$72,FALSE)</f>
        <v>208.74320475404966</v>
      </c>
      <c r="I43" s="12">
        <f ca="1">$C43*VLOOKUP($B43,[1]Distributions!$A:$S,I$72,FALSE)</f>
        <v>233.74579547826087</v>
      </c>
      <c r="J43" s="12">
        <f ca="1">$C43*VLOOKUP($B43,[1]Distributions!$A:$S,J$72,FALSE)</f>
        <v>268.77438348123235</v>
      </c>
      <c r="K43" s="12">
        <f ca="1">$C43*VLOOKUP($B43,[1]Distributions!$A:$S,K$72,FALSE)</f>
        <v>307.50551819710699</v>
      </c>
      <c r="L43" s="12">
        <f ca="1">$C43*VLOOKUP($B43,[1]Distributions!$A:$S,L$72,FALSE)</f>
        <v>338.31847248950703</v>
      </c>
      <c r="M43" s="12">
        <f ca="1">$C43*VLOOKUP($B43,[1]Distributions!$A:$S,M$72,FALSE)</f>
        <v>339.45558421406906</v>
      </c>
      <c r="N43" s="12">
        <f ca="1">$C43*VLOOKUP($B43,[1]Distributions!$A:$S,N$72,FALSE)</f>
        <v>344.80832964920239</v>
      </c>
      <c r="O43" s="12">
        <f ca="1">$C43*VLOOKUP($B43,[1]Distributions!$A:$S,O$72,FALSE)</f>
        <v>327.43270780924865</v>
      </c>
      <c r="P43" s="12">
        <f ca="1">$C43*VLOOKUP($B43,[1]Distributions!$A:$S,P$72,FALSE)</f>
        <v>334.50498804737833</v>
      </c>
      <c r="Q43" s="12">
        <f ca="1">$C43*VLOOKUP($B43,[1]Distributions!$A:$S,Q$72,FALSE)</f>
        <v>337.29229849417061</v>
      </c>
      <c r="R43" s="12">
        <f ca="1">$C43*VLOOKUP($B43,[1]Distributions!$A:$S,R$72,FALSE)</f>
        <v>315.75651180825821</v>
      </c>
      <c r="S43" s="12">
        <f ca="1">$C43*VLOOKUP($B43,[1]Distributions!$A:$S,S$72,FALSE)</f>
        <v>295.71838446689088</v>
      </c>
      <c r="T43" s="12">
        <f ca="1">$C43*VLOOKUP($B43,[1]Distributions!$A:$S,T$72,FALSE)</f>
        <v>289.81095038562972</v>
      </c>
      <c r="U43" s="12">
        <f ca="1">$C43*VLOOKUP($B43,[1]Distributions!$A:$S,U$72,FALSE)</f>
        <v>293.27775442392857</v>
      </c>
    </row>
    <row r="44" spans="1:21" x14ac:dyDescent="0.25">
      <c r="A44" s="14">
        <v>256</v>
      </c>
      <c r="B44" s="14">
        <v>11</v>
      </c>
      <c r="C44" s="18">
        <f ca="1">SUM(VLOOKUP(A44,Compositions!A:J,5,FALSE),VLOOKUP(A44,Compositions!A:J,7,FALSE),VLOOKUP(A44,Compositions!A:J,9,FALSE))</f>
        <v>254.99494100000001</v>
      </c>
      <c r="E44">
        <f>VLOOKUP(A44,Compositions!A:C,3,FALSE)</f>
        <v>87</v>
      </c>
      <c r="F44" t="s">
        <v>87</v>
      </c>
      <c r="G44">
        <f>VLOOKUP(A44,Compositions!A:B,2,FALSE)</f>
        <v>106</v>
      </c>
      <c r="H44" s="12">
        <f ca="1">$C44*VLOOKUP($B44,[1]Distributions!$A:$S,H$72,FALSE)</f>
        <v>158.41352208468669</v>
      </c>
      <c r="I44" s="12">
        <f ca="1">$C44*VLOOKUP($B44,[1]Distributions!$A:$S,I$72,FALSE)</f>
        <v>177.38778504347829</v>
      </c>
      <c r="J44" s="12">
        <f ca="1">$C44*VLOOKUP($B44,[1]Distributions!$A:$S,J$72,FALSE)</f>
        <v>203.97069587759233</v>
      </c>
      <c r="K44" s="12">
        <f ca="1">$C44*VLOOKUP($B44,[1]Distributions!$A:$S,K$72,FALSE)</f>
        <v>233.36343932956405</v>
      </c>
      <c r="L44" s="12">
        <f ca="1">$C44*VLOOKUP($B44,[1]Distributions!$A:$S,L$72,FALSE)</f>
        <v>256.74713999203487</v>
      </c>
      <c r="M44" s="12">
        <f ca="1">$C44*VLOOKUP($B44,[1]Distributions!$A:$S,M$72,FALSE)</f>
        <v>257.61008484096499</v>
      </c>
      <c r="N44" s="12">
        <f ca="1">$C44*VLOOKUP($B44,[1]Distributions!$A:$S,N$72,FALSE)</f>
        <v>261.67223986153817</v>
      </c>
      <c r="O44" s="12">
        <f ca="1">$C44*VLOOKUP($B44,[1]Distributions!$A:$S,O$72,FALSE)</f>
        <v>248.48602162117993</v>
      </c>
      <c r="P44" s="12">
        <f ca="1">$C44*VLOOKUP($B44,[1]Distributions!$A:$S,P$72,FALSE)</f>
        <v>253.8531176328182</v>
      </c>
      <c r="Q44" s="12">
        <f ca="1">$C44*VLOOKUP($B44,[1]Distributions!$A:$S,Q$72,FALSE)</f>
        <v>255.96838488446386</v>
      </c>
      <c r="R44" s="12">
        <f ca="1">$C44*VLOOKUP($B44,[1]Distributions!$A:$S,R$72,FALSE)</f>
        <v>239.62505134314196</v>
      </c>
      <c r="S44" s="12">
        <f ca="1">$C44*VLOOKUP($B44,[1]Distributions!$A:$S,S$72,FALSE)</f>
        <v>224.41827931016698</v>
      </c>
      <c r="T44" s="12">
        <f ca="1">$C44*VLOOKUP($B44,[1]Distributions!$A:$S,T$72,FALSE)</f>
        <v>219.93517558279859</v>
      </c>
      <c r="U44" s="12">
        <f ca="1">$C44*VLOOKUP($B44,[1]Distributions!$A:$S,U$72,FALSE)</f>
        <v>222.56610500026832</v>
      </c>
    </row>
    <row r="45" spans="1:21" x14ac:dyDescent="0.25">
      <c r="A45" s="14">
        <v>431</v>
      </c>
      <c r="B45" s="14">
        <v>11</v>
      </c>
      <c r="C45" s="18">
        <f ca="1">SUM(VLOOKUP(A45,Compositions!A:J,5,FALSE),VLOOKUP(A45,Compositions!A:J,7,FALSE),VLOOKUP(A45,Compositions!A:J,9,FALSE))</f>
        <v>74.999562000000012</v>
      </c>
      <c r="E45">
        <v>90</v>
      </c>
      <c r="G45">
        <f>VLOOKUP(A45,Compositions!A:B,2,FALSE)</f>
        <v>107</v>
      </c>
      <c r="H45" s="12">
        <f ca="1">$C45*VLOOKUP($B45,[1]Distributions!$A:$S,H$72,FALSE)</f>
        <v>46.592864645219883</v>
      </c>
      <c r="I45" s="12">
        <f ca="1">$C45*VLOOKUP($B45,[1]Distributions!$A:$S,I$72,FALSE)</f>
        <v>52.173608347826104</v>
      </c>
      <c r="J45" s="12">
        <f ca="1">$C45*VLOOKUP($B45,[1]Distributions!$A:$S,J$72,FALSE)</f>
        <v>59.992220989414186</v>
      </c>
      <c r="K45" s="12">
        <f ca="1">$C45*VLOOKUP($B45,[1]Distributions!$A:$S,K$72,FALSE)</f>
        <v>68.637266558676075</v>
      </c>
      <c r="L45" s="12">
        <f ca="1">$C45*VLOOKUP($B45,[1]Distributions!$A:$S,L$72,FALSE)</f>
        <v>75.514921859392103</v>
      </c>
      <c r="M45" s="12">
        <f ca="1">$C45*VLOOKUP($B45,[1]Distributions!$A:$S,M$72,FALSE)</f>
        <v>75.768732721074699</v>
      </c>
      <c r="N45" s="12">
        <f ca="1">$C45*VLOOKUP($B45,[1]Distributions!$A:$S,N$72,FALSE)</f>
        <v>76.963500923629326</v>
      </c>
      <c r="O45" s="12">
        <f ca="1">$C45*VLOOKUP($B45,[1]Distributions!$A:$S,O$72,FALSE)</f>
        <v>73.085147146942916</v>
      </c>
      <c r="P45" s="12">
        <f ca="1">$C45*VLOOKUP($B45,[1]Distributions!$A:$S,P$72,FALSE)</f>
        <v>74.663726896432209</v>
      </c>
      <c r="Q45" s="12">
        <f ca="1">$C45*VLOOKUP($B45,[1]Distributions!$A:$S,Q$72,FALSE)</f>
        <v>75.285873032995639</v>
      </c>
      <c r="R45" s="12">
        <f ca="1">$C45*VLOOKUP($B45,[1]Distributions!$A:$S,R$72,FALSE)</f>
        <v>70.478942933080234</v>
      </c>
      <c r="S45" s="12">
        <f ca="1">$C45*VLOOKUP($B45,[1]Distributions!$A:$S,S$72,FALSE)</f>
        <v>66.006300309527262</v>
      </c>
      <c r="T45" s="12">
        <f ca="1">$C45*VLOOKUP($B45,[1]Distributions!$A:$S,T$72,FALSE)</f>
        <v>64.687721930542111</v>
      </c>
      <c r="U45" s="12">
        <f ca="1">$C45*VLOOKUP($B45,[1]Distributions!$A:$S,U$72,FALSE)</f>
        <v>65.461535533232933</v>
      </c>
    </row>
    <row r="46" spans="1:21" x14ac:dyDescent="0.25">
      <c r="A46" s="14">
        <v>257</v>
      </c>
      <c r="B46" s="14">
        <v>14</v>
      </c>
      <c r="C46" s="18">
        <f ca="1">SUM(VLOOKUP(A46,Compositions!A:J,5,FALSE),VLOOKUP(A46,Compositions!A:J,7,FALSE),VLOOKUP(A46,Compositions!A:J,9,FALSE))</f>
        <v>270.08852999999999</v>
      </c>
      <c r="E46">
        <v>91</v>
      </c>
      <c r="G46">
        <f>VLOOKUP(A46,Compositions!A:B,2,FALSE)</f>
        <v>108</v>
      </c>
      <c r="H46" s="12">
        <f ca="1">$C46*VLOOKUP($B46,[1]Distributions!$A:$S,H$72,FALSE)</f>
        <v>132.35242066241651</v>
      </c>
      <c r="I46" s="12">
        <f ca="1">$C46*VLOOKUP($B46,[1]Distributions!$A:$S,I$72,FALSE)</f>
        <v>163.28250716075959</v>
      </c>
      <c r="J46" s="12">
        <f ca="1">$C46*VLOOKUP($B46,[1]Distributions!$A:$S,J$72,FALSE)</f>
        <v>213.93006948207704</v>
      </c>
      <c r="K46" s="12">
        <f ca="1">$C46*VLOOKUP($B46,[1]Distributions!$A:$S,K$72,FALSE)</f>
        <v>221.05380268263551</v>
      </c>
      <c r="L46" s="12">
        <f ca="1">$C46*VLOOKUP($B46,[1]Distributions!$A:$S,L$72,FALSE)</f>
        <v>244.31497231711214</v>
      </c>
      <c r="M46" s="12">
        <f ca="1">$C46*VLOOKUP($B46,[1]Distributions!$A:$S,M$72,FALSE)</f>
        <v>262.7240073481471</v>
      </c>
      <c r="N46" s="12">
        <f ca="1">$C46*VLOOKUP($B46,[1]Distributions!$A:$S,N$72,FALSE)</f>
        <v>263.88706582987112</v>
      </c>
      <c r="O46" s="12">
        <f ca="1">$C46*VLOOKUP($B46,[1]Distributions!$A:$S,O$72,FALSE)</f>
        <v>266.43125625864195</v>
      </c>
      <c r="P46" s="12">
        <f ca="1">$C46*VLOOKUP($B46,[1]Distributions!$A:$S,P$72,FALSE)</f>
        <v>285.54903005197747</v>
      </c>
      <c r="Q46" s="12">
        <f ca="1">$C46*VLOOKUP($B46,[1]Distributions!$A:$S,Q$72,FALSE)</f>
        <v>264.48676785951</v>
      </c>
      <c r="R46" s="12">
        <f ca="1">$C46*VLOOKUP($B46,[1]Distributions!$A:$S,R$72,FALSE)</f>
        <v>245.0964022345203</v>
      </c>
      <c r="S46" s="12">
        <f ca="1">$C46*VLOOKUP($B46,[1]Distributions!$A:$S,S$72,FALSE)</f>
        <v>256.61795031909696</v>
      </c>
      <c r="T46" s="12">
        <f ca="1">$C46*VLOOKUP($B46,[1]Distributions!$A:$S,T$72,FALSE)</f>
        <v>259.08944959276016</v>
      </c>
      <c r="U46" s="12">
        <f ca="1">$C46*VLOOKUP($B46,[1]Distributions!$A:$S,U$72,FALSE)</f>
        <v>255.80017482413493</v>
      </c>
    </row>
    <row r="47" spans="1:21" x14ac:dyDescent="0.25">
      <c r="A47" s="20">
        <v>285</v>
      </c>
      <c r="B47" s="20"/>
      <c r="C47" s="21">
        <v>10</v>
      </c>
      <c r="E47" s="20">
        <v>9999</v>
      </c>
      <c r="F47" s="20" t="s">
        <v>79</v>
      </c>
      <c r="G47" s="20">
        <v>1000</v>
      </c>
      <c r="H47" s="21">
        <f>$C47</f>
        <v>10</v>
      </c>
      <c r="I47" s="21">
        <f t="shared" ref="I47:U56" si="0">$C47</f>
        <v>10</v>
      </c>
      <c r="J47" s="21">
        <f t="shared" si="0"/>
        <v>10</v>
      </c>
      <c r="K47" s="21">
        <f t="shared" si="0"/>
        <v>10</v>
      </c>
      <c r="L47" s="21">
        <f t="shared" si="0"/>
        <v>10</v>
      </c>
      <c r="M47" s="21">
        <f t="shared" si="0"/>
        <v>10</v>
      </c>
      <c r="N47" s="21">
        <f t="shared" si="0"/>
        <v>10</v>
      </c>
      <c r="O47" s="21">
        <f t="shared" si="0"/>
        <v>10</v>
      </c>
      <c r="P47" s="21">
        <f t="shared" si="0"/>
        <v>10</v>
      </c>
      <c r="Q47" s="21">
        <f t="shared" si="0"/>
        <v>10</v>
      </c>
      <c r="R47" s="21">
        <f t="shared" si="0"/>
        <v>10</v>
      </c>
      <c r="S47" s="21">
        <f t="shared" si="0"/>
        <v>10</v>
      </c>
      <c r="T47" s="21">
        <f t="shared" si="0"/>
        <v>10</v>
      </c>
      <c r="U47" s="21">
        <f t="shared" si="0"/>
        <v>10</v>
      </c>
    </row>
    <row r="48" spans="1:21" x14ac:dyDescent="0.25">
      <c r="A48" s="20">
        <v>292</v>
      </c>
      <c r="B48" s="20"/>
      <c r="C48" s="21">
        <v>10</v>
      </c>
      <c r="E48" s="20">
        <v>9999</v>
      </c>
      <c r="F48" s="20" t="s">
        <v>79</v>
      </c>
      <c r="G48" s="20">
        <v>1000</v>
      </c>
      <c r="H48" s="21">
        <f t="shared" ref="H48:U70" si="1">$C48</f>
        <v>10</v>
      </c>
      <c r="I48" s="21">
        <f t="shared" si="0"/>
        <v>10</v>
      </c>
      <c r="J48" s="21">
        <f t="shared" si="0"/>
        <v>10</v>
      </c>
      <c r="K48" s="21">
        <f t="shared" si="0"/>
        <v>10</v>
      </c>
      <c r="L48" s="21">
        <f t="shared" si="0"/>
        <v>10</v>
      </c>
      <c r="M48" s="21">
        <f t="shared" si="0"/>
        <v>10</v>
      </c>
      <c r="N48" s="21">
        <f t="shared" si="0"/>
        <v>10</v>
      </c>
      <c r="O48" s="21">
        <f t="shared" si="0"/>
        <v>10</v>
      </c>
      <c r="P48" s="21">
        <f t="shared" si="0"/>
        <v>10</v>
      </c>
      <c r="Q48" s="21">
        <f t="shared" si="0"/>
        <v>10</v>
      </c>
      <c r="R48" s="21">
        <f t="shared" si="0"/>
        <v>10</v>
      </c>
      <c r="S48" s="21">
        <f t="shared" si="0"/>
        <v>10</v>
      </c>
      <c r="T48" s="21">
        <f t="shared" si="0"/>
        <v>10</v>
      </c>
      <c r="U48" s="21">
        <f t="shared" si="0"/>
        <v>10</v>
      </c>
    </row>
    <row r="49" spans="1:21" x14ac:dyDescent="0.25">
      <c r="A49" s="20">
        <v>297</v>
      </c>
      <c r="B49" s="20"/>
      <c r="C49" s="21">
        <v>10</v>
      </c>
      <c r="E49" s="20">
        <v>9999</v>
      </c>
      <c r="F49" s="20" t="s">
        <v>79</v>
      </c>
      <c r="G49" s="20">
        <v>1000</v>
      </c>
      <c r="H49" s="21">
        <f t="shared" si="1"/>
        <v>10</v>
      </c>
      <c r="I49" s="21">
        <f t="shared" si="0"/>
        <v>10</v>
      </c>
      <c r="J49" s="21">
        <f t="shared" si="0"/>
        <v>10</v>
      </c>
      <c r="K49" s="21">
        <f t="shared" si="0"/>
        <v>10</v>
      </c>
      <c r="L49" s="21">
        <f t="shared" si="0"/>
        <v>10</v>
      </c>
      <c r="M49" s="21">
        <f t="shared" si="0"/>
        <v>10</v>
      </c>
      <c r="N49" s="21">
        <f t="shared" si="0"/>
        <v>10</v>
      </c>
      <c r="O49" s="21">
        <f t="shared" si="0"/>
        <v>10</v>
      </c>
      <c r="P49" s="21">
        <f t="shared" si="0"/>
        <v>10</v>
      </c>
      <c r="Q49" s="21">
        <f t="shared" si="0"/>
        <v>10</v>
      </c>
      <c r="R49" s="21">
        <f t="shared" si="0"/>
        <v>10</v>
      </c>
      <c r="S49" s="21">
        <f t="shared" si="0"/>
        <v>10</v>
      </c>
      <c r="T49" s="21">
        <f t="shared" si="0"/>
        <v>10</v>
      </c>
      <c r="U49" s="21">
        <f t="shared" si="0"/>
        <v>10</v>
      </c>
    </row>
    <row r="50" spans="1:21" x14ac:dyDescent="0.25">
      <c r="A50" s="20">
        <v>296</v>
      </c>
      <c r="B50" s="20"/>
      <c r="C50" s="21">
        <v>10</v>
      </c>
      <c r="E50" s="20">
        <v>9999</v>
      </c>
      <c r="F50" s="20" t="s">
        <v>79</v>
      </c>
      <c r="G50" s="20">
        <v>1000</v>
      </c>
      <c r="H50" s="21">
        <f t="shared" si="1"/>
        <v>10</v>
      </c>
      <c r="I50" s="21">
        <f t="shared" si="0"/>
        <v>10</v>
      </c>
      <c r="J50" s="21">
        <f t="shared" si="0"/>
        <v>10</v>
      </c>
      <c r="K50" s="21">
        <f t="shared" si="0"/>
        <v>10</v>
      </c>
      <c r="L50" s="21">
        <f t="shared" si="0"/>
        <v>10</v>
      </c>
      <c r="M50" s="21">
        <f t="shared" si="0"/>
        <v>10</v>
      </c>
      <c r="N50" s="21">
        <f t="shared" si="0"/>
        <v>10</v>
      </c>
      <c r="O50" s="21">
        <f t="shared" si="0"/>
        <v>10</v>
      </c>
      <c r="P50" s="21">
        <f t="shared" si="0"/>
        <v>10</v>
      </c>
      <c r="Q50" s="21">
        <f t="shared" si="0"/>
        <v>10</v>
      </c>
      <c r="R50" s="21">
        <f t="shared" si="0"/>
        <v>10</v>
      </c>
      <c r="S50" s="21">
        <f t="shared" si="0"/>
        <v>10</v>
      </c>
      <c r="T50" s="21">
        <f t="shared" si="0"/>
        <v>10</v>
      </c>
      <c r="U50" s="21">
        <f t="shared" si="0"/>
        <v>10</v>
      </c>
    </row>
    <row r="51" spans="1:21" x14ac:dyDescent="0.25">
      <c r="A51" s="20">
        <v>283</v>
      </c>
      <c r="B51" s="20"/>
      <c r="C51" s="21">
        <v>10</v>
      </c>
      <c r="E51" s="20">
        <v>9999</v>
      </c>
      <c r="F51" s="20" t="s">
        <v>79</v>
      </c>
      <c r="G51" s="20">
        <v>1000</v>
      </c>
      <c r="H51" s="21">
        <f t="shared" si="1"/>
        <v>10</v>
      </c>
      <c r="I51" s="21">
        <f t="shared" si="0"/>
        <v>10</v>
      </c>
      <c r="J51" s="21">
        <f t="shared" si="0"/>
        <v>10</v>
      </c>
      <c r="K51" s="21">
        <f t="shared" si="0"/>
        <v>10</v>
      </c>
      <c r="L51" s="21">
        <f t="shared" si="0"/>
        <v>10</v>
      </c>
      <c r="M51" s="21">
        <f t="shared" si="0"/>
        <v>10</v>
      </c>
      <c r="N51" s="21">
        <f t="shared" si="0"/>
        <v>10</v>
      </c>
      <c r="O51" s="21">
        <f t="shared" si="0"/>
        <v>10</v>
      </c>
      <c r="P51" s="21">
        <f t="shared" si="0"/>
        <v>10</v>
      </c>
      <c r="Q51" s="21">
        <f t="shared" si="0"/>
        <v>10</v>
      </c>
      <c r="R51" s="21">
        <f t="shared" si="0"/>
        <v>10</v>
      </c>
      <c r="S51" s="21">
        <f t="shared" si="0"/>
        <v>10</v>
      </c>
      <c r="T51" s="21">
        <f t="shared" si="0"/>
        <v>10</v>
      </c>
      <c r="U51" s="21">
        <f t="shared" si="0"/>
        <v>10</v>
      </c>
    </row>
    <row r="52" spans="1:21" x14ac:dyDescent="0.25">
      <c r="A52" s="20">
        <v>284</v>
      </c>
      <c r="B52" s="20"/>
      <c r="C52" s="21">
        <v>10</v>
      </c>
      <c r="E52" s="20">
        <v>9999</v>
      </c>
      <c r="F52" s="20" t="s">
        <v>79</v>
      </c>
      <c r="G52" s="20">
        <v>1000</v>
      </c>
      <c r="H52" s="21">
        <f t="shared" si="1"/>
        <v>10</v>
      </c>
      <c r="I52" s="21">
        <f t="shared" si="0"/>
        <v>10</v>
      </c>
      <c r="J52" s="21">
        <f t="shared" si="0"/>
        <v>10</v>
      </c>
      <c r="K52" s="21">
        <f t="shared" si="0"/>
        <v>10</v>
      </c>
      <c r="L52" s="21">
        <f t="shared" si="0"/>
        <v>10</v>
      </c>
      <c r="M52" s="21">
        <f t="shared" si="0"/>
        <v>10</v>
      </c>
      <c r="N52" s="21">
        <f t="shared" si="0"/>
        <v>10</v>
      </c>
      <c r="O52" s="21">
        <f t="shared" si="0"/>
        <v>10</v>
      </c>
      <c r="P52" s="21">
        <f t="shared" si="0"/>
        <v>10</v>
      </c>
      <c r="Q52" s="21">
        <f t="shared" si="0"/>
        <v>10</v>
      </c>
      <c r="R52" s="21">
        <f t="shared" si="0"/>
        <v>10</v>
      </c>
      <c r="S52" s="21">
        <f t="shared" si="0"/>
        <v>10</v>
      </c>
      <c r="T52" s="21">
        <f t="shared" si="0"/>
        <v>10</v>
      </c>
      <c r="U52" s="21">
        <f t="shared" si="0"/>
        <v>10</v>
      </c>
    </row>
    <row r="53" spans="1:21" x14ac:dyDescent="0.25">
      <c r="A53" s="20">
        <v>280</v>
      </c>
      <c r="B53" s="20"/>
      <c r="C53" s="21">
        <v>10</v>
      </c>
      <c r="E53" s="20">
        <v>9999</v>
      </c>
      <c r="F53" s="20" t="s">
        <v>79</v>
      </c>
      <c r="G53" s="20">
        <v>1000</v>
      </c>
      <c r="H53" s="21">
        <f t="shared" si="1"/>
        <v>10</v>
      </c>
      <c r="I53" s="21">
        <f t="shared" si="0"/>
        <v>10</v>
      </c>
      <c r="J53" s="21">
        <f t="shared" si="0"/>
        <v>10</v>
      </c>
      <c r="K53" s="21">
        <f t="shared" si="0"/>
        <v>10</v>
      </c>
      <c r="L53" s="21">
        <f t="shared" si="0"/>
        <v>10</v>
      </c>
      <c r="M53" s="21">
        <f t="shared" si="0"/>
        <v>10</v>
      </c>
      <c r="N53" s="21">
        <f t="shared" si="0"/>
        <v>10</v>
      </c>
      <c r="O53" s="21">
        <f t="shared" si="0"/>
        <v>10</v>
      </c>
      <c r="P53" s="21">
        <f t="shared" si="0"/>
        <v>10</v>
      </c>
      <c r="Q53" s="21">
        <f t="shared" si="0"/>
        <v>10</v>
      </c>
      <c r="R53" s="21">
        <f t="shared" si="0"/>
        <v>10</v>
      </c>
      <c r="S53" s="21">
        <f t="shared" si="0"/>
        <v>10</v>
      </c>
      <c r="T53" s="21">
        <f t="shared" si="0"/>
        <v>10</v>
      </c>
      <c r="U53" s="21">
        <f t="shared" si="0"/>
        <v>10</v>
      </c>
    </row>
    <row r="54" spans="1:21" x14ac:dyDescent="0.25">
      <c r="A54" s="20">
        <v>279</v>
      </c>
      <c r="B54" s="20"/>
      <c r="C54" s="21">
        <v>10</v>
      </c>
      <c r="E54" s="20">
        <v>9999</v>
      </c>
      <c r="F54" s="20" t="s">
        <v>79</v>
      </c>
      <c r="G54" s="20">
        <v>1000</v>
      </c>
      <c r="H54" s="21">
        <f t="shared" si="1"/>
        <v>10</v>
      </c>
      <c r="I54" s="21">
        <f t="shared" si="0"/>
        <v>10</v>
      </c>
      <c r="J54" s="21">
        <f t="shared" si="0"/>
        <v>10</v>
      </c>
      <c r="K54" s="21">
        <f t="shared" si="0"/>
        <v>10</v>
      </c>
      <c r="L54" s="21">
        <f t="shared" si="0"/>
        <v>10</v>
      </c>
      <c r="M54" s="21">
        <f t="shared" si="0"/>
        <v>10</v>
      </c>
      <c r="N54" s="21">
        <f t="shared" si="0"/>
        <v>10</v>
      </c>
      <c r="O54" s="21">
        <f t="shared" si="0"/>
        <v>10</v>
      </c>
      <c r="P54" s="21">
        <f t="shared" si="0"/>
        <v>10</v>
      </c>
      <c r="Q54" s="21">
        <f t="shared" si="0"/>
        <v>10</v>
      </c>
      <c r="R54" s="21">
        <f t="shared" si="0"/>
        <v>10</v>
      </c>
      <c r="S54" s="21">
        <f t="shared" si="0"/>
        <v>10</v>
      </c>
      <c r="T54" s="21">
        <f t="shared" si="0"/>
        <v>10</v>
      </c>
      <c r="U54" s="21">
        <f t="shared" si="0"/>
        <v>10</v>
      </c>
    </row>
    <row r="55" spans="1:21" x14ac:dyDescent="0.25">
      <c r="A55" s="20">
        <v>282</v>
      </c>
      <c r="B55" s="20"/>
      <c r="C55" s="21">
        <v>10</v>
      </c>
      <c r="E55" s="20">
        <v>9999</v>
      </c>
      <c r="F55" s="20" t="s">
        <v>79</v>
      </c>
      <c r="G55" s="20">
        <v>1000</v>
      </c>
      <c r="H55" s="21">
        <f t="shared" si="1"/>
        <v>10</v>
      </c>
      <c r="I55" s="21">
        <f t="shared" si="0"/>
        <v>10</v>
      </c>
      <c r="J55" s="21">
        <f t="shared" si="0"/>
        <v>10</v>
      </c>
      <c r="K55" s="21">
        <f t="shared" si="0"/>
        <v>10</v>
      </c>
      <c r="L55" s="21">
        <f t="shared" si="0"/>
        <v>10</v>
      </c>
      <c r="M55" s="21">
        <f t="shared" si="0"/>
        <v>10</v>
      </c>
      <c r="N55" s="21">
        <f t="shared" si="0"/>
        <v>10</v>
      </c>
      <c r="O55" s="21">
        <f t="shared" si="0"/>
        <v>10</v>
      </c>
      <c r="P55" s="21">
        <f t="shared" si="0"/>
        <v>10</v>
      </c>
      <c r="Q55" s="21">
        <f t="shared" si="0"/>
        <v>10</v>
      </c>
      <c r="R55" s="21">
        <f t="shared" si="0"/>
        <v>10</v>
      </c>
      <c r="S55" s="21">
        <f t="shared" si="0"/>
        <v>10</v>
      </c>
      <c r="T55" s="21">
        <f t="shared" si="0"/>
        <v>10</v>
      </c>
      <c r="U55" s="21">
        <f t="shared" si="0"/>
        <v>10</v>
      </c>
    </row>
    <row r="56" spans="1:21" x14ac:dyDescent="0.25">
      <c r="A56" s="20">
        <v>281</v>
      </c>
      <c r="B56" s="20"/>
      <c r="C56" s="21">
        <v>10</v>
      </c>
      <c r="E56" s="20">
        <v>9999</v>
      </c>
      <c r="F56" s="20" t="s">
        <v>79</v>
      </c>
      <c r="G56" s="20">
        <v>1000</v>
      </c>
      <c r="H56" s="21">
        <f t="shared" si="1"/>
        <v>10</v>
      </c>
      <c r="I56" s="21">
        <f t="shared" si="0"/>
        <v>10</v>
      </c>
      <c r="J56" s="21">
        <f t="shared" si="0"/>
        <v>10</v>
      </c>
      <c r="K56" s="21">
        <f t="shared" si="0"/>
        <v>10</v>
      </c>
      <c r="L56" s="21">
        <f t="shared" si="0"/>
        <v>10</v>
      </c>
      <c r="M56" s="21">
        <f t="shared" si="0"/>
        <v>10</v>
      </c>
      <c r="N56" s="21">
        <f t="shared" si="0"/>
        <v>10</v>
      </c>
      <c r="O56" s="21">
        <f t="shared" si="0"/>
        <v>10</v>
      </c>
      <c r="P56" s="21">
        <f t="shared" si="0"/>
        <v>10</v>
      </c>
      <c r="Q56" s="21">
        <f t="shared" si="0"/>
        <v>10</v>
      </c>
      <c r="R56" s="21">
        <f t="shared" si="0"/>
        <v>10</v>
      </c>
      <c r="S56" s="21">
        <f t="shared" si="0"/>
        <v>10</v>
      </c>
      <c r="T56" s="21">
        <f t="shared" si="0"/>
        <v>10</v>
      </c>
      <c r="U56" s="21">
        <f t="shared" si="0"/>
        <v>10</v>
      </c>
    </row>
    <row r="57" spans="1:21" x14ac:dyDescent="0.25">
      <c r="A57" s="25">
        <v>273</v>
      </c>
      <c r="B57" s="25"/>
      <c r="C57" s="26"/>
      <c r="E57" s="25">
        <v>9999</v>
      </c>
      <c r="F57" s="25" t="s">
        <v>79</v>
      </c>
      <c r="G57" s="25">
        <v>1000</v>
      </c>
      <c r="H57" s="26">
        <v>8</v>
      </c>
      <c r="I57" s="26">
        <v>0</v>
      </c>
      <c r="J57" s="26">
        <v>2</v>
      </c>
      <c r="K57" s="26">
        <v>2</v>
      </c>
      <c r="L57" s="26">
        <v>2</v>
      </c>
      <c r="M57" s="26">
        <v>2</v>
      </c>
      <c r="N57" s="26">
        <v>6</v>
      </c>
      <c r="O57" s="26">
        <v>8</v>
      </c>
      <c r="P57" s="26">
        <v>0</v>
      </c>
      <c r="Q57" s="26">
        <v>6</v>
      </c>
      <c r="R57" s="26">
        <v>2</v>
      </c>
      <c r="S57" s="26">
        <v>6</v>
      </c>
      <c r="T57" s="26">
        <v>4</v>
      </c>
      <c r="U57" s="26">
        <v>0</v>
      </c>
    </row>
    <row r="58" spans="1:21" x14ac:dyDescent="0.25">
      <c r="A58" s="25">
        <v>272</v>
      </c>
      <c r="B58" s="25"/>
      <c r="C58" s="26"/>
      <c r="E58" s="25">
        <v>9999</v>
      </c>
      <c r="F58" s="25" t="s">
        <v>79</v>
      </c>
      <c r="G58" s="25">
        <v>1000</v>
      </c>
      <c r="H58" s="26">
        <v>8</v>
      </c>
      <c r="I58" s="26">
        <v>0</v>
      </c>
      <c r="J58" s="26">
        <v>2</v>
      </c>
      <c r="K58" s="26">
        <v>2</v>
      </c>
      <c r="L58" s="26">
        <v>2</v>
      </c>
      <c r="M58" s="26">
        <v>2</v>
      </c>
      <c r="N58" s="26">
        <v>6</v>
      </c>
      <c r="O58" s="26">
        <v>8</v>
      </c>
      <c r="P58" s="26">
        <v>0</v>
      </c>
      <c r="Q58" s="26">
        <v>6</v>
      </c>
      <c r="R58" s="26">
        <v>2</v>
      </c>
      <c r="S58" s="26">
        <v>6</v>
      </c>
      <c r="T58" s="26">
        <v>4</v>
      </c>
      <c r="U58" s="26">
        <v>0</v>
      </c>
    </row>
    <row r="59" spans="1:21" x14ac:dyDescent="0.25">
      <c r="A59" s="25">
        <v>274</v>
      </c>
      <c r="B59" s="25"/>
      <c r="C59" s="26"/>
      <c r="E59" s="25">
        <v>9999</v>
      </c>
      <c r="F59" s="25" t="s">
        <v>79</v>
      </c>
      <c r="G59" s="25">
        <v>1000</v>
      </c>
      <c r="H59" s="26">
        <v>0</v>
      </c>
      <c r="I59" s="26">
        <v>0</v>
      </c>
      <c r="J59" s="26">
        <v>0</v>
      </c>
      <c r="K59" s="26">
        <v>2</v>
      </c>
      <c r="L59" s="26">
        <v>2</v>
      </c>
      <c r="M59" s="26">
        <v>2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6">
        <v>0</v>
      </c>
      <c r="U59" s="26">
        <v>0</v>
      </c>
    </row>
    <row r="60" spans="1:21" x14ac:dyDescent="0.25">
      <c r="A60" s="25">
        <v>275</v>
      </c>
      <c r="B60" s="25"/>
      <c r="C60" s="26"/>
      <c r="E60" s="25">
        <v>9999</v>
      </c>
      <c r="F60" s="25" t="s">
        <v>79</v>
      </c>
      <c r="G60" s="25">
        <v>1000</v>
      </c>
      <c r="H60" s="26">
        <v>0</v>
      </c>
      <c r="I60" s="26">
        <v>0</v>
      </c>
      <c r="J60" s="26">
        <v>0</v>
      </c>
      <c r="K60" s="26">
        <v>2</v>
      </c>
      <c r="L60" s="26">
        <v>2</v>
      </c>
      <c r="M60" s="26">
        <v>2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6">
        <v>0</v>
      </c>
    </row>
    <row r="61" spans="1:21" x14ac:dyDescent="0.25">
      <c r="A61" s="25">
        <v>276</v>
      </c>
      <c r="B61" s="25"/>
      <c r="C61" s="26"/>
      <c r="E61" s="25">
        <v>9999</v>
      </c>
      <c r="F61" s="25" t="s">
        <v>79</v>
      </c>
      <c r="G61" s="25">
        <v>1000</v>
      </c>
      <c r="H61" s="26">
        <v>0</v>
      </c>
      <c r="I61" s="26">
        <v>0</v>
      </c>
      <c r="J61" s="26">
        <v>0</v>
      </c>
      <c r="K61" s="26">
        <v>2</v>
      </c>
      <c r="L61" s="26">
        <v>0</v>
      </c>
      <c r="M61" s="26">
        <v>0</v>
      </c>
      <c r="N61" s="26">
        <v>2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6">
        <v>0</v>
      </c>
      <c r="U61" s="26">
        <v>0</v>
      </c>
    </row>
    <row r="62" spans="1:21" x14ac:dyDescent="0.25">
      <c r="A62" s="25">
        <v>278</v>
      </c>
      <c r="B62" s="25"/>
      <c r="C62" s="26"/>
      <c r="E62" s="25">
        <v>9999</v>
      </c>
      <c r="F62" s="25" t="s">
        <v>79</v>
      </c>
      <c r="G62" s="25">
        <v>1000</v>
      </c>
      <c r="H62" s="26">
        <v>0</v>
      </c>
      <c r="I62" s="26">
        <v>0</v>
      </c>
      <c r="J62" s="26">
        <v>0</v>
      </c>
      <c r="K62" s="26">
        <v>2</v>
      </c>
      <c r="L62" s="26">
        <v>0</v>
      </c>
      <c r="M62" s="26">
        <v>0</v>
      </c>
      <c r="N62" s="26">
        <v>2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</row>
    <row r="63" spans="1:21" x14ac:dyDescent="0.25">
      <c r="A63" s="25">
        <v>271</v>
      </c>
      <c r="B63" s="25"/>
      <c r="C63" s="26"/>
      <c r="E63" s="25">
        <v>9999</v>
      </c>
      <c r="F63" s="25" t="s">
        <v>79</v>
      </c>
      <c r="G63" s="25">
        <v>1000</v>
      </c>
      <c r="H63" s="26">
        <v>4</v>
      </c>
      <c r="I63" s="26">
        <v>0</v>
      </c>
      <c r="J63" s="26">
        <v>0</v>
      </c>
      <c r="K63" s="26">
        <v>0</v>
      </c>
      <c r="L63" s="26">
        <v>0</v>
      </c>
      <c r="M63" s="26">
        <v>4</v>
      </c>
      <c r="N63" s="26">
        <v>4</v>
      </c>
      <c r="O63" s="26">
        <v>0</v>
      </c>
      <c r="P63" s="26">
        <v>2</v>
      </c>
      <c r="Q63" s="26">
        <v>2</v>
      </c>
      <c r="R63" s="26">
        <v>2</v>
      </c>
      <c r="S63" s="26">
        <v>6</v>
      </c>
      <c r="T63" s="26">
        <v>2</v>
      </c>
      <c r="U63" s="26">
        <v>0</v>
      </c>
    </row>
    <row r="64" spans="1:21" x14ac:dyDescent="0.25">
      <c r="A64" s="25">
        <v>270</v>
      </c>
      <c r="B64" s="25"/>
      <c r="C64" s="26"/>
      <c r="E64" s="25">
        <v>9999</v>
      </c>
      <c r="F64" s="25" t="s">
        <v>79</v>
      </c>
      <c r="G64" s="25">
        <v>1000</v>
      </c>
      <c r="H64" s="26">
        <v>4</v>
      </c>
      <c r="I64" s="26">
        <v>0</v>
      </c>
      <c r="J64" s="26">
        <v>0</v>
      </c>
      <c r="K64" s="26">
        <v>0</v>
      </c>
      <c r="L64" s="26">
        <v>0</v>
      </c>
      <c r="M64" s="26">
        <v>4</v>
      </c>
      <c r="N64" s="26">
        <v>4</v>
      </c>
      <c r="O64" s="26">
        <v>0</v>
      </c>
      <c r="P64" s="26">
        <v>2</v>
      </c>
      <c r="Q64" s="26">
        <v>2</v>
      </c>
      <c r="R64" s="26">
        <v>2</v>
      </c>
      <c r="S64" s="26">
        <v>6</v>
      </c>
      <c r="T64" s="26">
        <v>2</v>
      </c>
      <c r="U64" s="26">
        <v>0</v>
      </c>
    </row>
    <row r="65" spans="1:21" x14ac:dyDescent="0.25">
      <c r="A65" s="25">
        <v>265</v>
      </c>
      <c r="B65" s="25"/>
      <c r="C65" s="26"/>
      <c r="E65" s="25">
        <v>9999</v>
      </c>
      <c r="F65" s="25" t="s">
        <v>79</v>
      </c>
      <c r="G65" s="25">
        <v>1000</v>
      </c>
      <c r="H65" s="26">
        <v>4</v>
      </c>
      <c r="I65" s="26">
        <v>0</v>
      </c>
      <c r="J65" s="26">
        <v>0</v>
      </c>
      <c r="K65" s="26">
        <v>0</v>
      </c>
      <c r="L65" s="26">
        <v>0</v>
      </c>
      <c r="M65" s="26">
        <v>4</v>
      </c>
      <c r="N65" s="26">
        <v>4</v>
      </c>
      <c r="O65" s="26">
        <v>0</v>
      </c>
      <c r="P65" s="26">
        <v>2</v>
      </c>
      <c r="Q65" s="26">
        <v>2</v>
      </c>
      <c r="R65" s="26">
        <v>2</v>
      </c>
      <c r="S65" s="26">
        <v>6</v>
      </c>
      <c r="T65" s="26">
        <v>2</v>
      </c>
      <c r="U65" s="26">
        <v>0</v>
      </c>
    </row>
    <row r="66" spans="1:21" x14ac:dyDescent="0.25">
      <c r="A66" s="25">
        <v>266</v>
      </c>
      <c r="B66" s="25"/>
      <c r="C66" s="26"/>
      <c r="E66" s="25">
        <v>9999</v>
      </c>
      <c r="F66" s="25" t="s">
        <v>79</v>
      </c>
      <c r="G66" s="25">
        <v>1000</v>
      </c>
      <c r="H66" s="26">
        <v>4</v>
      </c>
      <c r="I66" s="26">
        <v>0</v>
      </c>
      <c r="J66" s="26">
        <v>0</v>
      </c>
      <c r="K66" s="26">
        <v>0</v>
      </c>
      <c r="L66" s="26">
        <v>0</v>
      </c>
      <c r="M66" s="26">
        <v>4</v>
      </c>
      <c r="N66" s="26">
        <v>4</v>
      </c>
      <c r="O66" s="26">
        <v>0</v>
      </c>
      <c r="P66" s="26">
        <v>2</v>
      </c>
      <c r="Q66" s="26">
        <v>2</v>
      </c>
      <c r="R66" s="26">
        <v>2</v>
      </c>
      <c r="S66" s="26">
        <v>6</v>
      </c>
      <c r="T66" s="26">
        <v>2</v>
      </c>
      <c r="U66" s="26">
        <v>0</v>
      </c>
    </row>
    <row r="67" spans="1:21" x14ac:dyDescent="0.25">
      <c r="A67" s="25">
        <v>259</v>
      </c>
      <c r="B67" s="25"/>
      <c r="C67" s="26">
        <v>0</v>
      </c>
      <c r="E67" s="25">
        <v>9999</v>
      </c>
      <c r="F67" s="25" t="s">
        <v>79</v>
      </c>
      <c r="G67" s="25">
        <v>1000</v>
      </c>
      <c r="H67" s="26">
        <f t="shared" si="1"/>
        <v>0</v>
      </c>
      <c r="I67" s="26">
        <f t="shared" si="1"/>
        <v>0</v>
      </c>
      <c r="J67" s="26">
        <f t="shared" si="1"/>
        <v>0</v>
      </c>
      <c r="K67" s="26">
        <f t="shared" si="1"/>
        <v>0</v>
      </c>
      <c r="L67" s="26">
        <f t="shared" si="1"/>
        <v>0</v>
      </c>
      <c r="M67" s="26">
        <f t="shared" si="1"/>
        <v>0</v>
      </c>
      <c r="N67" s="26">
        <f t="shared" si="1"/>
        <v>0</v>
      </c>
      <c r="O67" s="26">
        <f t="shared" si="1"/>
        <v>0</v>
      </c>
      <c r="P67" s="26">
        <f t="shared" si="1"/>
        <v>0</v>
      </c>
      <c r="Q67" s="26">
        <f t="shared" si="1"/>
        <v>0</v>
      </c>
      <c r="R67" s="26">
        <f t="shared" si="1"/>
        <v>0</v>
      </c>
      <c r="S67" s="26">
        <f t="shared" si="1"/>
        <v>0</v>
      </c>
      <c r="T67" s="26">
        <f t="shared" si="1"/>
        <v>0</v>
      </c>
      <c r="U67" s="26">
        <f t="shared" si="1"/>
        <v>0</v>
      </c>
    </row>
    <row r="68" spans="1:21" x14ac:dyDescent="0.25">
      <c r="A68" s="25">
        <v>258</v>
      </c>
      <c r="B68" s="25"/>
      <c r="C68" s="26"/>
      <c r="E68" s="25">
        <v>9999</v>
      </c>
      <c r="F68" s="25" t="s">
        <v>79</v>
      </c>
      <c r="G68" s="25">
        <v>1000</v>
      </c>
      <c r="H68" s="26">
        <v>16</v>
      </c>
      <c r="I68" s="26">
        <v>8</v>
      </c>
      <c r="J68" s="26">
        <v>12</v>
      </c>
      <c r="K68" s="26">
        <v>4</v>
      </c>
      <c r="L68" s="26">
        <v>16</v>
      </c>
      <c r="M68" s="26">
        <v>14</v>
      </c>
      <c r="N68" s="26">
        <v>18</v>
      </c>
      <c r="O68" s="26">
        <v>14</v>
      </c>
      <c r="P68" s="26">
        <v>16</v>
      </c>
      <c r="Q68" s="26">
        <v>40</v>
      </c>
      <c r="R68" s="26">
        <v>16</v>
      </c>
      <c r="S68" s="26">
        <v>14</v>
      </c>
      <c r="T68" s="26">
        <v>18</v>
      </c>
      <c r="U68" s="26">
        <v>4</v>
      </c>
    </row>
    <row r="69" spans="1:21" x14ac:dyDescent="0.25">
      <c r="A69" s="25">
        <v>269</v>
      </c>
      <c r="B69" s="25"/>
      <c r="C69" s="26"/>
      <c r="E69" s="25">
        <v>9999</v>
      </c>
      <c r="F69" s="25" t="s">
        <v>79</v>
      </c>
      <c r="G69" s="25">
        <v>1000</v>
      </c>
      <c r="H69" s="26">
        <v>16</v>
      </c>
      <c r="I69" s="26">
        <v>8</v>
      </c>
      <c r="J69" s="26">
        <v>12</v>
      </c>
      <c r="K69" s="26">
        <v>4</v>
      </c>
      <c r="L69" s="26">
        <v>16</v>
      </c>
      <c r="M69" s="26">
        <v>14</v>
      </c>
      <c r="N69" s="26">
        <v>18</v>
      </c>
      <c r="O69" s="26">
        <v>14</v>
      </c>
      <c r="P69" s="26">
        <v>16</v>
      </c>
      <c r="Q69" s="26">
        <v>40</v>
      </c>
      <c r="R69" s="26">
        <v>16</v>
      </c>
      <c r="S69" s="26">
        <v>14</v>
      </c>
      <c r="T69" s="26">
        <v>18</v>
      </c>
      <c r="U69" s="26">
        <v>4</v>
      </c>
    </row>
    <row r="70" spans="1:21" x14ac:dyDescent="0.25">
      <c r="A70" s="25">
        <v>267</v>
      </c>
      <c r="B70" s="25"/>
      <c r="C70" s="26"/>
      <c r="E70" s="25">
        <v>9999</v>
      </c>
      <c r="F70" s="25" t="s">
        <v>79</v>
      </c>
      <c r="G70" s="25">
        <v>1000</v>
      </c>
      <c r="H70" s="26">
        <f t="shared" si="1"/>
        <v>0</v>
      </c>
      <c r="I70" s="26">
        <f t="shared" si="1"/>
        <v>0</v>
      </c>
      <c r="J70" s="26">
        <f t="shared" si="1"/>
        <v>0</v>
      </c>
      <c r="K70" s="26">
        <f t="shared" si="1"/>
        <v>0</v>
      </c>
      <c r="L70" s="26">
        <f t="shared" si="1"/>
        <v>0</v>
      </c>
      <c r="M70" s="26">
        <f t="shared" si="1"/>
        <v>0</v>
      </c>
      <c r="N70" s="26">
        <f t="shared" si="1"/>
        <v>0</v>
      </c>
      <c r="O70" s="26">
        <f t="shared" si="1"/>
        <v>0</v>
      </c>
      <c r="P70" s="26">
        <f t="shared" si="1"/>
        <v>0</v>
      </c>
      <c r="Q70" s="26">
        <f t="shared" si="1"/>
        <v>0</v>
      </c>
      <c r="R70" s="26">
        <f t="shared" si="1"/>
        <v>0</v>
      </c>
      <c r="S70" s="26">
        <f t="shared" si="1"/>
        <v>0</v>
      </c>
      <c r="T70" s="26">
        <f t="shared" si="1"/>
        <v>0</v>
      </c>
      <c r="U70" s="26">
        <f t="shared" si="1"/>
        <v>0</v>
      </c>
    </row>
    <row r="71" spans="1:21" s="6" customFormat="1" x14ac:dyDescent="0.25">
      <c r="C71" s="27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ht="45" x14ac:dyDescent="0.25">
      <c r="G72" s="30" t="s">
        <v>66</v>
      </c>
      <c r="H72" s="14">
        <v>5</v>
      </c>
      <c r="I72" s="14">
        <v>6</v>
      </c>
      <c r="J72" s="14">
        <v>7</v>
      </c>
      <c r="K72" s="14">
        <v>8</v>
      </c>
      <c r="L72" s="14">
        <v>9</v>
      </c>
      <c r="M72" s="14">
        <v>10</v>
      </c>
      <c r="N72" s="14">
        <v>11</v>
      </c>
      <c r="O72" s="14">
        <v>12</v>
      </c>
      <c r="P72" s="14">
        <v>13</v>
      </c>
      <c r="Q72" s="14">
        <v>14</v>
      </c>
      <c r="R72" s="14">
        <v>15</v>
      </c>
      <c r="S72" s="14">
        <v>16</v>
      </c>
      <c r="T72" s="14">
        <v>17</v>
      </c>
      <c r="U72" s="14">
        <v>18</v>
      </c>
    </row>
    <row r="76" spans="1:21" x14ac:dyDescent="0.25">
      <c r="A76" s="32" t="s">
        <v>81</v>
      </c>
      <c r="B76" s="32"/>
      <c r="C76" s="33"/>
    </row>
    <row r="77" spans="1:21" x14ac:dyDescent="0.25">
      <c r="A77" s="14">
        <v>132</v>
      </c>
      <c r="B77" s="14">
        <v>14</v>
      </c>
      <c r="C77" s="18" t="e">
        <f ca="1">SUM(VLOOKUP(A77,Compositions!A:J,5,FALSE),VLOOKUP(A77,Compositions!A:J,7,FALSE),VLOOKUP(A77,Compositions!A:J,9,FALSE))</f>
        <v>#N/A</v>
      </c>
      <c r="E77" t="e">
        <f>VLOOKUP(A77,Compositions!A:C,3,FALSE)</f>
        <v>#N/A</v>
      </c>
      <c r="F77" t="s">
        <v>34</v>
      </c>
      <c r="G77">
        <f>VLOOKUP(A77,Compositions!A:B,2,FALSE)</f>
        <v>26</v>
      </c>
      <c r="H77" s="12" t="e">
        <f ca="1">J77</f>
        <v>#N/A</v>
      </c>
      <c r="I77" s="12" t="e">
        <f ca="1">K77</f>
        <v>#N/A</v>
      </c>
      <c r="J77" s="12" t="e">
        <f ca="1">$C77*VLOOKUP($B77,[1]Distributions!$A:$AK,J$72,FALSE)</f>
        <v>#N/A</v>
      </c>
      <c r="K77" s="12" t="e">
        <f ca="1">$C77*VLOOKUP($B77,[1]Distributions!$A:$AK,K$72,FALSE)</f>
        <v>#N/A</v>
      </c>
      <c r="L77" s="12" t="e">
        <f ca="1">$C77*VLOOKUP($B77,[1]Distributions!$A:$AK,L$72,FALSE)</f>
        <v>#N/A</v>
      </c>
      <c r="M77" s="12" t="e">
        <f ca="1">$C77*VLOOKUP($B77,[1]Distributions!$A:$AK,M$72,FALSE)</f>
        <v>#N/A</v>
      </c>
      <c r="N77" s="12" t="e">
        <f ca="1">$C77*VLOOKUP($B77,[1]Distributions!$A:$AK,N$72,FALSE)</f>
        <v>#N/A</v>
      </c>
      <c r="O77" s="12" t="e">
        <f ca="1">$C77*VLOOKUP($B77,[1]Distributions!$A:$AK,O$72,FALSE)</f>
        <v>#N/A</v>
      </c>
      <c r="P77" s="12" t="e">
        <f ca="1">$C77*VLOOKUP($B77,[1]Distributions!$A:$AK,P$72,FALSE)</f>
        <v>#N/A</v>
      </c>
      <c r="Q77" s="12" t="e">
        <f ca="1">$C77*VLOOKUP($B77,[1]Distributions!$A:$AK,Q$72,FALSE)</f>
        <v>#N/A</v>
      </c>
      <c r="R77" s="12" t="e">
        <f ca="1">$C77*VLOOKUP($B77,[1]Distributions!$A:$AK,R$72,FALSE)</f>
        <v>#N/A</v>
      </c>
      <c r="S77" s="12" t="e">
        <f ca="1">$C77*VLOOKUP($B77,[1]Distributions!$A:$AK,S$72,FALSE)</f>
        <v>#N/A</v>
      </c>
      <c r="T77" s="12" t="e">
        <f ca="1">$C77*VLOOKUP($B77,[1]Distributions!$A:$AK,T$72,FALSE)</f>
        <v>#N/A</v>
      </c>
      <c r="U77" s="12" t="e">
        <f ca="1">$C77*VLOOKUP($B77,[1]Distributions!$A:$AK,U$72,FALSE)</f>
        <v>#N/A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86530-82F0-4636-91BC-5F489CE43297}">
  <sheetPr codeName="Sheet17">
    <tabColor theme="1"/>
  </sheetPr>
  <dimension ref="A1:U5"/>
  <sheetViews>
    <sheetView tabSelected="1" topLeftCell="D1" workbookViewId="0">
      <selection activeCell="J24" sqref="J24"/>
    </sheetView>
  </sheetViews>
  <sheetFormatPr defaultRowHeight="15" x14ac:dyDescent="0.25"/>
  <cols>
    <col min="1" max="1" width="13.7109375" customWidth="1"/>
    <col min="2" max="2" width="15.28515625" customWidth="1"/>
    <col min="3" max="3" width="18" customWidth="1"/>
    <col min="5" max="5" width="10" customWidth="1"/>
    <col min="6" max="6" width="24.140625" customWidth="1"/>
    <col min="7" max="7" width="13" customWidth="1"/>
    <col min="8" max="21" width="12.140625" customWidth="1"/>
  </cols>
  <sheetData>
    <row r="1" spans="1:21" x14ac:dyDescent="0.25">
      <c r="A1" s="14" t="s">
        <v>67</v>
      </c>
      <c r="B1" s="14" t="s">
        <v>52</v>
      </c>
      <c r="C1" s="17" t="s">
        <v>53</v>
      </c>
      <c r="E1" s="34" t="s">
        <v>68</v>
      </c>
      <c r="F1" s="34" t="s">
        <v>46</v>
      </c>
      <c r="G1" s="34" t="s">
        <v>44</v>
      </c>
      <c r="H1" s="34" t="s">
        <v>47</v>
      </c>
      <c r="I1" s="34" t="s">
        <v>48</v>
      </c>
      <c r="J1" s="34" t="s">
        <v>49</v>
      </c>
      <c r="K1" s="34" t="s">
        <v>50</v>
      </c>
      <c r="L1" s="34" t="s">
        <v>51</v>
      </c>
      <c r="M1" s="34" t="s">
        <v>57</v>
      </c>
      <c r="N1" s="34" t="s">
        <v>58</v>
      </c>
      <c r="O1" s="34" t="s">
        <v>59</v>
      </c>
      <c r="P1" s="34" t="s">
        <v>60</v>
      </c>
      <c r="Q1" s="34" t="s">
        <v>61</v>
      </c>
      <c r="R1" s="34" t="s">
        <v>62</v>
      </c>
      <c r="S1" s="34" t="s">
        <v>63</v>
      </c>
      <c r="T1" s="34" t="s">
        <v>64</v>
      </c>
      <c r="U1" s="34" t="s">
        <v>65</v>
      </c>
    </row>
    <row r="2" spans="1:21" x14ac:dyDescent="0.25">
      <c r="A2" s="14">
        <v>210</v>
      </c>
      <c r="B2" s="14"/>
      <c r="C2" s="18"/>
      <c r="E2">
        <v>10000</v>
      </c>
      <c r="F2" t="s">
        <v>89</v>
      </c>
      <c r="G2">
        <v>10000</v>
      </c>
      <c r="H2" s="19">
        <v>1000</v>
      </c>
      <c r="I2" s="19">
        <v>1000</v>
      </c>
      <c r="J2" s="19">
        <v>1000</v>
      </c>
      <c r="K2" s="19">
        <v>1000</v>
      </c>
      <c r="L2" s="19">
        <v>1000</v>
      </c>
      <c r="M2" s="19">
        <v>300</v>
      </c>
      <c r="N2" s="19">
        <v>300</v>
      </c>
      <c r="O2" s="19">
        <v>300</v>
      </c>
      <c r="P2" s="19">
        <v>300</v>
      </c>
      <c r="Q2" s="19">
        <v>300</v>
      </c>
      <c r="R2" s="19">
        <v>0</v>
      </c>
      <c r="S2" s="19">
        <v>0</v>
      </c>
      <c r="T2" s="19">
        <v>0</v>
      </c>
      <c r="U2" s="19">
        <v>0</v>
      </c>
    </row>
    <row r="3" spans="1:21" x14ac:dyDescent="0.25">
      <c r="A3" s="14">
        <v>59</v>
      </c>
      <c r="B3" s="14"/>
      <c r="C3" s="18"/>
      <c r="E3">
        <v>10001</v>
      </c>
      <c r="F3" t="s">
        <v>205</v>
      </c>
      <c r="G3">
        <v>10000</v>
      </c>
      <c r="H3">
        <v>800</v>
      </c>
      <c r="I3">
        <v>800</v>
      </c>
      <c r="J3">
        <v>800</v>
      </c>
      <c r="K3">
        <v>800</v>
      </c>
      <c r="L3">
        <v>800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25">
      <c r="A4" s="14">
        <v>24</v>
      </c>
      <c r="B4" s="14"/>
      <c r="C4" s="18"/>
      <c r="E4">
        <v>10002</v>
      </c>
      <c r="F4" t="s">
        <v>206</v>
      </c>
      <c r="G4">
        <v>10000</v>
      </c>
      <c r="H4">
        <v>200</v>
      </c>
      <c r="I4">
        <v>200</v>
      </c>
      <c r="J4">
        <v>200</v>
      </c>
      <c r="K4">
        <v>200</v>
      </c>
      <c r="L4">
        <v>200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25">
      <c r="A5" s="14">
        <v>65</v>
      </c>
      <c r="B5" s="14"/>
      <c r="C5" s="18"/>
      <c r="E5">
        <v>10003</v>
      </c>
      <c r="F5" t="s">
        <v>207</v>
      </c>
      <c r="G5">
        <v>10000</v>
      </c>
      <c r="H5">
        <v>100</v>
      </c>
      <c r="I5">
        <v>100</v>
      </c>
      <c r="J5">
        <v>100</v>
      </c>
      <c r="K5">
        <v>100</v>
      </c>
      <c r="L5">
        <v>100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>
    <tabColor rgb="FF7030A0"/>
  </sheetPr>
  <dimension ref="A1:S70"/>
  <sheetViews>
    <sheetView workbookViewId="0">
      <selection activeCell="B1" sqref="B1:R70"/>
    </sheetView>
  </sheetViews>
  <sheetFormatPr defaultRowHeight="15" x14ac:dyDescent="0.25"/>
  <cols>
    <col min="1" max="1" width="21.42578125" customWidth="1"/>
    <col min="2" max="2" width="34.140625" customWidth="1"/>
    <col min="3" max="3" width="43.42578125" customWidth="1"/>
    <col min="4" max="4" width="16.5703125" customWidth="1"/>
    <col min="5" max="19" width="13.28515625" customWidth="1"/>
  </cols>
  <sheetData>
    <row r="1" spans="1:19" s="11" customFormat="1" x14ac:dyDescent="0.25">
      <c r="A1" s="11" t="s">
        <v>67</v>
      </c>
      <c r="B1" s="11" t="s">
        <v>68</v>
      </c>
      <c r="C1" s="11" t="s">
        <v>46</v>
      </c>
      <c r="D1" s="11" t="s">
        <v>44</v>
      </c>
      <c r="E1" s="11" t="s">
        <v>47</v>
      </c>
      <c r="F1" s="11" t="s">
        <v>48</v>
      </c>
      <c r="G1" s="11" t="s">
        <v>49</v>
      </c>
      <c r="H1" s="11" t="s">
        <v>50</v>
      </c>
      <c r="I1" s="11" t="s">
        <v>51</v>
      </c>
      <c r="J1" s="11" t="s">
        <v>57</v>
      </c>
      <c r="K1" s="11" t="s">
        <v>58</v>
      </c>
      <c r="L1" s="11" t="s">
        <v>59</v>
      </c>
      <c r="M1" s="11" t="s">
        <v>60</v>
      </c>
      <c r="N1" s="11" t="s">
        <v>61</v>
      </c>
      <c r="O1" s="11" t="s">
        <v>62</v>
      </c>
      <c r="P1" s="11" t="s">
        <v>63</v>
      </c>
      <c r="Q1" s="11" t="s">
        <v>64</v>
      </c>
      <c r="R1" s="11" t="s">
        <v>65</v>
      </c>
    </row>
    <row r="2" spans="1:19" x14ac:dyDescent="0.25">
      <c r="A2">
        <v>105920065</v>
      </c>
      <c r="B2">
        <v>13</v>
      </c>
      <c r="C2" t="s">
        <v>8</v>
      </c>
      <c r="D2">
        <v>1</v>
      </c>
      <c r="E2" s="12">
        <v>7638.3550442908845</v>
      </c>
      <c r="F2" s="12">
        <v>7918.5755470566901</v>
      </c>
      <c r="G2" s="12">
        <v>8031.200055345339</v>
      </c>
      <c r="H2" s="12">
        <v>7923.938618879959</v>
      </c>
      <c r="I2" s="12">
        <v>7899.8047956752489</v>
      </c>
      <c r="J2" s="12">
        <v>8153.2099393247099</v>
      </c>
      <c r="K2" s="12">
        <v>8106.2830608711056</v>
      </c>
      <c r="L2" s="12">
        <v>8279.242127171532</v>
      </c>
      <c r="M2" s="12">
        <v>7675.8965470537678</v>
      </c>
      <c r="N2" s="12">
        <v>7134.2262929035978</v>
      </c>
      <c r="O2" s="12">
        <v>6981.3787459404311</v>
      </c>
      <c r="P2" s="12">
        <v>7052.4394475987456</v>
      </c>
      <c r="Q2" s="12">
        <v>6540.2660884765555</v>
      </c>
      <c r="R2" s="12">
        <v>6699.8174752188079</v>
      </c>
      <c r="S2" s="12"/>
    </row>
    <row r="3" spans="1:19" x14ac:dyDescent="0.25">
      <c r="A3">
        <v>105920026</v>
      </c>
      <c r="B3">
        <v>14</v>
      </c>
      <c r="C3" t="s">
        <v>9</v>
      </c>
      <c r="D3">
        <v>2</v>
      </c>
      <c r="E3" s="12">
        <v>357.32090493338808</v>
      </c>
      <c r="F3" s="12">
        <v>487.68119765932005</v>
      </c>
      <c r="G3" s="12">
        <v>587.28983158836547</v>
      </c>
      <c r="H3" s="12">
        <v>665.17175006308912</v>
      </c>
      <c r="I3" s="12">
        <v>783.94446121338251</v>
      </c>
      <c r="J3" s="12">
        <v>898.59466738003562</v>
      </c>
      <c r="K3" s="12">
        <v>971.23989033499947</v>
      </c>
      <c r="L3" s="12">
        <v>968.78867115553737</v>
      </c>
      <c r="M3" s="12">
        <v>1024.2753598542677</v>
      </c>
      <c r="N3" s="12">
        <v>1115.304726655196</v>
      </c>
      <c r="O3" s="12">
        <v>1110.1794501890483</v>
      </c>
      <c r="P3" s="12">
        <v>1053.6899900078113</v>
      </c>
      <c r="Q3" s="12">
        <v>969.68002358443277</v>
      </c>
      <c r="R3" s="12">
        <v>932.24322157083179</v>
      </c>
      <c r="S3" s="12"/>
    </row>
    <row r="4" spans="1:19" x14ac:dyDescent="0.25">
      <c r="A4">
        <v>105920028</v>
      </c>
      <c r="B4">
        <v>12</v>
      </c>
      <c r="C4" t="s">
        <v>10</v>
      </c>
      <c r="D4">
        <v>3</v>
      </c>
      <c r="E4" s="12">
        <v>287.24797647980341</v>
      </c>
      <c r="F4" s="12">
        <v>392.04377706644823</v>
      </c>
      <c r="G4" s="12">
        <v>472.11851700188447</v>
      </c>
      <c r="H4" s="12">
        <v>534.72729017288009</v>
      </c>
      <c r="I4" s="12">
        <v>630.20790848515628</v>
      </c>
      <c r="J4" s="12">
        <v>722.37447156520557</v>
      </c>
      <c r="K4" s="12">
        <v>780.77349890066921</v>
      </c>
      <c r="L4" s="12">
        <v>778.80297957339883</v>
      </c>
      <c r="M4" s="12">
        <v>823.40837161797094</v>
      </c>
      <c r="N4" s="12">
        <v>896.58629390796125</v>
      </c>
      <c r="O4" s="12">
        <v>892.4661171327599</v>
      </c>
      <c r="P4" s="12">
        <v>847.05460354521381</v>
      </c>
      <c r="Q4" s="12">
        <v>779.51953205604275</v>
      </c>
      <c r="R4" s="12">
        <v>749.4243277850062</v>
      </c>
      <c r="S4" s="12"/>
    </row>
    <row r="5" spans="1:19" x14ac:dyDescent="0.25">
      <c r="A5">
        <v>246</v>
      </c>
      <c r="B5">
        <v>24</v>
      </c>
      <c r="C5" t="s">
        <v>11</v>
      </c>
      <c r="D5">
        <v>4</v>
      </c>
      <c r="E5" s="12">
        <v>749.83071380029776</v>
      </c>
      <c r="F5" s="12">
        <v>948.74413926676573</v>
      </c>
      <c r="G5" s="12">
        <v>1223.6820676602083</v>
      </c>
      <c r="H5" s="12">
        <v>1374.6896419672128</v>
      </c>
      <c r="I5" s="12">
        <v>1672.5390643934422</v>
      </c>
      <c r="J5" s="12">
        <v>1900.6125731743662</v>
      </c>
      <c r="K5" s="12">
        <v>2184.9233854903123</v>
      </c>
      <c r="L5" s="12">
        <v>2208.8763110700443</v>
      </c>
      <c r="M5" s="12">
        <v>2399.4582841609536</v>
      </c>
      <c r="N5" s="12">
        <v>2291.1494032786882</v>
      </c>
      <c r="O5" s="12">
        <v>2286.9836770909083</v>
      </c>
      <c r="P5" s="12">
        <v>2236.9949628375552</v>
      </c>
      <c r="Q5" s="12">
        <v>2085.9873885305506</v>
      </c>
      <c r="R5" s="12">
        <v>1688.1605375976151</v>
      </c>
      <c r="S5" s="12"/>
    </row>
    <row r="6" spans="1:19" x14ac:dyDescent="0.25">
      <c r="A6">
        <v>480</v>
      </c>
      <c r="B6">
        <v>25</v>
      </c>
      <c r="C6" t="s">
        <v>54</v>
      </c>
      <c r="D6">
        <v>5</v>
      </c>
      <c r="E6" s="12">
        <v>394.96282897532996</v>
      </c>
      <c r="F6" s="12">
        <v>552.2384465014344</v>
      </c>
      <c r="G6" s="12">
        <v>760.36257194951247</v>
      </c>
      <c r="H6" s="12">
        <v>864.42463467355151</v>
      </c>
      <c r="I6" s="12">
        <v>901.08286131497437</v>
      </c>
      <c r="J6" s="12">
        <v>1099.7467992426853</v>
      </c>
      <c r="K6" s="12">
        <v>1033.5254866001148</v>
      </c>
      <c r="L6" s="12">
        <v>1064.2710960413083</v>
      </c>
      <c r="M6" s="12">
        <v>982.67697867814138</v>
      </c>
      <c r="N6" s="12">
        <v>1041.8031506804364</v>
      </c>
      <c r="O6" s="12">
        <v>1007.5099709191052</v>
      </c>
      <c r="P6" s="12">
        <v>1026.4303459598395</v>
      </c>
      <c r="Q6" s="12">
        <v>920.00323635570874</v>
      </c>
      <c r="R6" s="12">
        <v>872.70229875387281</v>
      </c>
      <c r="S6" s="12"/>
    </row>
    <row r="7" spans="1:19" x14ac:dyDescent="0.25">
      <c r="A7">
        <v>474</v>
      </c>
      <c r="B7">
        <v>52</v>
      </c>
      <c r="C7" t="s">
        <v>12</v>
      </c>
      <c r="D7">
        <v>6</v>
      </c>
      <c r="E7" s="12">
        <v>7.6565094572576005</v>
      </c>
      <c r="F7" s="12">
        <v>10.705359031554787</v>
      </c>
      <c r="G7" s="12">
        <v>14.739926889271368</v>
      </c>
      <c r="H7" s="12">
        <v>16.757210818129657</v>
      </c>
      <c r="I7" s="12">
        <v>17.467844929432012</v>
      </c>
      <c r="J7" s="12">
        <v>21.319023339070565</v>
      </c>
      <c r="K7" s="12">
        <v>20.035297202524376</v>
      </c>
      <c r="L7" s="12">
        <v>20.631312908777968</v>
      </c>
      <c r="M7" s="12">
        <v>19.049578919104988</v>
      </c>
      <c r="N7" s="12">
        <v>20.195762969592657</v>
      </c>
      <c r="O7" s="12">
        <v>19.530976220309807</v>
      </c>
      <c r="P7" s="12">
        <v>19.897755116465859</v>
      </c>
      <c r="Q7" s="12">
        <v>17.834623825588064</v>
      </c>
      <c r="R7" s="12">
        <v>16.917676585197931</v>
      </c>
      <c r="S7" s="12"/>
    </row>
    <row r="8" spans="1:19" x14ac:dyDescent="0.25">
      <c r="A8">
        <v>473</v>
      </c>
      <c r="B8">
        <v>53</v>
      </c>
      <c r="C8" t="s">
        <v>13</v>
      </c>
      <c r="D8">
        <v>7</v>
      </c>
      <c r="E8" s="12">
        <v>4.0209119839357426</v>
      </c>
      <c r="F8" s="12">
        <v>5.6220535823293165</v>
      </c>
      <c r="G8" s="12">
        <v>7.7408575020080317</v>
      </c>
      <c r="H8" s="12">
        <v>8.8002594618473893</v>
      </c>
      <c r="I8" s="12">
        <v>9.1734578795180717</v>
      </c>
      <c r="J8" s="12">
        <v>11.195952530120481</v>
      </c>
      <c r="K8" s="12">
        <v>10.521787646586343</v>
      </c>
      <c r="L8" s="12">
        <v>10.834792771084338</v>
      </c>
      <c r="M8" s="12">
        <v>10.004125325301205</v>
      </c>
      <c r="N8" s="12">
        <v>10.606058257028113</v>
      </c>
      <c r="O8" s="12">
        <v>10.256937156626506</v>
      </c>
      <c r="P8" s="12">
        <v>10.449555694779116</v>
      </c>
      <c r="Q8" s="12">
        <v>9.3660764176706817</v>
      </c>
      <c r="R8" s="12">
        <v>8.8845300722891558</v>
      </c>
      <c r="S8" s="12"/>
    </row>
    <row r="9" spans="1:19" x14ac:dyDescent="0.25">
      <c r="A9">
        <v>488</v>
      </c>
      <c r="B9">
        <v>46</v>
      </c>
      <c r="C9" t="s">
        <v>14</v>
      </c>
      <c r="D9">
        <v>8</v>
      </c>
      <c r="E9" s="12">
        <v>151.33542261158925</v>
      </c>
      <c r="F9" s="12">
        <v>211.59773161560528</v>
      </c>
      <c r="G9" s="12">
        <v>291.34334353069426</v>
      </c>
      <c r="H9" s="12">
        <v>331.21614948823873</v>
      </c>
      <c r="I9" s="12">
        <v>345.26225158691915</v>
      </c>
      <c r="J9" s="12">
        <v>421.38306296041316</v>
      </c>
      <c r="K9" s="12">
        <v>396.00945916924843</v>
      </c>
      <c r="L9" s="12">
        <v>407.79006092943212</v>
      </c>
      <c r="M9" s="12">
        <v>376.52615625817566</v>
      </c>
      <c r="N9" s="12">
        <v>399.18115964314416</v>
      </c>
      <c r="O9" s="12">
        <v>386.04125767986238</v>
      </c>
      <c r="P9" s="12">
        <v>393.29085876305226</v>
      </c>
      <c r="Q9" s="12">
        <v>352.51185267010902</v>
      </c>
      <c r="R9" s="12">
        <v>334.38784996213428</v>
      </c>
      <c r="S9" s="12"/>
    </row>
    <row r="10" spans="1:19" x14ac:dyDescent="0.25">
      <c r="A10">
        <v>485</v>
      </c>
      <c r="B10">
        <v>10</v>
      </c>
      <c r="C10" t="s">
        <v>27</v>
      </c>
      <c r="D10">
        <v>9</v>
      </c>
      <c r="E10" s="12">
        <v>40.237334503729201</v>
      </c>
      <c r="F10" s="12">
        <v>56.259985668387827</v>
      </c>
      <c r="G10" s="12">
        <v>77.462892472748123</v>
      </c>
      <c r="H10" s="12">
        <v>88.064345874928279</v>
      </c>
      <c r="I10" s="12">
        <v>91.798948777969017</v>
      </c>
      <c r="J10" s="12">
        <v>112.03808709122202</v>
      </c>
      <c r="K10" s="12">
        <v>105.29170765347101</v>
      </c>
      <c r="L10" s="12">
        <v>108.4239552495697</v>
      </c>
      <c r="M10" s="12">
        <v>100.11145201376937</v>
      </c>
      <c r="N10" s="12">
        <v>106.13500508318991</v>
      </c>
      <c r="O10" s="12">
        <v>102.64134430292599</v>
      </c>
      <c r="P10" s="12">
        <v>104.56888128514055</v>
      </c>
      <c r="Q10" s="12">
        <v>93.726485760183579</v>
      </c>
      <c r="R10" s="12">
        <v>88.907643304647152</v>
      </c>
      <c r="S10" s="12"/>
    </row>
    <row r="11" spans="1:19" x14ac:dyDescent="0.25">
      <c r="A11">
        <v>84</v>
      </c>
      <c r="B11">
        <v>11</v>
      </c>
      <c r="C11" t="s">
        <v>15</v>
      </c>
      <c r="D11">
        <v>10</v>
      </c>
      <c r="E11" s="12">
        <v>14.219211092783503</v>
      </c>
      <c r="F11" s="12">
        <v>17.379035780068723</v>
      </c>
      <c r="G11" s="12">
        <v>23.066720217182123</v>
      </c>
      <c r="H11" s="12">
        <v>36.022001435051536</v>
      </c>
      <c r="I11" s="12">
        <v>59.720686589690708</v>
      </c>
      <c r="J11" s="12">
        <v>66.04033596426116</v>
      </c>
      <c r="K11" s="12">
        <v>97.322600368384869</v>
      </c>
      <c r="L11" s="12">
        <v>124.18111021030926</v>
      </c>
      <c r="M11" s="12">
        <v>141.8761284591065</v>
      </c>
      <c r="N11" s="12">
        <v>96.374652962199292</v>
      </c>
      <c r="O11" s="12">
        <v>60.352651527147749</v>
      </c>
      <c r="P11" s="12">
        <v>67.620248307903765</v>
      </c>
      <c r="Q11" s="12">
        <v>65.724353495532625</v>
      </c>
      <c r="R11" s="12">
        <v>54.98094955876288</v>
      </c>
      <c r="S11" s="12"/>
    </row>
    <row r="12" spans="1:19" x14ac:dyDescent="0.25">
      <c r="A12">
        <v>81</v>
      </c>
      <c r="B12">
        <v>23</v>
      </c>
      <c r="C12" t="s">
        <v>16</v>
      </c>
      <c r="D12">
        <v>11</v>
      </c>
      <c r="E12" s="12">
        <v>78.569100618556703</v>
      </c>
      <c r="F12" s="12">
        <v>96.028900756013726</v>
      </c>
      <c r="G12" s="12">
        <v>127.4565410034364</v>
      </c>
      <c r="H12" s="12">
        <v>199.04172156701028</v>
      </c>
      <c r="I12" s="12">
        <v>329.9902225979381</v>
      </c>
      <c r="J12" s="12">
        <v>364.9098228728522</v>
      </c>
      <c r="K12" s="12">
        <v>537.76184423367692</v>
      </c>
      <c r="L12" s="12">
        <v>686.17014540206185</v>
      </c>
      <c r="M12" s="12">
        <v>783.94502617182127</v>
      </c>
      <c r="N12" s="12">
        <v>532.52390419243977</v>
      </c>
      <c r="O12" s="12">
        <v>333.48218262542952</v>
      </c>
      <c r="P12" s="12">
        <v>373.63972294158071</v>
      </c>
      <c r="Q12" s="12">
        <v>363.16384285910647</v>
      </c>
      <c r="R12" s="12">
        <v>303.80052239175257</v>
      </c>
      <c r="S12" s="12"/>
    </row>
    <row r="13" spans="1:19" x14ac:dyDescent="0.25">
      <c r="A13">
        <v>59</v>
      </c>
      <c r="B13">
        <v>35</v>
      </c>
      <c r="C13" t="s">
        <v>18</v>
      </c>
      <c r="D13">
        <v>12</v>
      </c>
      <c r="E13" s="12">
        <v>4445.46770202076</v>
      </c>
      <c r="F13" s="12">
        <v>6171.7723302194181</v>
      </c>
      <c r="G13" s="12">
        <v>7562.1474091469863</v>
      </c>
      <c r="H13" s="12">
        <v>8771.4937865229113</v>
      </c>
      <c r="I13" s="12">
        <v>8987.9817182753904</v>
      </c>
      <c r="J13" s="12">
        <v>9624.3815866167351</v>
      </c>
      <c r="K13" s="12">
        <v>9407.8936548642541</v>
      </c>
      <c r="L13" s="12">
        <v>8625.9243151721057</v>
      </c>
      <c r="M13" s="12">
        <v>7491.2289487453118</v>
      </c>
      <c r="N13" s="12">
        <v>7017.1950292183292</v>
      </c>
      <c r="O13" s="12">
        <v>6627.1434970091195</v>
      </c>
      <c r="P13" s="12">
        <v>6899.6196869734467</v>
      </c>
      <c r="Q13" s="12">
        <v>6696.195682137065</v>
      </c>
      <c r="R13" s="12">
        <v>7043.322883050525</v>
      </c>
      <c r="S13" s="12"/>
    </row>
    <row r="14" spans="1:19" x14ac:dyDescent="0.25">
      <c r="A14">
        <v>65</v>
      </c>
      <c r="B14">
        <v>32</v>
      </c>
      <c r="C14" t="s">
        <v>19</v>
      </c>
      <c r="D14">
        <v>13</v>
      </c>
      <c r="E14" s="12">
        <v>1099.9698343547527</v>
      </c>
      <c r="F14" s="12">
        <v>1399.7183050305002</v>
      </c>
      <c r="G14" s="12">
        <v>1576.3557966787089</v>
      </c>
      <c r="H14" s="12">
        <v>1723.553706385549</v>
      </c>
      <c r="I14" s="12">
        <v>1908.2201749268579</v>
      </c>
      <c r="J14" s="12">
        <v>2296.2873914267097</v>
      </c>
      <c r="K14" s="12">
        <v>2317.6979964749776</v>
      </c>
      <c r="L14" s="12">
        <v>2157.1184586129698</v>
      </c>
      <c r="M14" s="12">
        <v>2317.6979964749776</v>
      </c>
      <c r="N14" s="12">
        <v>2245.4372044370743</v>
      </c>
      <c r="O14" s="12">
        <v>1961.7466875475272</v>
      </c>
      <c r="P14" s="12">
        <v>1782.4328702682851</v>
      </c>
      <c r="Q14" s="12">
        <v>1752.9932883269173</v>
      </c>
      <c r="R14" s="12">
        <v>1597.7664017269765</v>
      </c>
      <c r="S14" s="12"/>
    </row>
    <row r="15" spans="1:19" x14ac:dyDescent="0.25">
      <c r="A15">
        <v>24</v>
      </c>
      <c r="B15">
        <v>30</v>
      </c>
      <c r="C15" t="s">
        <v>20</v>
      </c>
      <c r="D15">
        <v>14</v>
      </c>
      <c r="E15" s="12">
        <v>1308.4093506693951</v>
      </c>
      <c r="F15" s="12">
        <v>1817.0251242677582</v>
      </c>
      <c r="G15" s="12">
        <v>2289.7163636714417</v>
      </c>
      <c r="H15" s="12">
        <v>2923.1226244723771</v>
      </c>
      <c r="I15" s="12">
        <v>3514.9320562057883</v>
      </c>
      <c r="J15" s="12">
        <v>3970.6064109909394</v>
      </c>
      <c r="K15" s="12">
        <v>4263.6749794212228</v>
      </c>
      <c r="L15" s="12">
        <v>4798.7614624261914</v>
      </c>
      <c r="M15" s="12">
        <v>5080.4854411107872</v>
      </c>
      <c r="N15" s="12">
        <v>5261.9988770418013</v>
      </c>
      <c r="O15" s="12">
        <v>5008.6363727214275</v>
      </c>
      <c r="P15" s="12">
        <v>5025.65325733996</v>
      </c>
      <c r="Q15" s="12">
        <v>4811.996817129495</v>
      </c>
      <c r="R15" s="12">
        <v>4063.2538939140613</v>
      </c>
      <c r="S15" s="12"/>
    </row>
    <row r="16" spans="1:19" x14ac:dyDescent="0.25">
      <c r="A16">
        <v>20017</v>
      </c>
      <c r="B16">
        <v>44</v>
      </c>
      <c r="C16" t="s">
        <v>21</v>
      </c>
      <c r="D16">
        <v>15</v>
      </c>
      <c r="E16" s="12">
        <v>69.129517960392477</v>
      </c>
      <c r="F16" s="12">
        <v>101.89829584499057</v>
      </c>
      <c r="G16" s="12">
        <v>140.68518582185615</v>
      </c>
      <c r="H16" s="12">
        <v>203.79659168998114</v>
      </c>
      <c r="I16" s="12">
        <v>243.65476863615089</v>
      </c>
      <c r="J16" s="12">
        <v>317.16395979458093</v>
      </c>
      <c r="K16" s="12">
        <v>355.82481601035198</v>
      </c>
      <c r="L16" s="12">
        <v>348.86145070987487</v>
      </c>
      <c r="M16" s="12">
        <v>342.37071201350255</v>
      </c>
      <c r="N16" s="12">
        <v>353.05207326627061</v>
      </c>
      <c r="O16" s="12">
        <v>349.71217859726346</v>
      </c>
      <c r="P16" s="12">
        <v>333.86343313961657</v>
      </c>
      <c r="Q16" s="12">
        <v>326.49045811558199</v>
      </c>
      <c r="R16" s="12">
        <v>316.31323190719246</v>
      </c>
      <c r="S16" s="12"/>
    </row>
    <row r="17" spans="1:19" x14ac:dyDescent="0.25">
      <c r="A17">
        <v>56</v>
      </c>
      <c r="B17">
        <v>43</v>
      </c>
      <c r="C17" t="s">
        <v>22</v>
      </c>
      <c r="D17">
        <v>16</v>
      </c>
      <c r="E17" s="12">
        <v>124.42561095148078</v>
      </c>
      <c r="F17" s="12">
        <v>183.40584586011343</v>
      </c>
      <c r="G17" s="12">
        <v>253.21802775677372</v>
      </c>
      <c r="H17" s="12">
        <v>366.81169172022686</v>
      </c>
      <c r="I17" s="12">
        <v>438.55207360428477</v>
      </c>
      <c r="J17" s="12">
        <v>570.86061979836154</v>
      </c>
      <c r="K17" s="12">
        <v>640.4459546376811</v>
      </c>
      <c r="L17" s="12">
        <v>627.91265471959662</v>
      </c>
      <c r="M17" s="12">
        <v>616.23003126654055</v>
      </c>
      <c r="N17" s="12">
        <v>635.45531937618136</v>
      </c>
      <c r="O17" s="12">
        <v>629.4438723566476</v>
      </c>
      <c r="P17" s="12">
        <v>600.91785489603024</v>
      </c>
      <c r="Q17" s="12">
        <v>587.64730204158775</v>
      </c>
      <c r="R17" s="12">
        <v>569.32940216131067</v>
      </c>
      <c r="S17" s="12"/>
    </row>
    <row r="18" spans="1:19" x14ac:dyDescent="0.25">
      <c r="A18">
        <v>20057</v>
      </c>
      <c r="B18">
        <v>42</v>
      </c>
      <c r="C18" t="s">
        <v>23</v>
      </c>
      <c r="D18">
        <v>17</v>
      </c>
      <c r="E18" s="12">
        <v>105.66061295292107</v>
      </c>
      <c r="F18" s="12">
        <v>155.745862483932</v>
      </c>
      <c r="G18" s="12">
        <v>215.02946072688812</v>
      </c>
      <c r="H18" s="12">
        <v>311.491724967864</v>
      </c>
      <c r="I18" s="12">
        <v>372.4127255993339</v>
      </c>
      <c r="J18" s="12">
        <v>484.76742478764965</v>
      </c>
      <c r="K18" s="12">
        <v>543.85838745548665</v>
      </c>
      <c r="L18" s="12">
        <v>533.21527193014674</v>
      </c>
      <c r="M18" s="12">
        <v>523.29453981150425</v>
      </c>
      <c r="N18" s="12">
        <v>539.62040480286259</v>
      </c>
      <c r="O18" s="12">
        <v>534.51556206220187</v>
      </c>
      <c r="P18" s="12">
        <v>510.2916384909534</v>
      </c>
      <c r="Q18" s="12">
        <v>499.02245734647585</v>
      </c>
      <c r="R18" s="12">
        <v>483.46713465559469</v>
      </c>
      <c r="S18" s="12"/>
    </row>
    <row r="19" spans="1:19" x14ac:dyDescent="0.25">
      <c r="A19">
        <v>135</v>
      </c>
      <c r="B19">
        <v>49</v>
      </c>
      <c r="C19" t="s">
        <v>24</v>
      </c>
      <c r="D19">
        <v>18</v>
      </c>
      <c r="E19" s="12">
        <v>107.63561762534883</v>
      </c>
      <c r="F19" s="12">
        <v>158.65705897920608</v>
      </c>
      <c r="G19" s="12">
        <v>219.04878427401204</v>
      </c>
      <c r="H19" s="12">
        <v>317.31411795841217</v>
      </c>
      <c r="I19" s="12">
        <v>379.37385191286347</v>
      </c>
      <c r="J19" s="12">
        <v>493.82868141146815</v>
      </c>
      <c r="K19" s="12">
        <v>554.02417039337479</v>
      </c>
      <c r="L19" s="12">
        <v>543.18211410568006</v>
      </c>
      <c r="M19" s="12">
        <v>533.07594399135837</v>
      </c>
      <c r="N19" s="12">
        <v>549.70697150958677</v>
      </c>
      <c r="O19" s="12">
        <v>544.50670921775134</v>
      </c>
      <c r="P19" s="12">
        <v>519.82999287064547</v>
      </c>
      <c r="Q19" s="12">
        <v>508.35016856602755</v>
      </c>
      <c r="R19" s="12">
        <v>492.50408629939699</v>
      </c>
      <c r="S19" s="12"/>
    </row>
    <row r="20" spans="1:19" x14ac:dyDescent="0.25">
      <c r="A20">
        <v>288</v>
      </c>
      <c r="B20">
        <v>41</v>
      </c>
      <c r="C20" t="s">
        <v>25</v>
      </c>
      <c r="D20">
        <v>19</v>
      </c>
      <c r="E20" s="12">
        <v>85.91527259465299</v>
      </c>
      <c r="F20" s="12">
        <v>126.64083480907374</v>
      </c>
      <c r="G20" s="12">
        <v>174.84580316095057</v>
      </c>
      <c r="H20" s="12">
        <v>253.28166961814748</v>
      </c>
      <c r="I20" s="12">
        <v>302.81805058088037</v>
      </c>
      <c r="J20" s="12">
        <v>394.17645120226837</v>
      </c>
      <c r="K20" s="12">
        <v>442.22478277639755</v>
      </c>
      <c r="L20" s="12">
        <v>433.57060080583307</v>
      </c>
      <c r="M20" s="12">
        <v>425.50380675182282</v>
      </c>
      <c r="N20" s="12">
        <v>438.77877366594646</v>
      </c>
      <c r="O20" s="12">
        <v>434.62789905563051</v>
      </c>
      <c r="P20" s="12">
        <v>414.93082425384824</v>
      </c>
      <c r="Q20" s="12">
        <v>405.76757275560351</v>
      </c>
      <c r="R20" s="12">
        <v>393.11915295247104</v>
      </c>
      <c r="S20" s="12"/>
    </row>
    <row r="21" spans="1:19" x14ac:dyDescent="0.25">
      <c r="A21">
        <v>48</v>
      </c>
      <c r="B21">
        <v>16</v>
      </c>
      <c r="C21" t="s">
        <v>26</v>
      </c>
      <c r="D21">
        <v>20</v>
      </c>
      <c r="E21" s="12">
        <v>111.58060539814566</v>
      </c>
      <c r="F21" s="12">
        <v>164.47205007183368</v>
      </c>
      <c r="G21" s="12">
        <v>227.07721198847779</v>
      </c>
      <c r="H21" s="12">
        <v>328.94410014366736</v>
      </c>
      <c r="I21" s="12">
        <v>393.27840544387436</v>
      </c>
      <c r="J21" s="12">
        <v>511.92815585129171</v>
      </c>
      <c r="K21" s="12">
        <v>574.32988913457564</v>
      </c>
      <c r="L21" s="12">
        <v>563.09045714141689</v>
      </c>
      <c r="M21" s="12">
        <v>552.61388252335939</v>
      </c>
      <c r="N21" s="12">
        <v>569.85445920064808</v>
      </c>
      <c r="O21" s="12">
        <v>564.46360041659921</v>
      </c>
      <c r="P21" s="12">
        <v>538.8824497715367</v>
      </c>
      <c r="Q21" s="12">
        <v>526.98187471995675</v>
      </c>
      <c r="R21" s="12">
        <v>510.55501257610956</v>
      </c>
      <c r="S21" s="12"/>
    </row>
    <row r="22" spans="1:19" x14ac:dyDescent="0.25">
      <c r="A22">
        <v>29</v>
      </c>
      <c r="B22">
        <v>22</v>
      </c>
      <c r="C22" t="s">
        <v>29</v>
      </c>
      <c r="D22">
        <v>21</v>
      </c>
      <c r="E22" s="12">
        <v>931.05407350259873</v>
      </c>
      <c r="F22" s="12">
        <v>1148.6366676398254</v>
      </c>
      <c r="G22" s="12">
        <v>1504.9249695554843</v>
      </c>
      <c r="H22" s="12">
        <v>1555.0379994625307</v>
      </c>
      <c r="I22" s="12">
        <v>1718.6723828324782</v>
      </c>
      <c r="J22" s="12">
        <v>1848.1736565463502</v>
      </c>
      <c r="K22" s="12">
        <v>1856.3553757148491</v>
      </c>
      <c r="L22" s="12">
        <v>1874.2528863959369</v>
      </c>
      <c r="M22" s="12">
        <v>2008.7398952281126</v>
      </c>
      <c r="N22" s="12">
        <v>1860.5740746611054</v>
      </c>
      <c r="O22" s="12">
        <v>1724.1694753988122</v>
      </c>
      <c r="P22" s="12">
        <v>1805.2196309117392</v>
      </c>
      <c r="Q22" s="12">
        <v>1822.6057841447964</v>
      </c>
      <c r="R22" s="12">
        <v>1799.4668596213894</v>
      </c>
      <c r="S22" s="12"/>
    </row>
    <row r="23" spans="1:19" x14ac:dyDescent="0.25">
      <c r="A23">
        <v>23</v>
      </c>
      <c r="B23">
        <v>51</v>
      </c>
      <c r="C23" t="s">
        <v>28</v>
      </c>
      <c r="D23">
        <v>22</v>
      </c>
      <c r="E23" s="12">
        <v>134.75888586748303</v>
      </c>
      <c r="F23" s="12">
        <v>166.25135102558491</v>
      </c>
      <c r="G23" s="12">
        <v>217.81980014170125</v>
      </c>
      <c r="H23" s="12">
        <v>225.07305886201615</v>
      </c>
      <c r="I23" s="12">
        <v>248.75716896916683</v>
      </c>
      <c r="J23" s="12">
        <v>267.50092173365402</v>
      </c>
      <c r="K23" s="12">
        <v>268.68512723901171</v>
      </c>
      <c r="L23" s="12">
        <v>271.27557678198133</v>
      </c>
      <c r="M23" s="12">
        <v>290.74095477629578</v>
      </c>
      <c r="N23" s="12">
        <v>269.29573320271169</v>
      </c>
      <c r="O23" s="12">
        <v>249.5528070430789</v>
      </c>
      <c r="P23" s="12">
        <v>261.28384283052696</v>
      </c>
      <c r="Q23" s="12">
        <v>263.8002795294118</v>
      </c>
      <c r="R23" s="12">
        <v>260.45119833457244</v>
      </c>
      <c r="S23" s="12"/>
    </row>
    <row r="24" spans="1:19" x14ac:dyDescent="0.25">
      <c r="A24">
        <v>91</v>
      </c>
      <c r="B24">
        <v>27</v>
      </c>
      <c r="C24" t="s">
        <v>30</v>
      </c>
      <c r="D24">
        <v>23</v>
      </c>
      <c r="E24" s="12">
        <v>333.221710265875</v>
      </c>
      <c r="F24" s="12">
        <v>411.09392650540804</v>
      </c>
      <c r="G24" s="12">
        <v>538.60853676367992</v>
      </c>
      <c r="H24" s="12">
        <v>556.54385331238552</v>
      </c>
      <c r="I24" s="12">
        <v>615.10815224693454</v>
      </c>
      <c r="J24" s="12">
        <v>661.45630445060476</v>
      </c>
      <c r="K24" s="12">
        <v>664.38451939733272</v>
      </c>
      <c r="L24" s="12">
        <v>670.78998959329897</v>
      </c>
      <c r="M24" s="12">
        <v>718.92252278013143</v>
      </c>
      <c r="N24" s="12">
        <v>665.894380229239</v>
      </c>
      <c r="O24" s="12">
        <v>617.07554666426688</v>
      </c>
      <c r="P24" s="12">
        <v>646.08317598028566</v>
      </c>
      <c r="Q24" s="12">
        <v>652.30563274208168</v>
      </c>
      <c r="R24" s="12">
        <v>644.02427484586792</v>
      </c>
      <c r="S24" s="12"/>
    </row>
    <row r="25" spans="1:19" x14ac:dyDescent="0.25">
      <c r="A25">
        <v>92</v>
      </c>
      <c r="B25">
        <v>21</v>
      </c>
      <c r="C25" t="s">
        <v>31</v>
      </c>
      <c r="D25">
        <v>24</v>
      </c>
      <c r="E25" s="12">
        <v>458.18809943023422</v>
      </c>
      <c r="F25" s="12">
        <v>565.26432423186247</v>
      </c>
      <c r="G25" s="12">
        <v>740.60006954451705</v>
      </c>
      <c r="H25" s="12">
        <v>765.26157372914588</v>
      </c>
      <c r="I25" s="12">
        <v>845.78893433201563</v>
      </c>
      <c r="J25" s="12">
        <v>909.51879080913034</v>
      </c>
      <c r="K25" s="12">
        <v>913.54515883927445</v>
      </c>
      <c r="L25" s="12">
        <v>922.35283890521328</v>
      </c>
      <c r="M25" s="12">
        <v>988.53626340069695</v>
      </c>
      <c r="N25" s="12">
        <v>915.62125485481715</v>
      </c>
      <c r="O25" s="12">
        <v>848.49415035226821</v>
      </c>
      <c r="P25" s="12">
        <v>888.38035865087704</v>
      </c>
      <c r="Q25" s="12">
        <v>896.93639071493214</v>
      </c>
      <c r="R25" s="12">
        <v>885.54931862968238</v>
      </c>
      <c r="S25" s="12"/>
    </row>
    <row r="26" spans="1:19" x14ac:dyDescent="0.25">
      <c r="A26">
        <v>26</v>
      </c>
      <c r="B26">
        <v>39</v>
      </c>
      <c r="C26" t="s">
        <v>32</v>
      </c>
      <c r="D26">
        <v>25</v>
      </c>
      <c r="E26" s="12">
        <v>487.59702616703379</v>
      </c>
      <c r="F26" s="12">
        <v>601.5459673363722</v>
      </c>
      <c r="G26" s="12">
        <v>788.13568475055911</v>
      </c>
      <c r="H26" s="12">
        <v>814.38009423256892</v>
      </c>
      <c r="I26" s="12">
        <v>900.07612519423355</v>
      </c>
      <c r="J26" s="12">
        <v>967.89649969748837</v>
      </c>
      <c r="K26" s="12">
        <v>972.18130124557229</v>
      </c>
      <c r="L26" s="12">
        <v>981.55430463200423</v>
      </c>
      <c r="M26" s="12">
        <v>1051.9857300786225</v>
      </c>
      <c r="N26" s="12">
        <v>974.39065204380267</v>
      </c>
      <c r="O26" s="12">
        <v>902.95497623435188</v>
      </c>
      <c r="P26" s="12">
        <v>945.4012915700514</v>
      </c>
      <c r="Q26" s="12">
        <v>954.50649485972849</v>
      </c>
      <c r="R26" s="12">
        <v>942.38854048155542</v>
      </c>
      <c r="S26" s="12"/>
    </row>
    <row r="27" spans="1:19" x14ac:dyDescent="0.25">
      <c r="A27">
        <v>129</v>
      </c>
      <c r="B27">
        <v>2</v>
      </c>
      <c r="C27" t="s">
        <v>35</v>
      </c>
      <c r="D27">
        <v>27</v>
      </c>
      <c r="E27" s="12">
        <v>316.11610982637217</v>
      </c>
      <c r="F27" s="12">
        <v>389.99083438005681</v>
      </c>
      <c r="G27" s="12">
        <v>510.95961072031486</v>
      </c>
      <c r="H27" s="12">
        <v>527.97423588191555</v>
      </c>
      <c r="I27" s="12">
        <v>583.53219559326487</v>
      </c>
      <c r="J27" s="12">
        <v>627.50111214607477</v>
      </c>
      <c r="K27" s="12">
        <v>630.27901013164262</v>
      </c>
      <c r="L27" s="12">
        <v>636.35566197507137</v>
      </c>
      <c r="M27" s="12">
        <v>682.01736011283663</v>
      </c>
      <c r="N27" s="12">
        <v>631.71136378045082</v>
      </c>
      <c r="O27" s="12">
        <v>585.39859580231791</v>
      </c>
      <c r="P27" s="12">
        <v>612.91714772184559</v>
      </c>
      <c r="Q27" s="12">
        <v>618.82018094117655</v>
      </c>
      <c r="R27" s="12">
        <v>610.96393820074343</v>
      </c>
      <c r="S27" s="12"/>
    </row>
    <row r="28" spans="1:19" x14ac:dyDescent="0.25">
      <c r="A28">
        <v>95</v>
      </c>
      <c r="B28">
        <v>50</v>
      </c>
      <c r="C28" t="s">
        <v>33</v>
      </c>
      <c r="D28">
        <v>28</v>
      </c>
      <c r="E28" s="12">
        <v>218.08701068189538</v>
      </c>
      <c r="F28" s="12">
        <v>269.05283413110391</v>
      </c>
      <c r="G28" s="12">
        <v>352.50862141250479</v>
      </c>
      <c r="H28" s="12">
        <v>364.24693092607106</v>
      </c>
      <c r="I28" s="12">
        <v>402.57610484792008</v>
      </c>
      <c r="J28" s="12">
        <v>432.91005264700829</v>
      </c>
      <c r="K28" s="12">
        <v>434.82651134310106</v>
      </c>
      <c r="L28" s="12">
        <v>439.01876474080325</v>
      </c>
      <c r="M28" s="12">
        <v>470.52055455782295</v>
      </c>
      <c r="N28" s="12">
        <v>435.81468535827372</v>
      </c>
      <c r="O28" s="12">
        <v>403.86372553435712</v>
      </c>
      <c r="P28" s="12">
        <v>422.84864449252296</v>
      </c>
      <c r="Q28" s="12">
        <v>426.92111922171949</v>
      </c>
      <c r="R28" s="12">
        <v>421.50113447183298</v>
      </c>
      <c r="S28" s="12"/>
    </row>
    <row r="29" spans="1:19" x14ac:dyDescent="0.25">
      <c r="A29">
        <v>128</v>
      </c>
      <c r="B29">
        <v>47</v>
      </c>
      <c r="C29" t="s">
        <v>36</v>
      </c>
      <c r="D29">
        <v>29</v>
      </c>
      <c r="E29" s="12">
        <v>561.07744612706676</v>
      </c>
      <c r="F29" s="12">
        <v>692.19838712778994</v>
      </c>
      <c r="G29" s="12">
        <v>906.90700203320478</v>
      </c>
      <c r="H29" s="12">
        <v>937.10641970199651</v>
      </c>
      <c r="I29" s="12">
        <v>1035.7167631102961</v>
      </c>
      <c r="J29" s="12">
        <v>1113.7576051982705</v>
      </c>
      <c r="K29" s="12">
        <v>1118.6881223686862</v>
      </c>
      <c r="L29" s="12">
        <v>1129.4736286789689</v>
      </c>
      <c r="M29" s="12">
        <v>1210.5190046676653</v>
      </c>
      <c r="N29" s="12">
        <v>1121.2304202846815</v>
      </c>
      <c r="O29" s="12">
        <v>1039.0294543341686</v>
      </c>
      <c r="P29" s="12">
        <v>1087.872390053592</v>
      </c>
      <c r="Q29" s="12">
        <v>1098.349739040724</v>
      </c>
      <c r="R29" s="12">
        <v>1084.405620168144</v>
      </c>
      <c r="S29" s="12"/>
    </row>
    <row r="30" spans="1:19" x14ac:dyDescent="0.25">
      <c r="A30">
        <v>136</v>
      </c>
      <c r="B30">
        <v>20</v>
      </c>
      <c r="C30" t="s">
        <v>37</v>
      </c>
      <c r="D30">
        <v>30</v>
      </c>
      <c r="E30" s="12">
        <v>441.08191261439094</v>
      </c>
      <c r="F30" s="12">
        <v>493.91328765217389</v>
      </c>
      <c r="G30" s="12">
        <v>567.92995617432575</v>
      </c>
      <c r="H30" s="12">
        <v>649.77023930273833</v>
      </c>
      <c r="I30" s="12">
        <v>714.87912190615134</v>
      </c>
      <c r="J30" s="12">
        <v>717.28187995002168</v>
      </c>
      <c r="K30" s="12">
        <v>728.59242391263069</v>
      </c>
      <c r="L30" s="12">
        <v>691.87710892519749</v>
      </c>
      <c r="M30" s="12">
        <v>706.8210918809765</v>
      </c>
      <c r="N30" s="12">
        <v>712.7107792811953</v>
      </c>
      <c r="O30" s="12">
        <v>667.20488608448034</v>
      </c>
      <c r="P30" s="12">
        <v>624.86360104310677</v>
      </c>
      <c r="Q30" s="12">
        <v>612.38097998592696</v>
      </c>
      <c r="R30" s="12">
        <v>619.706461826995</v>
      </c>
      <c r="S30" s="12"/>
    </row>
    <row r="31" spans="1:19" x14ac:dyDescent="0.25">
      <c r="A31">
        <v>169</v>
      </c>
      <c r="B31">
        <v>8</v>
      </c>
      <c r="C31" t="s">
        <v>38</v>
      </c>
      <c r="D31">
        <v>31</v>
      </c>
      <c r="E31" s="12">
        <v>288.87640415839547</v>
      </c>
      <c r="F31" s="12">
        <v>323.47709217391309</v>
      </c>
      <c r="G31" s="12">
        <v>371.95259851179304</v>
      </c>
      <c r="H31" s="12">
        <v>425.55200041270314</v>
      </c>
      <c r="I31" s="12">
        <v>468.19355824436155</v>
      </c>
      <c r="J31" s="12">
        <v>469.76718909143449</v>
      </c>
      <c r="K31" s="12">
        <v>477.17476844472878</v>
      </c>
      <c r="L31" s="12">
        <v>453.12892147665133</v>
      </c>
      <c r="M31" s="12">
        <v>462.91613772064142</v>
      </c>
      <c r="N31" s="12">
        <v>466.77345235797873</v>
      </c>
      <c r="O31" s="12">
        <v>436.97041936402479</v>
      </c>
      <c r="P31" s="12">
        <v>409.23997333938638</v>
      </c>
      <c r="Q31" s="12">
        <v>401.06476918264184</v>
      </c>
      <c r="R31" s="12">
        <v>405.86242420420558</v>
      </c>
      <c r="S31" s="12"/>
    </row>
    <row r="32" spans="1:19" x14ac:dyDescent="0.25">
      <c r="A32">
        <v>147</v>
      </c>
      <c r="B32">
        <v>26</v>
      </c>
      <c r="C32" t="s">
        <v>39</v>
      </c>
      <c r="D32">
        <v>32</v>
      </c>
      <c r="E32" s="12">
        <v>1469.2321099568728</v>
      </c>
      <c r="F32" s="12">
        <v>1645.2120139130438</v>
      </c>
      <c r="G32" s="12">
        <v>1891.7595665438191</v>
      </c>
      <c r="H32" s="12">
        <v>2164.3673711747597</v>
      </c>
      <c r="I32" s="12">
        <v>2381.2433260225753</v>
      </c>
      <c r="J32" s="12">
        <v>2389.2468491087684</v>
      </c>
      <c r="K32" s="12">
        <v>2426.9219699779205</v>
      </c>
      <c r="L32" s="12">
        <v>2304.6242330632881</v>
      </c>
      <c r="M32" s="12">
        <v>2354.4022425018061</v>
      </c>
      <c r="N32" s="12">
        <v>2374.020634456987</v>
      </c>
      <c r="O32" s="12">
        <v>2222.441715519697</v>
      </c>
      <c r="P32" s="12">
        <v>2081.4040221105633</v>
      </c>
      <c r="Q32" s="12">
        <v>2039.8247436383904</v>
      </c>
      <c r="R32" s="12">
        <v>2064.2257286572717</v>
      </c>
      <c r="S32" s="12"/>
    </row>
    <row r="33" spans="1:19" x14ac:dyDescent="0.25">
      <c r="A33">
        <v>78</v>
      </c>
      <c r="B33">
        <v>18</v>
      </c>
      <c r="C33" t="s">
        <v>40</v>
      </c>
      <c r="D33">
        <v>33</v>
      </c>
      <c r="E33" s="12">
        <v>127.21215665309983</v>
      </c>
      <c r="F33" s="12">
        <v>162.04405668906762</v>
      </c>
      <c r="G33" s="12">
        <v>305.91494814197819</v>
      </c>
      <c r="H33" s="12">
        <v>302.88608726928533</v>
      </c>
      <c r="I33" s="12">
        <v>452.81470046758153</v>
      </c>
      <c r="J33" s="12">
        <v>499.76204399432066</v>
      </c>
      <c r="K33" s="12">
        <v>673.92154417415986</v>
      </c>
      <c r="L33" s="12">
        <v>754.1863573005204</v>
      </c>
      <c r="M33" s="12">
        <v>832.93673999053476</v>
      </c>
      <c r="N33" s="12">
        <v>938.94687053478469</v>
      </c>
      <c r="O33" s="12">
        <v>958.63446620728791</v>
      </c>
      <c r="P33" s="12">
        <v>937.43244009843818</v>
      </c>
      <c r="Q33" s="12">
        <v>837.48003129957374</v>
      </c>
      <c r="R33" s="12">
        <v>563.36812232087073</v>
      </c>
      <c r="S33" s="12"/>
    </row>
    <row r="34" spans="1:19" x14ac:dyDescent="0.25">
      <c r="A34">
        <v>133</v>
      </c>
      <c r="B34">
        <v>17</v>
      </c>
      <c r="C34" t="s">
        <v>41</v>
      </c>
      <c r="D34">
        <v>34</v>
      </c>
      <c r="E34" s="12">
        <v>154.2441819441552</v>
      </c>
      <c r="F34" s="12">
        <v>196.47770795267388</v>
      </c>
      <c r="G34" s="12">
        <v>370.92053277046853</v>
      </c>
      <c r="H34" s="12">
        <v>367.2480522479886</v>
      </c>
      <c r="I34" s="12">
        <v>549.03583811074293</v>
      </c>
      <c r="J34" s="12">
        <v>605.95928620918107</v>
      </c>
      <c r="K34" s="12">
        <v>817.12691625177467</v>
      </c>
      <c r="L34" s="12">
        <v>914.44765009749165</v>
      </c>
      <c r="M34" s="12">
        <v>1009.9321436819689</v>
      </c>
      <c r="N34" s="12">
        <v>1138.4689619687649</v>
      </c>
      <c r="O34" s="12">
        <v>1162.3400853648839</v>
      </c>
      <c r="P34" s="12">
        <v>1136.6327217075248</v>
      </c>
      <c r="Q34" s="12">
        <v>1015.4408644656884</v>
      </c>
      <c r="R34" s="12">
        <v>683.08137718125886</v>
      </c>
      <c r="S34" s="12"/>
    </row>
    <row r="35" spans="1:19" x14ac:dyDescent="0.25">
      <c r="A35">
        <v>204</v>
      </c>
      <c r="B35">
        <v>40</v>
      </c>
      <c r="C35" t="s">
        <v>55</v>
      </c>
      <c r="D35">
        <v>35</v>
      </c>
      <c r="E35" s="12">
        <v>130.33965182331028</v>
      </c>
      <c r="F35" s="12">
        <v>152.06292712719537</v>
      </c>
      <c r="G35" s="12">
        <v>212.21968950718468</v>
      </c>
      <c r="H35" s="12">
        <v>287.41564248217145</v>
      </c>
      <c r="I35" s="12">
        <v>394.36099782437481</v>
      </c>
      <c r="J35" s="12">
        <v>538.06881906546039</v>
      </c>
      <c r="K35" s="12">
        <v>591.54149673656207</v>
      </c>
      <c r="L35" s="12">
        <v>822.14241919318795</v>
      </c>
      <c r="M35" s="12">
        <v>845.53671567429501</v>
      </c>
      <c r="N35" s="12">
        <v>880.62816039595532</v>
      </c>
      <c r="O35" s="12">
        <v>970.86330396593951</v>
      </c>
      <c r="P35" s="12">
        <v>977.5473886748274</v>
      </c>
      <c r="Q35" s="12">
        <v>768.66974152208638</v>
      </c>
      <c r="R35" s="12">
        <v>668.40847088877081</v>
      </c>
      <c r="S35" s="12"/>
    </row>
    <row r="36" spans="1:19" x14ac:dyDescent="0.25">
      <c r="A36">
        <v>205</v>
      </c>
      <c r="B36">
        <v>38</v>
      </c>
      <c r="C36" t="s">
        <v>56</v>
      </c>
      <c r="D36">
        <v>36</v>
      </c>
      <c r="E36" s="12">
        <v>67.255173470995203</v>
      </c>
      <c r="F36" s="12">
        <v>78.464369049494422</v>
      </c>
      <c r="G36" s="12">
        <v>109.50521834379988</v>
      </c>
      <c r="H36" s="12">
        <v>148.30627996168175</v>
      </c>
      <c r="I36" s="12">
        <v>203.49001204044708</v>
      </c>
      <c r="J36" s="12">
        <v>277.6431520212879</v>
      </c>
      <c r="K36" s="12">
        <v>305.2350180606706</v>
      </c>
      <c r="L36" s="12">
        <v>424.22494035550824</v>
      </c>
      <c r="M36" s="12">
        <v>436.29638174773817</v>
      </c>
      <c r="N36" s="12">
        <v>454.40354383608297</v>
      </c>
      <c r="O36" s="12">
        <v>500.96481777754127</v>
      </c>
      <c r="P36" s="12">
        <v>504.41380103246422</v>
      </c>
      <c r="Q36" s="12">
        <v>396.63307431612566</v>
      </c>
      <c r="R36" s="12">
        <v>344.89832549228316</v>
      </c>
      <c r="S36" s="12"/>
    </row>
    <row r="37" spans="1:19" x14ac:dyDescent="0.25">
      <c r="A37">
        <v>210</v>
      </c>
      <c r="B37">
        <v>29</v>
      </c>
      <c r="C37" t="s">
        <v>6</v>
      </c>
      <c r="D37">
        <v>37</v>
      </c>
      <c r="E37" s="12">
        <v>7196.4086864719629</v>
      </c>
      <c r="F37" s="12">
        <v>8279.1389098520795</v>
      </c>
      <c r="G37" s="12">
        <v>7759.3008350038926</v>
      </c>
      <c r="H37" s="12">
        <v>7896.4360326632304</v>
      </c>
      <c r="I37" s="12">
        <v>8398.733558973594</v>
      </c>
      <c r="J37" s="12">
        <v>8484.8417063410852</v>
      </c>
      <c r="K37" s="12">
        <v>7910.7873905578135</v>
      </c>
      <c r="L37" s="12">
        <v>7689.138640852605</v>
      </c>
      <c r="M37" s="12">
        <v>7585.4899449472914</v>
      </c>
      <c r="N37" s="12">
        <v>7127.841087642294</v>
      </c>
      <c r="O37" s="12">
        <v>7234.6789741908469</v>
      </c>
      <c r="P37" s="12">
        <v>6743.5436151318263</v>
      </c>
      <c r="Q37" s="12">
        <v>6638.300323904894</v>
      </c>
      <c r="R37" s="12">
        <v>7239.4627601557086</v>
      </c>
      <c r="S37" s="12"/>
    </row>
    <row r="38" spans="1:19" x14ac:dyDescent="0.25">
      <c r="A38">
        <v>245</v>
      </c>
      <c r="B38">
        <v>37</v>
      </c>
      <c r="C38" t="s">
        <v>7</v>
      </c>
      <c r="D38">
        <v>38</v>
      </c>
      <c r="E38" s="12">
        <v>1188.3247618691278</v>
      </c>
      <c r="F38" s="12">
        <v>1643.6641566040271</v>
      </c>
      <c r="G38" s="12">
        <v>2107.8882224557051</v>
      </c>
      <c r="H38" s="12">
        <v>2412.1882082053698</v>
      </c>
      <c r="I38" s="12">
        <v>2545.4582749570477</v>
      </c>
      <c r="J38" s="12">
        <v>2729.8152006302025</v>
      </c>
      <c r="K38" s="12">
        <v>3045.2210252758396</v>
      </c>
      <c r="L38" s="12">
        <v>3096.3078841973165</v>
      </c>
      <c r="M38" s="12">
        <v>3413.9348766221487</v>
      </c>
      <c r="N38" s="12">
        <v>3682.6961779046983</v>
      </c>
      <c r="O38" s="12">
        <v>3818.1874124355713</v>
      </c>
      <c r="P38" s="12">
        <v>3887.0436135906052</v>
      </c>
      <c r="Q38" s="12">
        <v>3940.3516402912765</v>
      </c>
      <c r="R38" s="12">
        <v>3165.16408535235</v>
      </c>
      <c r="S38" s="12"/>
    </row>
    <row r="39" spans="1:19" x14ac:dyDescent="0.25">
      <c r="A39">
        <v>424</v>
      </c>
      <c r="B39">
        <v>62</v>
      </c>
      <c r="C39" t="s">
        <v>82</v>
      </c>
      <c r="D39">
        <v>101</v>
      </c>
      <c r="E39" s="12">
        <v>3203.2829303430603</v>
      </c>
      <c r="F39" s="12">
        <v>3320.7984880825197</v>
      </c>
      <c r="G39" s="12">
        <v>3368.0296213366564</v>
      </c>
      <c r="H39" s="12">
        <v>3323.0475896660496</v>
      </c>
      <c r="I39" s="12">
        <v>3312.9266325401636</v>
      </c>
      <c r="J39" s="12">
        <v>3419.1966823619714</v>
      </c>
      <c r="K39" s="12">
        <v>3399.5170435060809</v>
      </c>
      <c r="L39" s="12">
        <v>3472.0505695749343</v>
      </c>
      <c r="M39" s="12">
        <v>3219.0266414277726</v>
      </c>
      <c r="N39" s="12">
        <v>2991.8673814912104</v>
      </c>
      <c r="O39" s="12">
        <v>2927.7679863605963</v>
      </c>
      <c r="P39" s="12">
        <v>2957.5685823423728</v>
      </c>
      <c r="Q39" s="12">
        <v>2742.7793811152274</v>
      </c>
      <c r="R39" s="12">
        <v>2809.6901532252541</v>
      </c>
      <c r="S39" s="12"/>
    </row>
    <row r="40" spans="1:19" x14ac:dyDescent="0.25">
      <c r="A40">
        <v>371</v>
      </c>
      <c r="B40">
        <v>61</v>
      </c>
      <c r="C40" t="s">
        <v>83</v>
      </c>
      <c r="D40">
        <v>102</v>
      </c>
      <c r="E40" s="12">
        <v>5.9051204866324616</v>
      </c>
      <c r="F40" s="12">
        <v>8.7042660226843136</v>
      </c>
      <c r="G40" s="12">
        <v>12.017485402376453</v>
      </c>
      <c r="H40" s="12">
        <v>17.408532045368627</v>
      </c>
      <c r="I40" s="12">
        <v>20.813261952200921</v>
      </c>
      <c r="J40" s="12">
        <v>27.09249900567108</v>
      </c>
      <c r="K40" s="12">
        <v>30.394952440993798</v>
      </c>
      <c r="L40" s="12">
        <v>29.800134014582778</v>
      </c>
      <c r="M40" s="12">
        <v>29.245687879557121</v>
      </c>
      <c r="N40" s="12">
        <v>30.158101664866329</v>
      </c>
      <c r="O40" s="12">
        <v>29.872804139076429</v>
      </c>
      <c r="P40" s="12">
        <v>28.518986634620585</v>
      </c>
      <c r="Q40" s="12">
        <v>27.889178889008917</v>
      </c>
      <c r="R40" s="12">
        <v>27.019828881177435</v>
      </c>
    </row>
    <row r="41" spans="1:19" x14ac:dyDescent="0.25">
      <c r="A41">
        <v>125</v>
      </c>
      <c r="B41">
        <v>85</v>
      </c>
      <c r="C41" t="s">
        <v>84</v>
      </c>
      <c r="D41">
        <v>103</v>
      </c>
      <c r="E41" s="12">
        <v>74.548439801242239</v>
      </c>
      <c r="F41" s="12">
        <v>83.477612521739132</v>
      </c>
      <c r="G41" s="12">
        <v>95.987368645962746</v>
      </c>
      <c r="H41" s="12">
        <v>109.81941490683232</v>
      </c>
      <c r="I41" s="12">
        <v>120.82364218633541</v>
      </c>
      <c r="J41" s="12">
        <v>121.22973878260872</v>
      </c>
      <c r="K41" s="12">
        <v>123.14136422360248</v>
      </c>
      <c r="L41" s="12">
        <v>116.93601013664596</v>
      </c>
      <c r="M41" s="12">
        <v>119.46173286956522</v>
      </c>
      <c r="N41" s="12">
        <v>120.45716477018635</v>
      </c>
      <c r="O41" s="12">
        <v>112.76609142857144</v>
      </c>
      <c r="P41" s="12">
        <v>105.60987701863354</v>
      </c>
      <c r="Q41" s="12">
        <v>103.50015567701865</v>
      </c>
      <c r="R41" s="12">
        <v>104.73825505590065</v>
      </c>
    </row>
    <row r="42" spans="1:19" x14ac:dyDescent="0.25">
      <c r="A42">
        <v>349</v>
      </c>
      <c r="B42">
        <v>86</v>
      </c>
      <c r="C42" t="s">
        <v>85</v>
      </c>
      <c r="D42">
        <v>104</v>
      </c>
      <c r="E42" s="12">
        <v>90.07740360293846</v>
      </c>
      <c r="F42" s="12">
        <v>100.86658573913046</v>
      </c>
      <c r="G42" s="12">
        <v>115.98221195988529</v>
      </c>
      <c r="H42" s="12">
        <v>132.69557064340401</v>
      </c>
      <c r="I42" s="12">
        <v>145.99205578295951</v>
      </c>
      <c r="J42" s="12">
        <v>146.4827451535462</v>
      </c>
      <c r="K42" s="12">
        <v>148.79257560533213</v>
      </c>
      <c r="L42" s="12">
        <v>141.29460266209944</v>
      </c>
      <c r="M42" s="12">
        <v>144.34645118647987</v>
      </c>
      <c r="N42" s="12">
        <v>145.54923854608865</v>
      </c>
      <c r="O42" s="12">
        <v>136.25606058851452</v>
      </c>
      <c r="P42" s="12">
        <v>127.60915643610329</v>
      </c>
      <c r="Q42" s="12">
        <v>125.05996531573847</v>
      </c>
      <c r="R42" s="12">
        <v>126.55596949435633</v>
      </c>
    </row>
    <row r="43" spans="1:19" x14ac:dyDescent="0.25">
      <c r="A43">
        <v>348</v>
      </c>
      <c r="B43">
        <v>84</v>
      </c>
      <c r="C43" t="s">
        <v>86</v>
      </c>
      <c r="D43">
        <v>105</v>
      </c>
      <c r="E43" s="12">
        <v>208.74320475404966</v>
      </c>
      <c r="F43" s="12">
        <v>233.74579547826087</v>
      </c>
      <c r="G43" s="12">
        <v>268.77438348123235</v>
      </c>
      <c r="H43" s="12">
        <v>307.50551819710699</v>
      </c>
      <c r="I43" s="12">
        <v>338.31847248950703</v>
      </c>
      <c r="J43" s="12">
        <v>339.45558421406906</v>
      </c>
      <c r="K43" s="12">
        <v>344.80832964920239</v>
      </c>
      <c r="L43" s="12">
        <v>327.43270780924865</v>
      </c>
      <c r="M43" s="12">
        <v>334.50498804737833</v>
      </c>
      <c r="N43" s="12">
        <v>337.29229849417061</v>
      </c>
      <c r="O43" s="12">
        <v>315.75651180825821</v>
      </c>
      <c r="P43" s="12">
        <v>295.71838446689088</v>
      </c>
      <c r="Q43" s="12">
        <v>289.81095038562972</v>
      </c>
      <c r="R43" s="12">
        <v>293.27775442392857</v>
      </c>
    </row>
    <row r="44" spans="1:19" x14ac:dyDescent="0.25">
      <c r="A44">
        <v>256</v>
      </c>
      <c r="B44">
        <v>87</v>
      </c>
      <c r="C44" t="s">
        <v>87</v>
      </c>
      <c r="D44">
        <v>106</v>
      </c>
      <c r="E44" s="12">
        <v>158.41352208468669</v>
      </c>
      <c r="F44" s="12">
        <v>177.38778504347829</v>
      </c>
      <c r="G44" s="12">
        <v>203.97069587759233</v>
      </c>
      <c r="H44" s="12">
        <v>233.36343932956405</v>
      </c>
      <c r="I44" s="12">
        <v>256.74713999203487</v>
      </c>
      <c r="J44" s="12">
        <v>257.61008484096499</v>
      </c>
      <c r="K44" s="12">
        <v>261.67223986153817</v>
      </c>
      <c r="L44" s="12">
        <v>248.48602162117993</v>
      </c>
      <c r="M44" s="12">
        <v>253.8531176328182</v>
      </c>
      <c r="N44" s="12">
        <v>255.96838488446386</v>
      </c>
      <c r="O44" s="12">
        <v>239.62505134314196</v>
      </c>
      <c r="P44" s="12">
        <v>224.41827931016698</v>
      </c>
      <c r="Q44" s="12">
        <v>219.93517558279859</v>
      </c>
      <c r="R44" s="12">
        <v>222.56610500026832</v>
      </c>
    </row>
    <row r="45" spans="1:19" x14ac:dyDescent="0.25">
      <c r="A45">
        <v>431</v>
      </c>
      <c r="B45">
        <v>90</v>
      </c>
      <c r="D45">
        <v>107</v>
      </c>
      <c r="E45" s="12">
        <v>46.592864645219883</v>
      </c>
      <c r="F45" s="12">
        <v>52.173608347826104</v>
      </c>
      <c r="G45" s="12">
        <v>59.992220989414186</v>
      </c>
      <c r="H45" s="12">
        <v>68.637266558676075</v>
      </c>
      <c r="I45" s="12">
        <v>75.514921859392103</v>
      </c>
      <c r="J45" s="12">
        <v>75.768732721074699</v>
      </c>
      <c r="K45" s="12">
        <v>76.963500923629326</v>
      </c>
      <c r="L45" s="12">
        <v>73.085147146942916</v>
      </c>
      <c r="M45" s="12">
        <v>74.663726896432209</v>
      </c>
      <c r="N45" s="12">
        <v>75.285873032995639</v>
      </c>
      <c r="O45" s="12">
        <v>70.478942933080234</v>
      </c>
      <c r="P45" s="12">
        <v>66.006300309527262</v>
      </c>
      <c r="Q45" s="12">
        <v>64.687721930542111</v>
      </c>
      <c r="R45" s="12">
        <v>65.461535533232933</v>
      </c>
    </row>
    <row r="46" spans="1:19" x14ac:dyDescent="0.25">
      <c r="A46">
        <v>257</v>
      </c>
      <c r="B46">
        <v>91</v>
      </c>
      <c r="D46">
        <v>108</v>
      </c>
      <c r="E46" s="12">
        <v>132.35242066241651</v>
      </c>
      <c r="F46" s="12">
        <v>163.28250716075959</v>
      </c>
      <c r="G46" s="12">
        <v>213.93006948207704</v>
      </c>
      <c r="H46" s="12">
        <v>221.05380268263551</v>
      </c>
      <c r="I46" s="12">
        <v>244.31497231711214</v>
      </c>
      <c r="J46" s="12">
        <v>262.7240073481471</v>
      </c>
      <c r="K46" s="12">
        <v>263.88706582987112</v>
      </c>
      <c r="L46" s="12">
        <v>266.43125625864195</v>
      </c>
      <c r="M46" s="12">
        <v>285.54903005197747</v>
      </c>
      <c r="N46" s="12">
        <v>264.48676785951</v>
      </c>
      <c r="O46" s="12">
        <v>245.0964022345203</v>
      </c>
      <c r="P46" s="12">
        <v>256.61795031909696</v>
      </c>
      <c r="Q46" s="12">
        <v>259.08944959276016</v>
      </c>
      <c r="R46" s="12">
        <v>255.80017482413493</v>
      </c>
    </row>
    <row r="47" spans="1:19" x14ac:dyDescent="0.25">
      <c r="A47">
        <v>285</v>
      </c>
      <c r="B47">
        <v>9999</v>
      </c>
      <c r="C47" t="s">
        <v>79</v>
      </c>
      <c r="D47">
        <v>1000</v>
      </c>
      <c r="E47">
        <v>10</v>
      </c>
      <c r="F47">
        <v>10</v>
      </c>
      <c r="G47">
        <v>10</v>
      </c>
      <c r="H47">
        <v>10</v>
      </c>
      <c r="I47">
        <v>10</v>
      </c>
      <c r="J47">
        <v>10</v>
      </c>
      <c r="K47">
        <v>10</v>
      </c>
      <c r="L47">
        <v>10</v>
      </c>
      <c r="M47">
        <v>10</v>
      </c>
      <c r="N47">
        <v>10</v>
      </c>
      <c r="O47">
        <v>10</v>
      </c>
      <c r="P47">
        <v>10</v>
      </c>
      <c r="Q47">
        <v>10</v>
      </c>
      <c r="R47">
        <v>10</v>
      </c>
    </row>
    <row r="48" spans="1:19" x14ac:dyDescent="0.25">
      <c r="A48">
        <v>292</v>
      </c>
      <c r="B48">
        <v>9999</v>
      </c>
      <c r="C48" t="s">
        <v>79</v>
      </c>
      <c r="D48">
        <v>1000</v>
      </c>
      <c r="E48">
        <v>10</v>
      </c>
      <c r="F48">
        <v>10</v>
      </c>
      <c r="G48">
        <v>10</v>
      </c>
      <c r="H48">
        <v>10</v>
      </c>
      <c r="I48">
        <v>10</v>
      </c>
      <c r="J48">
        <v>10</v>
      </c>
      <c r="K48">
        <v>10</v>
      </c>
      <c r="L48">
        <v>10</v>
      </c>
      <c r="M48">
        <v>10</v>
      </c>
      <c r="N48">
        <v>10</v>
      </c>
      <c r="O48">
        <v>10</v>
      </c>
      <c r="P48">
        <v>10</v>
      </c>
      <c r="Q48">
        <v>10</v>
      </c>
      <c r="R48">
        <v>10</v>
      </c>
    </row>
    <row r="49" spans="1:18" x14ac:dyDescent="0.25">
      <c r="A49">
        <v>297</v>
      </c>
      <c r="B49">
        <v>9999</v>
      </c>
      <c r="C49" t="s">
        <v>79</v>
      </c>
      <c r="D49">
        <v>1000</v>
      </c>
      <c r="E49">
        <v>10</v>
      </c>
      <c r="F49">
        <v>10</v>
      </c>
      <c r="G49">
        <v>10</v>
      </c>
      <c r="H49">
        <v>10</v>
      </c>
      <c r="I49">
        <v>10</v>
      </c>
      <c r="J49">
        <v>10</v>
      </c>
      <c r="K49">
        <v>10</v>
      </c>
      <c r="L49">
        <v>10</v>
      </c>
      <c r="M49">
        <v>10</v>
      </c>
      <c r="N49">
        <v>10</v>
      </c>
      <c r="O49">
        <v>10</v>
      </c>
      <c r="P49">
        <v>10</v>
      </c>
      <c r="Q49">
        <v>10</v>
      </c>
      <c r="R49">
        <v>10</v>
      </c>
    </row>
    <row r="50" spans="1:18" x14ac:dyDescent="0.25">
      <c r="A50">
        <v>296</v>
      </c>
      <c r="B50">
        <v>9999</v>
      </c>
      <c r="C50" t="s">
        <v>79</v>
      </c>
      <c r="D50">
        <v>1000</v>
      </c>
      <c r="E50">
        <v>10</v>
      </c>
      <c r="F50">
        <v>10</v>
      </c>
      <c r="G50">
        <v>10</v>
      </c>
      <c r="H50">
        <v>10</v>
      </c>
      <c r="I50">
        <v>10</v>
      </c>
      <c r="J50">
        <v>10</v>
      </c>
      <c r="K50">
        <v>10</v>
      </c>
      <c r="L50">
        <v>10</v>
      </c>
      <c r="M50">
        <v>10</v>
      </c>
      <c r="N50">
        <v>10</v>
      </c>
      <c r="O50">
        <v>10</v>
      </c>
      <c r="P50">
        <v>10</v>
      </c>
      <c r="Q50">
        <v>10</v>
      </c>
      <c r="R50">
        <v>10</v>
      </c>
    </row>
    <row r="51" spans="1:18" x14ac:dyDescent="0.25">
      <c r="A51">
        <v>283</v>
      </c>
      <c r="B51">
        <v>9999</v>
      </c>
      <c r="C51" t="s">
        <v>79</v>
      </c>
      <c r="D51">
        <v>1000</v>
      </c>
      <c r="E51">
        <v>10</v>
      </c>
      <c r="F51">
        <v>10</v>
      </c>
      <c r="G51">
        <v>10</v>
      </c>
      <c r="H51">
        <v>10</v>
      </c>
      <c r="I51">
        <v>10</v>
      </c>
      <c r="J51">
        <v>10</v>
      </c>
      <c r="K51">
        <v>10</v>
      </c>
      <c r="L51">
        <v>10</v>
      </c>
      <c r="M51">
        <v>10</v>
      </c>
      <c r="N51">
        <v>10</v>
      </c>
      <c r="O51">
        <v>10</v>
      </c>
      <c r="P51">
        <v>10</v>
      </c>
      <c r="Q51">
        <v>10</v>
      </c>
      <c r="R51">
        <v>10</v>
      </c>
    </row>
    <row r="52" spans="1:18" x14ac:dyDescent="0.25">
      <c r="A52">
        <v>284</v>
      </c>
      <c r="B52">
        <v>9999</v>
      </c>
      <c r="C52" t="s">
        <v>79</v>
      </c>
      <c r="D52">
        <v>1000</v>
      </c>
      <c r="E52">
        <v>10</v>
      </c>
      <c r="F52">
        <v>10</v>
      </c>
      <c r="G52">
        <v>10</v>
      </c>
      <c r="H52">
        <v>10</v>
      </c>
      <c r="I52">
        <v>10</v>
      </c>
      <c r="J52">
        <v>10</v>
      </c>
      <c r="K52">
        <v>10</v>
      </c>
      <c r="L52">
        <v>10</v>
      </c>
      <c r="M52">
        <v>10</v>
      </c>
      <c r="N52">
        <v>10</v>
      </c>
      <c r="O52">
        <v>10</v>
      </c>
      <c r="P52">
        <v>10</v>
      </c>
      <c r="Q52">
        <v>10</v>
      </c>
      <c r="R52">
        <v>10</v>
      </c>
    </row>
    <row r="53" spans="1:18" x14ac:dyDescent="0.25">
      <c r="A53">
        <v>280</v>
      </c>
      <c r="B53">
        <v>9999</v>
      </c>
      <c r="C53" t="s">
        <v>79</v>
      </c>
      <c r="D53">
        <v>1000</v>
      </c>
      <c r="E53">
        <v>10</v>
      </c>
      <c r="F53">
        <v>10</v>
      </c>
      <c r="G53">
        <v>10</v>
      </c>
      <c r="H53">
        <v>10</v>
      </c>
      <c r="I53">
        <v>10</v>
      </c>
      <c r="J53">
        <v>10</v>
      </c>
      <c r="K53">
        <v>10</v>
      </c>
      <c r="L53">
        <v>10</v>
      </c>
      <c r="M53">
        <v>10</v>
      </c>
      <c r="N53">
        <v>10</v>
      </c>
      <c r="O53">
        <v>10</v>
      </c>
      <c r="P53">
        <v>10</v>
      </c>
      <c r="Q53">
        <v>10</v>
      </c>
      <c r="R53">
        <v>10</v>
      </c>
    </row>
    <row r="54" spans="1:18" x14ac:dyDescent="0.25">
      <c r="A54">
        <v>279</v>
      </c>
      <c r="B54">
        <v>9999</v>
      </c>
      <c r="C54" t="s">
        <v>79</v>
      </c>
      <c r="D54">
        <v>1000</v>
      </c>
      <c r="E54">
        <v>10</v>
      </c>
      <c r="F54">
        <v>10</v>
      </c>
      <c r="G54">
        <v>10</v>
      </c>
      <c r="H54">
        <v>10</v>
      </c>
      <c r="I54">
        <v>10</v>
      </c>
      <c r="J54">
        <v>10</v>
      </c>
      <c r="K54">
        <v>10</v>
      </c>
      <c r="L54">
        <v>10</v>
      </c>
      <c r="M54">
        <v>10</v>
      </c>
      <c r="N54">
        <v>10</v>
      </c>
      <c r="O54">
        <v>10</v>
      </c>
      <c r="P54">
        <v>10</v>
      </c>
      <c r="Q54">
        <v>10</v>
      </c>
      <c r="R54">
        <v>10</v>
      </c>
    </row>
    <row r="55" spans="1:18" x14ac:dyDescent="0.25">
      <c r="A55">
        <v>282</v>
      </c>
      <c r="B55">
        <v>9999</v>
      </c>
      <c r="C55" t="s">
        <v>79</v>
      </c>
      <c r="D55">
        <v>1000</v>
      </c>
      <c r="E55">
        <v>10</v>
      </c>
      <c r="F55">
        <v>10</v>
      </c>
      <c r="G55">
        <v>10</v>
      </c>
      <c r="H55">
        <v>10</v>
      </c>
      <c r="I55">
        <v>10</v>
      </c>
      <c r="J55">
        <v>10</v>
      </c>
      <c r="K55">
        <v>10</v>
      </c>
      <c r="L55">
        <v>10</v>
      </c>
      <c r="M55">
        <v>10</v>
      </c>
      <c r="N55">
        <v>10</v>
      </c>
      <c r="O55">
        <v>10</v>
      </c>
      <c r="P55">
        <v>10</v>
      </c>
      <c r="Q55">
        <v>10</v>
      </c>
      <c r="R55">
        <v>10</v>
      </c>
    </row>
    <row r="56" spans="1:18" x14ac:dyDescent="0.25">
      <c r="A56">
        <v>281</v>
      </c>
      <c r="B56">
        <v>9999</v>
      </c>
      <c r="C56" t="s">
        <v>79</v>
      </c>
      <c r="D56">
        <v>1000</v>
      </c>
      <c r="E56">
        <v>10</v>
      </c>
      <c r="F56">
        <v>10</v>
      </c>
      <c r="G56">
        <v>10</v>
      </c>
      <c r="H56">
        <v>10</v>
      </c>
      <c r="I56">
        <v>10</v>
      </c>
      <c r="J56">
        <v>10</v>
      </c>
      <c r="K56">
        <v>10</v>
      </c>
      <c r="L56">
        <v>10</v>
      </c>
      <c r="M56">
        <v>10</v>
      </c>
      <c r="N56">
        <v>10</v>
      </c>
      <c r="O56">
        <v>10</v>
      </c>
      <c r="P56">
        <v>10</v>
      </c>
      <c r="Q56">
        <v>10</v>
      </c>
      <c r="R56">
        <v>10</v>
      </c>
    </row>
    <row r="57" spans="1:18" x14ac:dyDescent="0.25">
      <c r="A57">
        <v>273</v>
      </c>
      <c r="B57">
        <v>9999</v>
      </c>
      <c r="C57" t="s">
        <v>79</v>
      </c>
      <c r="D57">
        <v>1000</v>
      </c>
      <c r="E57">
        <v>8</v>
      </c>
      <c r="F57">
        <v>0</v>
      </c>
      <c r="G57">
        <v>2</v>
      </c>
      <c r="H57">
        <v>2</v>
      </c>
      <c r="I57">
        <v>2</v>
      </c>
      <c r="J57">
        <v>2</v>
      </c>
      <c r="K57">
        <v>6</v>
      </c>
      <c r="L57">
        <v>8</v>
      </c>
      <c r="M57">
        <v>0</v>
      </c>
      <c r="N57">
        <v>6</v>
      </c>
      <c r="O57">
        <v>2</v>
      </c>
      <c r="P57">
        <v>6</v>
      </c>
      <c r="Q57">
        <v>4</v>
      </c>
      <c r="R57">
        <v>0</v>
      </c>
    </row>
    <row r="58" spans="1:18" x14ac:dyDescent="0.25">
      <c r="A58">
        <v>272</v>
      </c>
      <c r="B58">
        <v>9999</v>
      </c>
      <c r="C58" t="s">
        <v>79</v>
      </c>
      <c r="D58">
        <v>1000</v>
      </c>
      <c r="E58">
        <v>8</v>
      </c>
      <c r="F58">
        <v>0</v>
      </c>
      <c r="G58">
        <v>2</v>
      </c>
      <c r="H58">
        <v>2</v>
      </c>
      <c r="I58">
        <v>2</v>
      </c>
      <c r="J58">
        <v>2</v>
      </c>
      <c r="K58">
        <v>6</v>
      </c>
      <c r="L58">
        <v>8</v>
      </c>
      <c r="M58">
        <v>0</v>
      </c>
      <c r="N58">
        <v>6</v>
      </c>
      <c r="O58">
        <v>2</v>
      </c>
      <c r="P58">
        <v>6</v>
      </c>
      <c r="Q58">
        <v>4</v>
      </c>
      <c r="R58">
        <v>0</v>
      </c>
    </row>
    <row r="59" spans="1:18" x14ac:dyDescent="0.25">
      <c r="A59">
        <v>274</v>
      </c>
      <c r="B59">
        <v>9999</v>
      </c>
      <c r="C59" t="s">
        <v>79</v>
      </c>
      <c r="D59">
        <v>1000</v>
      </c>
      <c r="E59">
        <v>0</v>
      </c>
      <c r="F59">
        <v>0</v>
      </c>
      <c r="G59">
        <v>0</v>
      </c>
      <c r="H59">
        <v>2</v>
      </c>
      <c r="I59">
        <v>2</v>
      </c>
      <c r="J59">
        <v>2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</row>
    <row r="60" spans="1:18" x14ac:dyDescent="0.25">
      <c r="A60">
        <v>275</v>
      </c>
      <c r="B60">
        <v>9999</v>
      </c>
      <c r="C60" t="s">
        <v>79</v>
      </c>
      <c r="D60">
        <v>1000</v>
      </c>
      <c r="E60">
        <v>0</v>
      </c>
      <c r="F60">
        <v>0</v>
      </c>
      <c r="G60">
        <v>0</v>
      </c>
      <c r="H60">
        <v>2</v>
      </c>
      <c r="I60">
        <v>2</v>
      </c>
      <c r="J60">
        <v>2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</row>
    <row r="61" spans="1:18" x14ac:dyDescent="0.25">
      <c r="A61">
        <v>276</v>
      </c>
      <c r="B61">
        <v>9999</v>
      </c>
      <c r="C61" t="s">
        <v>79</v>
      </c>
      <c r="D61">
        <v>1000</v>
      </c>
      <c r="E61">
        <v>0</v>
      </c>
      <c r="F61">
        <v>0</v>
      </c>
      <c r="G61">
        <v>0</v>
      </c>
      <c r="H61">
        <v>2</v>
      </c>
      <c r="I61">
        <v>0</v>
      </c>
      <c r="J61">
        <v>0</v>
      </c>
      <c r="K61">
        <v>2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</row>
    <row r="62" spans="1:18" x14ac:dyDescent="0.25">
      <c r="A62">
        <v>278</v>
      </c>
      <c r="B62">
        <v>9999</v>
      </c>
      <c r="C62" t="s">
        <v>79</v>
      </c>
      <c r="D62">
        <v>1000</v>
      </c>
      <c r="E62">
        <v>0</v>
      </c>
      <c r="F62">
        <v>0</v>
      </c>
      <c r="G62">
        <v>0</v>
      </c>
      <c r="H62">
        <v>2</v>
      </c>
      <c r="I62">
        <v>0</v>
      </c>
      <c r="J62">
        <v>0</v>
      </c>
      <c r="K62">
        <v>2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</row>
    <row r="63" spans="1:18" x14ac:dyDescent="0.25">
      <c r="A63">
        <v>271</v>
      </c>
      <c r="B63">
        <v>9999</v>
      </c>
      <c r="C63" t="s">
        <v>79</v>
      </c>
      <c r="D63">
        <v>1000</v>
      </c>
      <c r="E63">
        <v>4</v>
      </c>
      <c r="F63">
        <v>0</v>
      </c>
      <c r="G63">
        <v>0</v>
      </c>
      <c r="H63">
        <v>0</v>
      </c>
      <c r="I63">
        <v>0</v>
      </c>
      <c r="J63">
        <v>4</v>
      </c>
      <c r="K63">
        <v>4</v>
      </c>
      <c r="L63">
        <v>0</v>
      </c>
      <c r="M63">
        <v>2</v>
      </c>
      <c r="N63">
        <v>2</v>
      </c>
      <c r="O63">
        <v>2</v>
      </c>
      <c r="P63">
        <v>6</v>
      </c>
      <c r="Q63">
        <v>2</v>
      </c>
      <c r="R63">
        <v>0</v>
      </c>
    </row>
    <row r="64" spans="1:18" x14ac:dyDescent="0.25">
      <c r="A64">
        <v>270</v>
      </c>
      <c r="B64">
        <v>9999</v>
      </c>
      <c r="C64" t="s">
        <v>79</v>
      </c>
      <c r="D64">
        <v>1000</v>
      </c>
      <c r="E64">
        <v>4</v>
      </c>
      <c r="F64">
        <v>0</v>
      </c>
      <c r="G64">
        <v>0</v>
      </c>
      <c r="H64">
        <v>0</v>
      </c>
      <c r="I64">
        <v>0</v>
      </c>
      <c r="J64">
        <v>4</v>
      </c>
      <c r="K64">
        <v>4</v>
      </c>
      <c r="L64">
        <v>0</v>
      </c>
      <c r="M64">
        <v>2</v>
      </c>
      <c r="N64">
        <v>2</v>
      </c>
      <c r="O64">
        <v>2</v>
      </c>
      <c r="P64">
        <v>6</v>
      </c>
      <c r="Q64">
        <v>2</v>
      </c>
      <c r="R64">
        <v>0</v>
      </c>
    </row>
    <row r="65" spans="1:18" x14ac:dyDescent="0.25">
      <c r="A65">
        <v>265</v>
      </c>
      <c r="B65">
        <v>9999</v>
      </c>
      <c r="C65" t="s">
        <v>79</v>
      </c>
      <c r="D65">
        <v>1000</v>
      </c>
      <c r="E65">
        <v>4</v>
      </c>
      <c r="F65">
        <v>0</v>
      </c>
      <c r="G65">
        <v>0</v>
      </c>
      <c r="H65">
        <v>0</v>
      </c>
      <c r="I65">
        <v>0</v>
      </c>
      <c r="J65">
        <v>4</v>
      </c>
      <c r="K65">
        <v>4</v>
      </c>
      <c r="L65">
        <v>0</v>
      </c>
      <c r="M65">
        <v>2</v>
      </c>
      <c r="N65">
        <v>2</v>
      </c>
      <c r="O65">
        <v>2</v>
      </c>
      <c r="P65">
        <v>6</v>
      </c>
      <c r="Q65">
        <v>2</v>
      </c>
      <c r="R65">
        <v>0</v>
      </c>
    </row>
    <row r="66" spans="1:18" x14ac:dyDescent="0.25">
      <c r="A66">
        <v>266</v>
      </c>
      <c r="B66">
        <v>9999</v>
      </c>
      <c r="C66" t="s">
        <v>79</v>
      </c>
      <c r="D66">
        <v>1000</v>
      </c>
      <c r="E66">
        <v>4</v>
      </c>
      <c r="F66">
        <v>0</v>
      </c>
      <c r="G66">
        <v>0</v>
      </c>
      <c r="H66">
        <v>0</v>
      </c>
      <c r="I66">
        <v>0</v>
      </c>
      <c r="J66">
        <v>4</v>
      </c>
      <c r="K66">
        <v>4</v>
      </c>
      <c r="L66">
        <v>0</v>
      </c>
      <c r="M66">
        <v>2</v>
      </c>
      <c r="N66">
        <v>2</v>
      </c>
      <c r="O66">
        <v>2</v>
      </c>
      <c r="P66">
        <v>6</v>
      </c>
      <c r="Q66">
        <v>2</v>
      </c>
      <c r="R66">
        <v>0</v>
      </c>
    </row>
    <row r="67" spans="1:18" x14ac:dyDescent="0.25">
      <c r="A67">
        <v>259</v>
      </c>
      <c r="B67">
        <v>9999</v>
      </c>
      <c r="C67" t="s">
        <v>79</v>
      </c>
      <c r="D67">
        <v>1000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</row>
    <row r="68" spans="1:18" x14ac:dyDescent="0.25">
      <c r="A68">
        <v>258</v>
      </c>
      <c r="B68">
        <v>9999</v>
      </c>
      <c r="C68" t="s">
        <v>79</v>
      </c>
      <c r="D68">
        <v>1000</v>
      </c>
      <c r="E68">
        <v>16</v>
      </c>
      <c r="F68">
        <v>8</v>
      </c>
      <c r="G68">
        <v>12</v>
      </c>
      <c r="H68">
        <v>4</v>
      </c>
      <c r="I68">
        <v>16</v>
      </c>
      <c r="J68">
        <v>14</v>
      </c>
      <c r="K68">
        <v>18</v>
      </c>
      <c r="L68">
        <v>14</v>
      </c>
      <c r="M68">
        <v>16</v>
      </c>
      <c r="N68">
        <v>40</v>
      </c>
      <c r="O68">
        <v>16</v>
      </c>
      <c r="P68">
        <v>14</v>
      </c>
      <c r="Q68">
        <v>18</v>
      </c>
      <c r="R68">
        <v>4</v>
      </c>
    </row>
    <row r="69" spans="1:18" x14ac:dyDescent="0.25">
      <c r="A69">
        <v>269</v>
      </c>
      <c r="B69">
        <v>9999</v>
      </c>
      <c r="C69" t="s">
        <v>79</v>
      </c>
      <c r="D69">
        <v>1000</v>
      </c>
      <c r="E69">
        <v>16</v>
      </c>
      <c r="F69">
        <v>8</v>
      </c>
      <c r="G69">
        <v>12</v>
      </c>
      <c r="H69">
        <v>4</v>
      </c>
      <c r="I69">
        <v>16</v>
      </c>
      <c r="J69">
        <v>14</v>
      </c>
      <c r="K69">
        <v>18</v>
      </c>
      <c r="L69">
        <v>14</v>
      </c>
      <c r="M69">
        <v>16</v>
      </c>
      <c r="N69">
        <v>40</v>
      </c>
      <c r="O69">
        <v>16</v>
      </c>
      <c r="P69">
        <v>14</v>
      </c>
      <c r="Q69">
        <v>18</v>
      </c>
      <c r="R69">
        <v>4</v>
      </c>
    </row>
    <row r="70" spans="1:18" x14ac:dyDescent="0.25">
      <c r="A70">
        <v>267</v>
      </c>
      <c r="B70">
        <v>9999</v>
      </c>
      <c r="C70" t="s">
        <v>79</v>
      </c>
      <c r="D70">
        <v>1000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6CE08-29D5-4B7D-A4C6-3D13BA8264E0}">
  <sheetPr codeName="Sheet18">
    <tabColor theme="1"/>
  </sheetPr>
  <dimension ref="A1:R5"/>
  <sheetViews>
    <sheetView workbookViewId="0">
      <selection activeCell="B1" sqref="B1:R5"/>
    </sheetView>
  </sheetViews>
  <sheetFormatPr defaultRowHeight="15" x14ac:dyDescent="0.25"/>
  <sheetData>
    <row r="1" spans="1:18" x14ac:dyDescent="0.25">
      <c r="A1" t="s">
        <v>67</v>
      </c>
      <c r="B1" t="s">
        <v>68</v>
      </c>
      <c r="C1" t="s">
        <v>46</v>
      </c>
      <c r="D1" t="s">
        <v>44</v>
      </c>
      <c r="E1" t="s">
        <v>47</v>
      </c>
      <c r="F1" t="s">
        <v>48</v>
      </c>
      <c r="G1" t="s">
        <v>49</v>
      </c>
      <c r="H1" t="s">
        <v>50</v>
      </c>
      <c r="I1" t="s">
        <v>51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</row>
    <row r="2" spans="1:18" x14ac:dyDescent="0.25">
      <c r="A2">
        <v>210</v>
      </c>
      <c r="B2">
        <v>10000</v>
      </c>
      <c r="C2" t="s">
        <v>89</v>
      </c>
      <c r="D2">
        <v>10000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300</v>
      </c>
      <c r="K2">
        <v>300</v>
      </c>
      <c r="L2">
        <v>300</v>
      </c>
      <c r="M2">
        <v>300</v>
      </c>
      <c r="N2">
        <v>300</v>
      </c>
      <c r="O2">
        <v>0</v>
      </c>
      <c r="P2">
        <v>0</v>
      </c>
      <c r="Q2">
        <v>0</v>
      </c>
      <c r="R2">
        <v>0</v>
      </c>
    </row>
    <row r="3" spans="1:18" x14ac:dyDescent="0.25">
      <c r="A3">
        <v>59</v>
      </c>
      <c r="B3">
        <v>10001</v>
      </c>
      <c r="C3" t="s">
        <v>205</v>
      </c>
      <c r="D3">
        <v>10000</v>
      </c>
      <c r="E3">
        <v>800</v>
      </c>
      <c r="F3">
        <v>800</v>
      </c>
      <c r="G3">
        <v>800</v>
      </c>
      <c r="H3">
        <v>800</v>
      </c>
      <c r="I3">
        <v>800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</row>
    <row r="4" spans="1:18" x14ac:dyDescent="0.25">
      <c r="A4">
        <v>24</v>
      </c>
      <c r="B4">
        <v>10002</v>
      </c>
      <c r="C4" t="s">
        <v>206</v>
      </c>
      <c r="D4">
        <v>10000</v>
      </c>
      <c r="E4">
        <v>200</v>
      </c>
      <c r="F4">
        <v>200</v>
      </c>
      <c r="G4">
        <v>200</v>
      </c>
      <c r="H4">
        <v>200</v>
      </c>
      <c r="I4">
        <v>200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</row>
    <row r="5" spans="1:18" x14ac:dyDescent="0.25">
      <c r="A5">
        <v>65</v>
      </c>
      <c r="B5">
        <v>10003</v>
      </c>
      <c r="C5" t="s">
        <v>207</v>
      </c>
      <c r="D5">
        <v>10000</v>
      </c>
      <c r="E5">
        <v>100</v>
      </c>
      <c r="F5">
        <v>100</v>
      </c>
      <c r="G5">
        <v>100</v>
      </c>
      <c r="H5">
        <v>100</v>
      </c>
      <c r="I5">
        <v>100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Control</vt:lpstr>
      <vt:lpstr>Freeway_Zone_Link_Mapping</vt:lpstr>
      <vt:lpstr>Arterial_Zone_Link_Mapping</vt:lpstr>
      <vt:lpstr>Link Closures</vt:lpstr>
      <vt:lpstr>VISUM_Freeway_OD</vt:lpstr>
      <vt:lpstr>Freeway_Truck</vt:lpstr>
      <vt:lpstr>Freeway_HOT</vt:lpstr>
      <vt:lpstr>Freeway_Car</vt:lpstr>
      <vt:lpstr>VISUM_Arterial_OD</vt:lpstr>
      <vt:lpstr>Arterial_Truck</vt:lpstr>
      <vt:lpstr>Arterial_HOT</vt:lpstr>
      <vt:lpstr>Arterial_Car</vt:lpstr>
      <vt:lpstr>Add_Demand_OD</vt:lpstr>
      <vt:lpstr>Compositions</vt:lpstr>
      <vt:lpstr>Compositions2</vt:lpstr>
      <vt:lpstr>Inputs</vt:lpstr>
      <vt:lpstr>Add_Demand_Inputs</vt:lpstr>
      <vt:lpstr>Inputs2</vt:lpstr>
      <vt:lpstr>Add_Demand_Inputs2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Johnson, Patrick</dc:creator>
  <cp:lastModifiedBy>Parascandola, Carmine</cp:lastModifiedBy>
  <dcterms:created xsi:type="dcterms:W3CDTF">2018-09-04T15:55:18Z</dcterms:created>
  <dcterms:modified xsi:type="dcterms:W3CDTF">2021-10-18T18:32:53Z</dcterms:modified>
</cp:coreProperties>
</file>